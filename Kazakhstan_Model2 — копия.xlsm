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nx/MyProjects/Projects/CIS/Kazakhstan/Models/"/>
    </mc:Choice>
  </mc:AlternateContent>
  <xr:revisionPtr revIDLastSave="0" documentId="13_ncr:1_{00CDDB70-10E1-C04D-9BE2-56ED895238A8}" xr6:coauthVersionLast="47" xr6:coauthVersionMax="47" xr10:uidLastSave="{00000000-0000-0000-0000-000000000000}"/>
  <bookViews>
    <workbookView xWindow="0" yWindow="640" windowWidth="34560" windowHeight="20280" tabRatio="735" activeTab="1" xr2:uid="{00000000-000D-0000-FFFF-FFFF00000000}"/>
  </bookViews>
  <sheets>
    <sheet name="Sheet1" sheetId="107" r:id="rId1"/>
    <sheet name="settings" sheetId="75" r:id="rId2"/>
    <sheet name="input" sheetId="101" r:id="rId3"/>
    <sheet name="monthly" sheetId="76" r:id="rId4"/>
    <sheet name="monthly_sa" sheetId="77" r:id="rId5"/>
    <sheet name="quarterly" sheetId="78" r:id="rId6"/>
    <sheet name="quarterly_sa" sheetId="85" r:id="rId7"/>
    <sheet name="daily" sheetId="63" r:id="rId8"/>
    <sheet name="annual" sheetId="88" r:id="rId9"/>
  </sheets>
  <definedNames>
    <definedName name="_xlnm._FilterDatabase" localSheetId="2" hidden="1">input!$A$1:$P$111</definedName>
    <definedName name="_OUT_FORECAST_GDP">#REF!</definedName>
    <definedName name="annual">#REF!</definedName>
    <definedName name="cur_name">settings!$H$20</definedName>
    <definedName name="cur_ticker">settings!$H$21</definedName>
    <definedName name="cur_val">settings!$H$22</definedName>
    <definedName name="ext_debt">#REF!</definedName>
    <definedName name="File_forecast">settings!$C$9</definedName>
    <definedName name="File_Name">settings!$C$7</definedName>
    <definedName name="File_Name_Sectors">settings!$C$11</definedName>
    <definedName name="GDP_co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711" i="63" l="1"/>
  <c r="A10" i="107" l="1"/>
  <c r="A9" i="107"/>
  <c r="A8" i="107"/>
  <c r="A7" i="107"/>
  <c r="A6" i="107"/>
  <c r="A5" i="107"/>
  <c r="A4" i="107"/>
  <c r="A3" i="107"/>
  <c r="A2" i="107"/>
  <c r="A1" i="107"/>
  <c r="A163" i="101" l="1"/>
  <c r="A162" i="101"/>
  <c r="A161" i="101"/>
  <c r="A160" i="101"/>
  <c r="A159" i="101"/>
  <c r="A158" i="101"/>
  <c r="A157" i="101"/>
  <c r="A156" i="101"/>
  <c r="A155" i="101"/>
  <c r="A154" i="101"/>
  <c r="A153" i="101"/>
  <c r="A152" i="101"/>
  <c r="A151" i="101"/>
  <c r="A150" i="101"/>
  <c r="A149" i="101"/>
  <c r="A148" i="101"/>
  <c r="A147" i="101"/>
  <c r="A146" i="101"/>
  <c r="A145" i="101"/>
  <c r="A144" i="101"/>
  <c r="A143" i="101"/>
  <c r="A142" i="101"/>
  <c r="A141" i="101"/>
  <c r="A140" i="101"/>
  <c r="A139" i="101"/>
  <c r="A138" i="101"/>
  <c r="A137" i="101"/>
  <c r="A136" i="101"/>
  <c r="A135" i="101"/>
  <c r="A134" i="101"/>
  <c r="A133" i="101"/>
  <c r="A132" i="101"/>
  <c r="A131" i="101"/>
  <c r="A130" i="101"/>
  <c r="A129" i="101"/>
  <c r="A128" i="101"/>
  <c r="A127" i="101"/>
  <c r="A126" i="101"/>
  <c r="A125" i="101"/>
  <c r="A124" i="101"/>
  <c r="A123" i="101"/>
  <c r="A122" i="101"/>
  <c r="A121" i="101"/>
  <c r="A120" i="101"/>
  <c r="A119" i="101"/>
  <c r="A118" i="101"/>
  <c r="A117" i="101"/>
  <c r="A116" i="101"/>
  <c r="A115" i="101"/>
  <c r="A114" i="101"/>
  <c r="A113" i="101"/>
  <c r="A112" i="101"/>
  <c r="A111" i="101"/>
  <c r="A110" i="101"/>
  <c r="A109" i="101"/>
  <c r="A108" i="101"/>
  <c r="A107" i="101"/>
  <c r="A106" i="101"/>
  <c r="A105" i="101"/>
  <c r="A104" i="101"/>
  <c r="A103" i="101"/>
  <c r="A102" i="101"/>
  <c r="A101" i="101"/>
  <c r="A100" i="101"/>
  <c r="A99" i="101"/>
  <c r="A98" i="101"/>
  <c r="A97" i="101"/>
  <c r="A96" i="101"/>
  <c r="A95" i="101"/>
  <c r="A94" i="101"/>
  <c r="A93" i="101"/>
  <c r="A92" i="101"/>
  <c r="A91" i="101"/>
  <c r="A90" i="101"/>
  <c r="A89" i="101"/>
  <c r="A88" i="101"/>
  <c r="A87" i="101"/>
  <c r="A86" i="101"/>
  <c r="A85" i="101"/>
  <c r="A84" i="101"/>
  <c r="A83" i="101"/>
  <c r="A82" i="101"/>
  <c r="A81" i="101"/>
  <c r="A80" i="101"/>
  <c r="A79" i="101"/>
  <c r="A78" i="101"/>
  <c r="A77" i="101"/>
  <c r="A76" i="101"/>
  <c r="A75" i="101"/>
  <c r="A74" i="101"/>
  <c r="A73" i="101"/>
  <c r="A72" i="101"/>
  <c r="A71" i="101"/>
  <c r="A70" i="101"/>
  <c r="A69" i="101"/>
  <c r="A68" i="101"/>
  <c r="A67" i="101"/>
  <c r="A66" i="101"/>
  <c r="A65" i="101"/>
  <c r="A64" i="101"/>
  <c r="A63" i="101"/>
  <c r="A62" i="101"/>
  <c r="A61" i="101"/>
  <c r="A60" i="101"/>
  <c r="A59" i="101"/>
  <c r="A58" i="101"/>
  <c r="A57" i="101"/>
  <c r="A56" i="101"/>
  <c r="A55" i="101"/>
  <c r="A54" i="101"/>
  <c r="A53" i="101"/>
  <c r="A52" i="101"/>
  <c r="A51" i="101"/>
  <c r="A50" i="101"/>
  <c r="A49" i="101"/>
  <c r="A48" i="101"/>
  <c r="A47" i="101"/>
  <c r="A46" i="101"/>
  <c r="A45" i="101"/>
  <c r="A44" i="101"/>
  <c r="A43" i="101"/>
  <c r="A42" i="101"/>
  <c r="A41" i="101"/>
  <c r="A40" i="101"/>
  <c r="A39" i="101"/>
  <c r="A38" i="101"/>
  <c r="A37" i="101"/>
  <c r="A36" i="101"/>
  <c r="A35" i="10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7" i="101"/>
  <c r="A6" i="101"/>
  <c r="A5" i="101"/>
  <c r="A4" i="101"/>
  <c r="A3" i="101"/>
  <c r="A2" i="101"/>
  <c r="C30" i="75"/>
  <c r="C29" i="75"/>
  <c r="C11" i="75"/>
  <c r="C7" i="75"/>
  <c r="C5" i="75"/>
  <c r="D111" i="101" s="1"/>
  <c r="C3" i="75"/>
  <c r="D31" i="101" l="1"/>
  <c r="D4" i="101"/>
  <c r="D82" i="101"/>
  <c r="D8" i="101"/>
  <c r="D136" i="101"/>
  <c r="D14" i="101"/>
  <c r="D96" i="101"/>
  <c r="D110" i="101"/>
  <c r="D142" i="101"/>
  <c r="D151" i="101"/>
  <c r="D72" i="101"/>
  <c r="D27" i="101"/>
  <c r="D10" i="101"/>
  <c r="D19" i="101"/>
  <c r="D28" i="101"/>
  <c r="D42" i="101"/>
  <c r="D51" i="101"/>
  <c r="D60" i="101"/>
  <c r="D74" i="101"/>
  <c r="D83" i="101"/>
  <c r="D92" i="101"/>
  <c r="D106" i="101"/>
  <c r="D115" i="101"/>
  <c r="D124" i="101"/>
  <c r="D138" i="101"/>
  <c r="D147" i="101"/>
  <c r="D156" i="101"/>
  <c r="D18" i="101"/>
  <c r="D38" i="101"/>
  <c r="D88" i="101"/>
  <c r="D3" i="107"/>
  <c r="D9" i="107"/>
  <c r="D5" i="107"/>
  <c r="D1" i="107"/>
  <c r="D7" i="107"/>
  <c r="D8" i="107"/>
  <c r="D4" i="107"/>
  <c r="D10" i="107"/>
  <c r="D6" i="107"/>
  <c r="D2" i="107"/>
  <c r="D161" i="101"/>
  <c r="D157" i="101"/>
  <c r="D153" i="101"/>
  <c r="D149" i="101"/>
  <c r="D145" i="101"/>
  <c r="D141" i="101"/>
  <c r="D137" i="101"/>
  <c r="D133" i="101"/>
  <c r="D129" i="101"/>
  <c r="D125" i="101"/>
  <c r="D121" i="101"/>
  <c r="D117" i="101"/>
  <c r="D113" i="101"/>
  <c r="D109" i="101"/>
  <c r="D105" i="101"/>
  <c r="D101" i="101"/>
  <c r="D97" i="101"/>
  <c r="D93" i="101"/>
  <c r="D89" i="101"/>
  <c r="D85" i="101"/>
  <c r="D81" i="101"/>
  <c r="D77" i="101"/>
  <c r="D73" i="101"/>
  <c r="D69" i="101"/>
  <c r="D65" i="101"/>
  <c r="D61" i="101"/>
  <c r="D57" i="101"/>
  <c r="D53" i="101"/>
  <c r="D49" i="101"/>
  <c r="D45" i="101"/>
  <c r="D41" i="101"/>
  <c r="D37" i="101"/>
  <c r="D33" i="101"/>
  <c r="D29" i="101"/>
  <c r="D25" i="101"/>
  <c r="D21" i="101"/>
  <c r="D17" i="101"/>
  <c r="D13" i="101"/>
  <c r="D9" i="101"/>
  <c r="D5" i="101"/>
  <c r="D26" i="101"/>
  <c r="D90" i="101"/>
  <c r="D99" i="101"/>
  <c r="D108" i="101"/>
  <c r="D140" i="101"/>
  <c r="D40" i="101"/>
  <c r="D54" i="101"/>
  <c r="D63" i="101"/>
  <c r="D86" i="101"/>
  <c r="D159" i="101"/>
  <c r="D46" i="101"/>
  <c r="D64" i="101"/>
  <c r="D47" i="101"/>
  <c r="D2" i="101"/>
  <c r="D11" i="101"/>
  <c r="D34" i="101"/>
  <c r="D43" i="101"/>
  <c r="D52" i="101"/>
  <c r="D66" i="101"/>
  <c r="D75" i="101"/>
  <c r="D84" i="101"/>
  <c r="D98" i="101"/>
  <c r="D107" i="101"/>
  <c r="D116" i="101"/>
  <c r="D130" i="101"/>
  <c r="D139" i="101"/>
  <c r="D148" i="101"/>
  <c r="D162" i="101"/>
  <c r="D3" i="101"/>
  <c r="D35" i="101"/>
  <c r="D44" i="101"/>
  <c r="D67" i="101"/>
  <c r="D76" i="101"/>
  <c r="D122" i="101"/>
  <c r="D131" i="101"/>
  <c r="D154" i="101"/>
  <c r="D163" i="101"/>
  <c r="D95" i="101"/>
  <c r="D118" i="101"/>
  <c r="D36" i="101"/>
  <c r="D50" i="101"/>
  <c r="D59" i="101"/>
  <c r="D68" i="101"/>
  <c r="D91" i="101"/>
  <c r="D100" i="101"/>
  <c r="D114" i="101"/>
  <c r="D123" i="101"/>
  <c r="D132" i="101"/>
  <c r="D146" i="101"/>
  <c r="D155" i="101"/>
  <c r="D23" i="101"/>
  <c r="D32" i="101"/>
  <c r="D55" i="101"/>
  <c r="D78" i="101"/>
  <c r="D87" i="101"/>
  <c r="D119" i="101"/>
  <c r="D128" i="101"/>
  <c r="D160" i="101"/>
  <c r="D6" i="101"/>
  <c r="D15" i="101"/>
  <c r="D24" i="101"/>
  <c r="D56" i="101"/>
  <c r="D70" i="101"/>
  <c r="D79" i="101"/>
  <c r="D102" i="101"/>
  <c r="D120" i="101"/>
  <c r="D134" i="101"/>
  <c r="D143" i="101"/>
  <c r="D152" i="101"/>
  <c r="D20" i="101"/>
  <c r="D7" i="101"/>
  <c r="D16" i="101"/>
  <c r="D30" i="101"/>
  <c r="D39" i="101"/>
  <c r="D48" i="101"/>
  <c r="D62" i="101"/>
  <c r="D71" i="101"/>
  <c r="D80" i="101"/>
  <c r="D94" i="101"/>
  <c r="D103" i="101"/>
  <c r="D112" i="101"/>
  <c r="D126" i="101"/>
  <c r="D135" i="101"/>
  <c r="D144" i="101"/>
  <c r="D158" i="101"/>
  <c r="D12" i="101"/>
  <c r="D58" i="101"/>
  <c r="D22" i="101"/>
  <c r="D104" i="101"/>
  <c r="D127" i="101"/>
  <c r="D150" i="101"/>
</calcChain>
</file>

<file path=xl/sharedStrings.xml><?xml version="1.0" encoding="utf-8"?>
<sst xmlns="http://schemas.openxmlformats.org/spreadsheetml/2006/main" count="2124" uniqueCount="311">
  <si>
    <t>Construction</t>
  </si>
  <si>
    <t>CPI</t>
  </si>
  <si>
    <t>Gross fixed capital formation</t>
  </si>
  <si>
    <t>M3</t>
  </si>
  <si>
    <t>GDP</t>
  </si>
  <si>
    <t>Mining and quarrying</t>
  </si>
  <si>
    <t>Manufacturing</t>
  </si>
  <si>
    <t>Household consumption</t>
  </si>
  <si>
    <t>Exports of goods and services</t>
  </si>
  <si>
    <t>Imports of goods and services</t>
  </si>
  <si>
    <t>Gross capital formation</t>
  </si>
  <si>
    <t>Inventories</t>
  </si>
  <si>
    <t>Country</t>
  </si>
  <si>
    <t>index</t>
  </si>
  <si>
    <t>name</t>
  </si>
  <si>
    <t>real</t>
  </si>
  <si>
    <t>sa</t>
  </si>
  <si>
    <t>transf</t>
  </si>
  <si>
    <t>calc</t>
  </si>
  <si>
    <t>makesa</t>
  </si>
  <si>
    <t>Industrial production</t>
  </si>
  <si>
    <t>nonsa</t>
  </si>
  <si>
    <t>eop</t>
  </si>
  <si>
    <t>Retail trade</t>
  </si>
  <si>
    <t>input_file</t>
  </si>
  <si>
    <t>input_sheet</t>
  </si>
  <si>
    <t>start</t>
  </si>
  <si>
    <t>end</t>
  </si>
  <si>
    <t>freq</t>
  </si>
  <si>
    <t>norm</t>
  </si>
  <si>
    <t>output_sheet</t>
  </si>
  <si>
    <t>value</t>
  </si>
  <si>
    <t>nominal</t>
  </si>
  <si>
    <t>quarterly</t>
  </si>
  <si>
    <t>FX reserves gold</t>
  </si>
  <si>
    <t>FX reserves</t>
  </si>
  <si>
    <t>Government consumption</t>
  </si>
  <si>
    <t>GVA agriculture</t>
  </si>
  <si>
    <t>GVA industry</t>
  </si>
  <si>
    <t>GVA manufacturing</t>
  </si>
  <si>
    <t>GVA construction</t>
  </si>
  <si>
    <t>GVA financial</t>
  </si>
  <si>
    <t>GVA real estate</t>
  </si>
  <si>
    <t>GVA public</t>
  </si>
  <si>
    <t>GVA other</t>
  </si>
  <si>
    <t>Household consumption nominal nonsa</t>
  </si>
  <si>
    <t>GDP nominal nonsa</t>
  </si>
  <si>
    <t>Household consumption real nonsa</t>
  </si>
  <si>
    <t>GDP real nonsa</t>
  </si>
  <si>
    <t>GVA agriculture nominal nonsa</t>
  </si>
  <si>
    <t>GVA industry nominal nonsa</t>
  </si>
  <si>
    <t>GVA manufacturing nominal nonsa</t>
  </si>
  <si>
    <t>GVA construction nominal nonsa</t>
  </si>
  <si>
    <t>GVA financial nominal nonsa</t>
  </si>
  <si>
    <t>GVA real estate nominal nonsa</t>
  </si>
  <si>
    <t>GVA public nominal nonsa</t>
  </si>
  <si>
    <t>GVA other nominal nonsa</t>
  </si>
  <si>
    <t>GVA agriculture real nonsa</t>
  </si>
  <si>
    <t>GVA industry real nonsa</t>
  </si>
  <si>
    <t>GVA manufacturing real nonsa</t>
  </si>
  <si>
    <t>GVA construction real nonsa</t>
  </si>
  <si>
    <t>GVA financial real nonsa</t>
  </si>
  <si>
    <t>GVA real estate real nonsa</t>
  </si>
  <si>
    <t>GVA public real nonsa</t>
  </si>
  <si>
    <t>GVA other real nonsa</t>
  </si>
  <si>
    <t>monthly_sa</t>
  </si>
  <si>
    <t>monthly</t>
  </si>
  <si>
    <t>Industrial production real nonsa</t>
  </si>
  <si>
    <t>Mining and quarrying real nonsa</t>
  </si>
  <si>
    <t>Manufacturing real nonsa</t>
  </si>
  <si>
    <t>Retail trade real nonsa</t>
  </si>
  <si>
    <t>Industrial production real sa</t>
  </si>
  <si>
    <t>Mining and quarrying real sa</t>
  </si>
  <si>
    <t>Manufacturing real sa</t>
  </si>
  <si>
    <t>Retail trade real sa</t>
  </si>
  <si>
    <t>Inventories real nonsa</t>
  </si>
  <si>
    <t>Agriculture</t>
  </si>
  <si>
    <t>M1</t>
  </si>
  <si>
    <t>M2</t>
  </si>
  <si>
    <t>CPI nominal nonsa</t>
  </si>
  <si>
    <t>M1 nominal nonsa</t>
  </si>
  <si>
    <t>M2 nominal nonsa</t>
  </si>
  <si>
    <t>M3 nominal nonsa</t>
  </si>
  <si>
    <t>Corporate loans</t>
  </si>
  <si>
    <t>Household loans</t>
  </si>
  <si>
    <t>Corporate loans rate</t>
  </si>
  <si>
    <t>Household deposit rate</t>
  </si>
  <si>
    <t>Mortgage loans rate</t>
  </si>
  <si>
    <t>Corporate loans nominal nonsa</t>
  </si>
  <si>
    <t>Household loans nominal nonsa</t>
  </si>
  <si>
    <t>Corporate loans rate nominal nonsa</t>
  </si>
  <si>
    <t>Household deposit rate nominal nonsa</t>
  </si>
  <si>
    <t>Mortgage loans rate nominal nonsa</t>
  </si>
  <si>
    <t>rate</t>
  </si>
  <si>
    <t>Budget revenues</t>
  </si>
  <si>
    <t>Budget expenditures</t>
  </si>
  <si>
    <t>Construction real nonsa</t>
  </si>
  <si>
    <t>Exports</t>
  </si>
  <si>
    <t>Imports</t>
  </si>
  <si>
    <t>country</t>
  </si>
  <si>
    <t>source</t>
  </si>
  <si>
    <t>RE_INT_DB</t>
  </si>
  <si>
    <t>Param</t>
  </si>
  <si>
    <t>Value</t>
  </si>
  <si>
    <t>Model path</t>
  </si>
  <si>
    <t>DB path</t>
  </si>
  <si>
    <t>Chart path</t>
  </si>
  <si>
    <t>R</t>
  </si>
  <si>
    <t>VBA</t>
  </si>
  <si>
    <t>Descr</t>
  </si>
  <si>
    <t>DB name</t>
  </si>
  <si>
    <t>Chart name</t>
  </si>
  <si>
    <t>Model name</t>
  </si>
  <si>
    <t>GDP taxes less subsidies</t>
  </si>
  <si>
    <t>GVA professional</t>
  </si>
  <si>
    <t>Exports nominal nonsa</t>
  </si>
  <si>
    <t>Imports nominal nonsa</t>
  </si>
  <si>
    <t>Construction real sa</t>
  </si>
  <si>
    <t>Wages</t>
  </si>
  <si>
    <t>Wages real nonsa</t>
  </si>
  <si>
    <t>Wages nominal nonsa</t>
  </si>
  <si>
    <t>NPISH consumption nominal nonsa</t>
  </si>
  <si>
    <t>Gross fixed capital formation nominal nonsa</t>
  </si>
  <si>
    <t>Inventories nominal nonsa</t>
  </si>
  <si>
    <t>Gross capital formation nominal nonsa</t>
  </si>
  <si>
    <t>NPISH consumption real nonsa</t>
  </si>
  <si>
    <t>Gross fixed capital formation real nonsa</t>
  </si>
  <si>
    <t>Gross capital formation real nonsa</t>
  </si>
  <si>
    <t>Exports of goods and services real nonsa</t>
  </si>
  <si>
    <t>Imports of goods and services real nonsa</t>
  </si>
  <si>
    <t>GVA information nominal nonsa</t>
  </si>
  <si>
    <t>GVA professional nominal nonsa</t>
  </si>
  <si>
    <t>GDP taxes less subsidies nominal nonsa</t>
  </si>
  <si>
    <t>GVA nominal nonsa</t>
  </si>
  <si>
    <t>GVA information real nonsa</t>
  </si>
  <si>
    <t>GVA professional real nonsa</t>
  </si>
  <si>
    <t>GDP taxes less subsidies real nonsa</t>
  </si>
  <si>
    <t>Exports of goods and services nominal nonsa</t>
  </si>
  <si>
    <t>Imports of goods and services nominal nonsa</t>
  </si>
  <si>
    <t>Government consumption nominal nonsa</t>
  </si>
  <si>
    <t>Government consumption real nonsa</t>
  </si>
  <si>
    <t>Services</t>
  </si>
  <si>
    <t>Oil production real nonsa</t>
  </si>
  <si>
    <t>Gas production real nonsa</t>
  </si>
  <si>
    <t>Agriculture real nonsa</t>
  </si>
  <si>
    <t>Services real nonsa</t>
  </si>
  <si>
    <t>Oil production real sa</t>
  </si>
  <si>
    <t>Gas production real sa</t>
  </si>
  <si>
    <t>Agriculture real sa</t>
  </si>
  <si>
    <t>Services real sa</t>
  </si>
  <si>
    <t>monthy start</t>
  </si>
  <si>
    <t>Transport cargo</t>
  </si>
  <si>
    <t>Transport passengers</t>
  </si>
  <si>
    <t>Policy deposit rate</t>
  </si>
  <si>
    <t>Policy credit rate</t>
  </si>
  <si>
    <t>GVA information</t>
  </si>
  <si>
    <t>quarterly_sa</t>
  </si>
  <si>
    <t>Economic activity real nonsa</t>
  </si>
  <si>
    <t>Transport cargo real nonsa</t>
  </si>
  <si>
    <t>Transport passengers real nonsa</t>
  </si>
  <si>
    <t>Economic activity real sa</t>
  </si>
  <si>
    <t>Transport cargo real sa</t>
  </si>
  <si>
    <t>GVA FISIM real nonsa</t>
  </si>
  <si>
    <t>1Q</t>
  </si>
  <si>
    <t>1H</t>
  </si>
  <si>
    <t>9m</t>
  </si>
  <si>
    <t>12m</t>
  </si>
  <si>
    <t>Ref quarterly list</t>
  </si>
  <si>
    <t>Chart path sectors</t>
  </si>
  <si>
    <t>Chart name sectors</t>
  </si>
  <si>
    <t>CPI goods</t>
  </si>
  <si>
    <t>CPI food</t>
  </si>
  <si>
    <t>CPI services</t>
  </si>
  <si>
    <t>Key rate</t>
  </si>
  <si>
    <t>GVA services</t>
  </si>
  <si>
    <t>GVA trade</t>
  </si>
  <si>
    <t>CPI goods nominal nonsa</t>
  </si>
  <si>
    <t>CPI food nominal nonsa</t>
  </si>
  <si>
    <t>CPI services nominal nonsa</t>
  </si>
  <si>
    <t>Key rate nominal nonsa</t>
  </si>
  <si>
    <t>Policy credit rate nominal nonsa</t>
  </si>
  <si>
    <t>Policy deposit rate nominal nonsa</t>
  </si>
  <si>
    <t>Wages nominal sa</t>
  </si>
  <si>
    <t>Wages real sa</t>
  </si>
  <si>
    <t>Household consumption real sa</t>
  </si>
  <si>
    <t>Government consumption real sa</t>
  </si>
  <si>
    <t>Gross fixed capital formation real sa</t>
  </si>
  <si>
    <t>Gross capital formation real sa</t>
  </si>
  <si>
    <t>Exports of goods and services real sa</t>
  </si>
  <si>
    <t>Imports of goods and services real sa</t>
  </si>
  <si>
    <t>GDP real sa</t>
  </si>
  <si>
    <t>GVA agriculture real sa</t>
  </si>
  <si>
    <t>GVA industry real sa</t>
  </si>
  <si>
    <t>GVA manufacturing real sa</t>
  </si>
  <si>
    <t>GVA construction real sa</t>
  </si>
  <si>
    <t>GVA information real sa</t>
  </si>
  <si>
    <t>GVA financial real sa</t>
  </si>
  <si>
    <t>GVA real estate real sa</t>
  </si>
  <si>
    <t>GVA professional real sa</t>
  </si>
  <si>
    <t>GVA public real sa</t>
  </si>
  <si>
    <t>GVA other real sa</t>
  </si>
  <si>
    <t>GDP taxes less subsidies real sa</t>
  </si>
  <si>
    <t>Household consumption nominal sa</t>
  </si>
  <si>
    <t>Government consumption nominal sa</t>
  </si>
  <si>
    <t>Gross fixed capital formation nominal sa</t>
  </si>
  <si>
    <t>Gross capital formation nominal sa</t>
  </si>
  <si>
    <t>Exports of goods and services nominal sa</t>
  </si>
  <si>
    <t>Imports of goods and services nominal sa</t>
  </si>
  <si>
    <t>GDP nominal sa</t>
  </si>
  <si>
    <t>NPISH consumption</t>
  </si>
  <si>
    <t>CPI core</t>
  </si>
  <si>
    <t>CPI core nominal nonsa</t>
  </si>
  <si>
    <t>Trade</t>
  </si>
  <si>
    <t>Economic activity</t>
  </si>
  <si>
    <t>Production of electricity</t>
  </si>
  <si>
    <t>Unemployed (monthly)</t>
  </si>
  <si>
    <t>Vacancy rate</t>
  </si>
  <si>
    <t>Job vacanies</t>
  </si>
  <si>
    <t>Employed (monthly)</t>
  </si>
  <si>
    <t>Job seekers</t>
  </si>
  <si>
    <t>MB</t>
  </si>
  <si>
    <t>CB net domestic assets banks</t>
  </si>
  <si>
    <t>Central budget revenues</t>
  </si>
  <si>
    <t>Central budget expenditures</t>
  </si>
  <si>
    <t>REER</t>
  </si>
  <si>
    <t>NEER</t>
  </si>
  <si>
    <t>GVA</t>
  </si>
  <si>
    <t>GVA FISIM</t>
  </si>
  <si>
    <t>source_type</t>
  </si>
  <si>
    <t>Production of electricity gas heat</t>
  </si>
  <si>
    <t>Production of water</t>
  </si>
  <si>
    <t>Oil production</t>
  </si>
  <si>
    <t>Gas production</t>
  </si>
  <si>
    <t>Production of electricity gas heat real nonsa</t>
  </si>
  <si>
    <t>Production of electricity gas heat real sa</t>
  </si>
  <si>
    <t>Investments</t>
  </si>
  <si>
    <t>Investments real nonsa</t>
  </si>
  <si>
    <t>Investments real sa</t>
  </si>
  <si>
    <t>GVA transport accomodation</t>
  </si>
  <si>
    <t>GVA trade real nonsa</t>
  </si>
  <si>
    <t>GVA trade nominal nonsa</t>
  </si>
  <si>
    <t>GVA transport accomodation real nonsa</t>
  </si>
  <si>
    <t>GVA transport accomodation nominal nonsa</t>
  </si>
  <si>
    <t>GVA admin</t>
  </si>
  <si>
    <t>GDP by production</t>
  </si>
  <si>
    <t>GVA admin real nonsa</t>
  </si>
  <si>
    <t>GVA mining</t>
  </si>
  <si>
    <t>GVA electricity</t>
  </si>
  <si>
    <t>GVA water</t>
  </si>
  <si>
    <t>GVA mining real nonsa</t>
  </si>
  <si>
    <t>GVA electricity real nonsa</t>
  </si>
  <si>
    <t>GVA water real nonsa</t>
  </si>
  <si>
    <t>Income</t>
  </si>
  <si>
    <t>Production of water real nonsa</t>
  </si>
  <si>
    <t>Trade real nonsa</t>
  </si>
  <si>
    <t>Income real nonsa</t>
  </si>
  <si>
    <t>GVA trade real sa</t>
  </si>
  <si>
    <t>Production of water real sa</t>
  </si>
  <si>
    <t>Trade real sa</t>
  </si>
  <si>
    <t>Income real sa</t>
  </si>
  <si>
    <t>GVA transport accomodation real sa</t>
  </si>
  <si>
    <t>GVA mining nominal nonsa</t>
  </si>
  <si>
    <t>GVA electricity nominal nonsa</t>
  </si>
  <si>
    <t>GVA water nominal nonsa</t>
  </si>
  <si>
    <t>GVA admin nominal nonsa</t>
  </si>
  <si>
    <t>Brent nominal nonsa</t>
  </si>
  <si>
    <t>Kazakhstan</t>
  </si>
  <si>
    <t>Kazakhstan_DB</t>
  </si>
  <si>
    <t>Kazakhstan Tenge nominal nonsa</t>
  </si>
  <si>
    <t>Euro nominal nonsa</t>
  </si>
  <si>
    <t>GDP by production real nonsa</t>
  </si>
  <si>
    <t>KZT/USD</t>
  </si>
  <si>
    <t>Currency</t>
  </si>
  <si>
    <t>Ticker</t>
  </si>
  <si>
    <t>Measure</t>
  </si>
  <si>
    <t>KZT bln</t>
  </si>
  <si>
    <t>LAST UPDATE DATA</t>
  </si>
  <si>
    <t>LAST UPDATE MODEL</t>
  </si>
  <si>
    <t>Forecast file</t>
  </si>
  <si>
    <t>//msk.trd.ru/HQ/FileServ/ANALIS/USER/Anton/Database Kazakhstan/</t>
  </si>
  <si>
    <t>date</t>
  </si>
  <si>
    <t>Production of electricity real nonsa</t>
  </si>
  <si>
    <t>Unemployed (monthly) real nonsa</t>
  </si>
  <si>
    <t>Vacancy rate real nonsa</t>
  </si>
  <si>
    <t>Job vacanies real nonsa</t>
  </si>
  <si>
    <t>Employed (monthly) real nonsa</t>
  </si>
  <si>
    <t>Job seekers real nonsa</t>
  </si>
  <si>
    <t>FX reserves gold nominal nonsa</t>
  </si>
  <si>
    <t>FX reserves nominal nonsa</t>
  </si>
  <si>
    <t>MB nominal nonsa</t>
  </si>
  <si>
    <t>CB net domestic assets banks nominal nonsa</t>
  </si>
  <si>
    <t>Budget revenues nominal nonsa</t>
  </si>
  <si>
    <t>Budget expenditures nominal nonsa</t>
  </si>
  <si>
    <t>Central budget revenues nominal nonsa</t>
  </si>
  <si>
    <t>Central budget expenditures nominal nonsa</t>
  </si>
  <si>
    <t>REER nominal nonsa</t>
  </si>
  <si>
    <t>NEER nominal nonsa</t>
  </si>
  <si>
    <t>Copper nominal nonsa</t>
  </si>
  <si>
    <t>GVA FISIM nominal nonsa</t>
  </si>
  <si>
    <t>GVA real nonsa</t>
  </si>
  <si>
    <t>GVA mining real sa</t>
  </si>
  <si>
    <t>GVA electricity real sa</t>
  </si>
  <si>
    <t>GVA water real sa</t>
  </si>
  <si>
    <t>GVA services real sa</t>
  </si>
  <si>
    <t>GVA admin real sa</t>
  </si>
  <si>
    <t>GDP by production real sa</t>
  </si>
  <si>
    <t>Transport passengers real sa</t>
  </si>
  <si>
    <t>U:\!Projects\CEE\Models\Charts\</t>
  </si>
  <si>
    <t>U:\!Projects\CEE\Kazakhstan\Models\Kazakhstan_Forecast.xlsx</t>
  </si>
  <si>
    <t>./Models/</t>
  </si>
  <si>
    <t>../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</si>
</sst>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"/>
    <numFmt numFmtId="174" formatCode="&quot;$&quot;#,##0_);[Red]\(&quot;$&quot;#,##0\)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name val="MS Sans Serif"/>
      <family val="2"/>
    </font>
    <font>
      <sz val="10"/>
      <color indexed="8"/>
      <name val="Arial"/>
      <family val="2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3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8">
    <xf numFmtId="0" fontId="0" fillId="0" borderId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6" borderId="0" applyNumberFormat="0" applyBorder="0" applyAlignment="0" applyProtection="0"/>
    <xf numFmtId="0" fontId="10" fillId="14" borderId="2" applyNumberFormat="0" applyAlignment="0" applyProtection="0"/>
    <xf numFmtId="0" fontId="11" fillId="4" borderId="4" applyNumberFormat="0" applyAlignment="0" applyProtection="0"/>
    <xf numFmtId="0" fontId="12" fillId="4" borderId="2" applyNumberFormat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27" borderId="3" applyNumberFormat="0" applyAlignment="0" applyProtection="0"/>
    <xf numFmtId="0" fontId="18" fillId="0" borderId="0" applyNumberFormat="0" applyFill="0" applyBorder="0" applyAlignment="0" applyProtection="0"/>
    <xf numFmtId="0" fontId="19" fillId="28" borderId="0" applyNumberFormat="0" applyBorder="0" applyAlignment="0" applyProtection="0"/>
    <xf numFmtId="0" fontId="20" fillId="10" borderId="0" applyNumberFormat="0" applyBorder="0" applyAlignment="0" applyProtection="0"/>
    <xf numFmtId="0" fontId="21" fillId="0" borderId="0" applyNumberFormat="0" applyFill="0" applyBorder="0" applyAlignment="0" applyProtection="0"/>
    <xf numFmtId="0" fontId="8" fillId="29" borderId="9" applyNumberFormat="0" applyFont="0" applyAlignment="0" applyProtection="0"/>
    <xf numFmtId="0" fontId="22" fillId="0" borderId="6" applyNumberFormat="0" applyFill="0" applyAlignment="0" applyProtection="0"/>
    <xf numFmtId="0" fontId="23" fillId="0" borderId="0" applyNumberFormat="0" applyFill="0" applyBorder="0" applyAlignment="0" applyProtection="0"/>
    <xf numFmtId="0" fontId="24" fillId="11" borderId="0" applyNumberFormat="0" applyBorder="0" applyAlignment="0" applyProtection="0"/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4" fontId="7" fillId="30" borderId="4" applyNumberFormat="0" applyProtection="0">
      <alignment horizontal="right" vertical="center"/>
    </xf>
    <xf numFmtId="0" fontId="3" fillId="0" borderId="0"/>
    <xf numFmtId="0" fontId="25" fillId="0" borderId="0" applyNumberFormat="0" applyFill="0" applyBorder="0" applyAlignment="0" applyProtection="0"/>
  </cellStyleXfs>
  <cellXfs count="29">
    <xf numFmtId="0" fontId="0" fillId="0" borderId="0" xfId="0"/>
    <xf numFmtId="166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5" fillId="0" borderId="0" xfId="0" applyFont="1"/>
    <xf numFmtId="0" fontId="0" fillId="0" borderId="1" xfId="0" applyBorder="1"/>
    <xf numFmtId="0" fontId="5" fillId="2" borderId="0" xfId="0" applyFont="1" applyFill="1"/>
    <xf numFmtId="0" fontId="5" fillId="3" borderId="0" xfId="0" applyFont="1" applyFill="1"/>
    <xf numFmtId="0" fontId="0" fillId="6" borderId="0" xfId="0" applyFill="1"/>
    <xf numFmtId="14" fontId="0" fillId="6" borderId="0" xfId="0" applyNumberFormat="1" applyFill="1"/>
    <xf numFmtId="0" fontId="4" fillId="6" borderId="0" xfId="0" applyFont="1" applyFill="1"/>
    <xf numFmtId="0" fontId="0" fillId="5" borderId="0" xfId="0" applyFill="1"/>
    <xf numFmtId="0" fontId="5" fillId="7" borderId="0" xfId="0" applyFont="1" applyFill="1"/>
    <xf numFmtId="0" fontId="0" fillId="8" borderId="0" xfId="0" applyFill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/>
    <xf numFmtId="0" fontId="4" fillId="6" borderId="1" xfId="0" applyFont="1" applyFill="1" applyBorder="1"/>
    <xf numFmtId="0" fontId="0" fillId="5" borderId="1" xfId="0" applyFill="1" applyBorder="1"/>
    <xf numFmtId="0" fontId="3" fillId="0" borderId="0" xfId="46"/>
    <xf numFmtId="22" fontId="3" fillId="0" borderId="0" xfId="46" applyNumberFormat="1"/>
    <xf numFmtId="0" fontId="1" fillId="0" borderId="0" xfId="0" applyFont="1"/>
    <xf numFmtId="0" fontId="0" fillId="0" borderId="0" xfId="46" applyFont="1"/>
    <xf numFmtId="0" fontId="25" fillId="0" borderId="0" xfId="47"/>
    <xf numFmtId="0" fontId="5" fillId="0" borderId="0" xfId="0" applyFont="1" applyAlignment="1">
      <alignment horizontal="center"/>
    </xf>
  </cellXfs>
  <cellStyles count="48">
    <cellStyle name=" Verticals" xfId="42" xr:uid="{00000000-0005-0000-0000-000000000000}"/>
    <cellStyle name=" Verticals 2" xfId="43" xr:uid="{00000000-0005-0000-0000-000001000000}"/>
    <cellStyle name=" Verticals 3" xfId="44" xr:uid="{00000000-0005-0000-0000-000002000000}"/>
    <cellStyle name="20% — акцент1" xfId="1" builtinId="30" customBuiltin="1"/>
    <cellStyle name="20% — акцент2" xfId="2" builtinId="34" customBuiltin="1"/>
    <cellStyle name="20% — акцент3" xfId="3" builtinId="38" customBuiltin="1"/>
    <cellStyle name="20% — акцент4" xfId="4" builtinId="42" customBuiltin="1"/>
    <cellStyle name="20% — акцент5" xfId="5" builtinId="46" customBuiltin="1"/>
    <cellStyle name="20% — акцент6" xfId="6" builtinId="50" customBuiltin="1"/>
    <cellStyle name="40% — акцент1" xfId="7" builtinId="31" customBuiltin="1"/>
    <cellStyle name="40% — акцент2" xfId="8" builtinId="35" customBuiltin="1"/>
    <cellStyle name="40% — акцент3" xfId="9" builtinId="39" customBuiltin="1"/>
    <cellStyle name="40% — акцент4" xfId="10" builtinId="43" customBuiltin="1"/>
    <cellStyle name="40% — акцент5" xfId="11" builtinId="47" customBuiltin="1"/>
    <cellStyle name="40% — акцент6" xfId="12" builtinId="51" customBuiltin="1"/>
    <cellStyle name="60% — акцент1" xfId="13" builtinId="32" customBuiltin="1"/>
    <cellStyle name="60% — акцент2" xfId="14" builtinId="36" customBuiltin="1"/>
    <cellStyle name="60% — акцент3" xfId="15" builtinId="40" customBuiltin="1"/>
    <cellStyle name="60% — акцент4" xfId="16" builtinId="44" customBuiltin="1"/>
    <cellStyle name="60% — акцент5" xfId="17" builtinId="48" customBuiltin="1"/>
    <cellStyle name="60% —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Гиперссылка" xfId="47" builtinId="8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  <cellStyle name="Normal 2 7" xfId="46" xr:uid="{00000000-0005-0000-0000-00002A000000}"/>
    <cellStyle name="SAPBEXstdData_PF- Bilanca rashoda " xfId="45" xr:uid="{00000000-0005-0000-0000-00002E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8357"/>
      <rgbColor rgb="00FFEBCC"/>
      <rgbColor rgb="000000FF"/>
      <rgbColor rgb="00FFB84D"/>
      <rgbColor rgb="002D8E67"/>
      <rgbColor rgb="0000FFFF"/>
      <rgbColor rgb="00007949"/>
      <rgbColor rgb="00FFD699"/>
      <rgbColor rgb="00000080"/>
      <rgbColor rgb="00FFA31A"/>
      <rgbColor rgb="00800080"/>
      <rgbColor rgb="00008080"/>
      <rgbColor rgb="00C0C0C0"/>
      <rgbColor rgb="00808080"/>
      <rgbColor rgb="0000703C"/>
      <rgbColor rgb="00BBD6C7"/>
      <rgbColor rgb="00008357"/>
      <rgbColor rgb="0084B69C"/>
      <rgbColor rgb="004E9A77"/>
      <rgbColor rgb="00FFFFFF"/>
      <rgbColor rgb="009FC5B0"/>
      <rgbColor rgb="0069A788"/>
      <rgbColor rgb="002D8E67"/>
      <rgbColor rgb="00D8E7DE"/>
      <rgbColor rgb="00007949"/>
      <rgbColor rgb="00FF9900"/>
      <rgbColor rgb="00FFAD33"/>
      <rgbColor rgb="00FFC266"/>
      <rgbColor rgb="00FFD699"/>
      <rgbColor rgb="00FFEBCC"/>
      <rgbColor rgb="0000CCFF"/>
      <rgbColor rgb="00CCFFFF"/>
      <rgbColor rgb="00FFF5E5"/>
      <rgbColor rgb="00FFC266"/>
      <rgbColor rgb="0099CCFF"/>
      <rgbColor rgb="004E9A77"/>
      <rgbColor rgb="00CC99FF"/>
      <rgbColor rgb="00D8E7DE"/>
      <rgbColor rgb="003366FF"/>
      <rgbColor rgb="0033CCCC"/>
      <rgbColor rgb="00FFAD33"/>
      <rgbColor rgb="00BBD6C7"/>
      <rgbColor rgb="009FC5B0"/>
      <rgbColor rgb="0084B69C"/>
      <rgbColor rgb="00666699"/>
      <rgbColor rgb="00969696"/>
      <rgbColor rgb="00003366"/>
      <rgbColor rgb="00FFE0B2"/>
      <rgbColor rgb="00FFCC7F"/>
      <rgbColor rgb="00FF9900"/>
      <rgbColor rgb="0069A788"/>
      <rgbColor rgb="00993366"/>
      <rgbColor rgb="00333399"/>
      <rgbColor rgb="00333333"/>
    </indexedColors>
    <mruColors>
      <color rgb="FFFFFFCC"/>
      <color rgb="FFFFCCCC"/>
      <color rgb="FF4D4D4D"/>
      <color rgb="FF007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25400</xdr:rowOff>
        </xdr:from>
        <xdr:to>
          <xdr:col>2</xdr:col>
          <xdr:colOff>0</xdr:colOff>
          <xdr:row>15</xdr:row>
          <xdr:rowOff>38100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01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data!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16</xdr:row>
          <xdr:rowOff>0</xdr:rowOff>
        </xdr:from>
        <xdr:to>
          <xdr:col>1</xdr:col>
          <xdr:colOff>1371600</xdr:colOff>
          <xdr:row>17</xdr:row>
          <xdr:rowOff>12700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01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Dates!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18</xdr:row>
          <xdr:rowOff>50800</xdr:rowOff>
        </xdr:from>
        <xdr:to>
          <xdr:col>1</xdr:col>
          <xdr:colOff>1333500</xdr:colOff>
          <xdr:row>19</xdr:row>
          <xdr:rowOff>101600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01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Charts!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25400</xdr:rowOff>
        </xdr:from>
        <xdr:to>
          <xdr:col>1</xdr:col>
          <xdr:colOff>1600200</xdr:colOff>
          <xdr:row>22</xdr:row>
          <xdr:rowOff>76200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01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Sectors Charts!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749300</xdr:colOff>
          <xdr:row>23</xdr:row>
          <xdr:rowOff>190500</xdr:rowOff>
        </xdr:from>
        <xdr:to>
          <xdr:col>2</xdr:col>
          <xdr:colOff>38100</xdr:colOff>
          <xdr:row>25</xdr:row>
          <xdr:rowOff>12700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01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Forecasts!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_SBERBANK">
      <a:dk1>
        <a:sysClr val="windowText" lastClr="000000"/>
      </a:dk1>
      <a:lt1>
        <a:sysClr val="window" lastClr="FFFFFF"/>
      </a:lt1>
      <a:dk2>
        <a:srgbClr val="008357"/>
      </a:dk2>
      <a:lt2>
        <a:srgbClr val="00703C"/>
      </a:lt2>
      <a:accent1>
        <a:srgbClr val="4E9A77"/>
      </a:accent1>
      <a:accent2>
        <a:srgbClr val="69A788"/>
      </a:accent2>
      <a:accent3>
        <a:srgbClr val="84B69C"/>
      </a:accent3>
      <a:accent4>
        <a:srgbClr val="9FC5B0"/>
      </a:accent4>
      <a:accent5>
        <a:srgbClr val="BBD6C7"/>
      </a:accent5>
      <a:accent6>
        <a:srgbClr val="D8E7DE"/>
      </a:accent6>
      <a:hlink>
        <a:srgbClr val="007949"/>
      </a:hlink>
      <a:folHlink>
        <a:srgbClr val="0D8E67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./msk.trd.ru/HQ/FileServ/ANALIS/USER/Anton/Database%20Kazakhsta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0"/>
  <sheetViews>
    <sheetView workbookViewId="0">
      <selection activeCell="B37" sqref="B37"/>
    </sheetView>
  </sheetViews>
  <sheetFormatPr baseColWidth="10" defaultColWidth="8.83203125" defaultRowHeight="15"/>
  <sheetData>
    <row r="1" spans="1:16" s="11" customFormat="1" ht="15" customHeight="1">
      <c r="A1" s="8" t="str">
        <f>settings!$C$2</f>
        <v>Kazakhstan</v>
      </c>
      <c r="B1" s="8" t="s">
        <v>267</v>
      </c>
      <c r="C1" s="8" t="s">
        <v>101</v>
      </c>
      <c r="D1" s="8" t="str">
        <f>CONCATENATE(settings!$C$6,settings!$C$5)</f>
        <v>../Kazakhstan_DB.xlsx</v>
      </c>
      <c r="E1" s="16" t="s">
        <v>66</v>
      </c>
      <c r="F1" s="10" t="s">
        <v>170</v>
      </c>
      <c r="G1" s="8" t="s">
        <v>32</v>
      </c>
      <c r="H1" s="8" t="s">
        <v>21</v>
      </c>
      <c r="I1" s="8" t="s">
        <v>13</v>
      </c>
      <c r="J1" s="8" t="s">
        <v>22</v>
      </c>
      <c r="K1" s="8" t="s">
        <v>16</v>
      </c>
      <c r="L1" s="8" t="s">
        <v>66</v>
      </c>
      <c r="M1" s="9">
        <v>36161</v>
      </c>
      <c r="N1" s="9">
        <v>44166</v>
      </c>
      <c r="O1" s="9">
        <v>36526</v>
      </c>
      <c r="P1" s="8" t="s">
        <v>65</v>
      </c>
    </row>
    <row r="2" spans="1:16" s="11" customFormat="1" ht="15" customHeight="1">
      <c r="A2" s="8" t="str">
        <f>settings!$C$2</f>
        <v>Kazakhstan</v>
      </c>
      <c r="B2" s="8" t="s">
        <v>267</v>
      </c>
      <c r="C2" s="8" t="s">
        <v>101</v>
      </c>
      <c r="D2" s="8" t="str">
        <f>CONCATENATE(settings!$C$6,settings!$C$5)</f>
        <v>../Kazakhstan_DB.xlsx</v>
      </c>
      <c r="E2" s="16" t="s">
        <v>66</v>
      </c>
      <c r="F2" s="10" t="s">
        <v>171</v>
      </c>
      <c r="G2" s="8" t="s">
        <v>32</v>
      </c>
      <c r="H2" s="8" t="s">
        <v>21</v>
      </c>
      <c r="I2" s="8" t="s">
        <v>13</v>
      </c>
      <c r="J2" s="8" t="s">
        <v>22</v>
      </c>
      <c r="K2" s="8" t="s">
        <v>16</v>
      </c>
      <c r="L2" s="8" t="s">
        <v>66</v>
      </c>
      <c r="M2" s="9">
        <v>36161</v>
      </c>
      <c r="N2" s="9">
        <v>44166</v>
      </c>
      <c r="O2" s="9">
        <v>36526</v>
      </c>
      <c r="P2" s="8" t="s">
        <v>65</v>
      </c>
    </row>
    <row r="3" spans="1:16" s="11" customFormat="1" ht="15" customHeight="1">
      <c r="A3" s="8" t="str">
        <f>settings!$C$2</f>
        <v>Kazakhstan</v>
      </c>
      <c r="B3" s="8" t="s">
        <v>267</v>
      </c>
      <c r="C3" s="8" t="s">
        <v>101</v>
      </c>
      <c r="D3" s="8" t="str">
        <f>CONCATENATE(settings!$C$6,settings!$C$5)</f>
        <v>../Kazakhstan_DB.xlsx</v>
      </c>
      <c r="E3" s="16" t="s">
        <v>66</v>
      </c>
      <c r="F3" s="10" t="s">
        <v>172</v>
      </c>
      <c r="G3" s="8" t="s">
        <v>32</v>
      </c>
      <c r="H3" s="8" t="s">
        <v>21</v>
      </c>
      <c r="I3" s="8" t="s">
        <v>13</v>
      </c>
      <c r="J3" s="8" t="s">
        <v>22</v>
      </c>
      <c r="K3" s="8" t="s">
        <v>16</v>
      </c>
      <c r="L3" s="8" t="s">
        <v>66</v>
      </c>
      <c r="M3" s="9">
        <v>36161</v>
      </c>
      <c r="N3" s="9">
        <v>44166</v>
      </c>
      <c r="O3" s="9">
        <v>36526</v>
      </c>
      <c r="P3" s="8" t="s">
        <v>65</v>
      </c>
    </row>
    <row r="4" spans="1:16" s="11" customFormat="1" ht="15" customHeight="1">
      <c r="A4" s="8" t="str">
        <f>settings!$C$2</f>
        <v>Kazakhstan</v>
      </c>
      <c r="B4" s="8" t="s">
        <v>267</v>
      </c>
      <c r="C4" s="8" t="s">
        <v>101</v>
      </c>
      <c r="D4" s="8" t="str">
        <f>CONCATENATE(settings!$C$6,settings!$C$5)</f>
        <v>../Kazakhstan_DB.xlsx</v>
      </c>
      <c r="E4" s="16" t="s">
        <v>66</v>
      </c>
      <c r="F4" s="10" t="s">
        <v>210</v>
      </c>
      <c r="G4" s="8" t="s">
        <v>32</v>
      </c>
      <c r="H4" s="8" t="s">
        <v>21</v>
      </c>
      <c r="I4" s="8" t="s">
        <v>13</v>
      </c>
      <c r="J4" s="8" t="s">
        <v>22</v>
      </c>
      <c r="K4" s="8" t="s">
        <v>16</v>
      </c>
      <c r="L4" s="8" t="s">
        <v>66</v>
      </c>
      <c r="M4" s="9">
        <v>36161</v>
      </c>
      <c r="N4" s="9">
        <v>44166</v>
      </c>
      <c r="O4" s="9">
        <v>36526</v>
      </c>
      <c r="P4" s="8" t="s">
        <v>65</v>
      </c>
    </row>
    <row r="5" spans="1:16" s="11" customFormat="1" ht="15" customHeight="1">
      <c r="A5" s="8" t="str">
        <f>settings!$C$2</f>
        <v>Kazakhstan</v>
      </c>
      <c r="B5" s="8" t="s">
        <v>267</v>
      </c>
      <c r="C5" s="8" t="s">
        <v>101</v>
      </c>
      <c r="D5" s="8" t="str">
        <f>CONCATENATE(settings!$C$6,settings!$C$5)</f>
        <v>../Kazakhstan_DB.xlsx</v>
      </c>
      <c r="E5" s="16" t="s">
        <v>66</v>
      </c>
      <c r="F5" s="10" t="s">
        <v>77</v>
      </c>
      <c r="G5" s="8" t="s">
        <v>32</v>
      </c>
      <c r="H5" s="8" t="s">
        <v>21</v>
      </c>
      <c r="I5" s="8" t="s">
        <v>13</v>
      </c>
      <c r="J5" s="8" t="s">
        <v>22</v>
      </c>
      <c r="K5" s="8" t="s">
        <v>16</v>
      </c>
      <c r="L5" s="8" t="s">
        <v>66</v>
      </c>
      <c r="M5" s="9">
        <v>36161</v>
      </c>
      <c r="N5" s="9">
        <v>44166</v>
      </c>
      <c r="O5" s="9">
        <v>36526</v>
      </c>
      <c r="P5" s="8" t="s">
        <v>65</v>
      </c>
    </row>
    <row r="6" spans="1:16" s="11" customFormat="1" ht="15" customHeight="1">
      <c r="A6" s="8" t="str">
        <f>settings!$C$2</f>
        <v>Kazakhstan</v>
      </c>
      <c r="B6" s="8" t="s">
        <v>267</v>
      </c>
      <c r="C6" s="8" t="s">
        <v>101</v>
      </c>
      <c r="D6" s="8" t="str">
        <f>CONCATENATE(settings!$C$6,settings!$C$5)</f>
        <v>../Kazakhstan_DB.xlsx</v>
      </c>
      <c r="E6" s="16" t="s">
        <v>66</v>
      </c>
      <c r="F6" s="10" t="s">
        <v>78</v>
      </c>
      <c r="G6" s="8" t="s">
        <v>32</v>
      </c>
      <c r="H6" s="8" t="s">
        <v>21</v>
      </c>
      <c r="I6" s="8" t="s">
        <v>13</v>
      </c>
      <c r="J6" s="8" t="s">
        <v>22</v>
      </c>
      <c r="K6" s="8" t="s">
        <v>16</v>
      </c>
      <c r="L6" s="8" t="s">
        <v>66</v>
      </c>
      <c r="M6" s="9">
        <v>36161</v>
      </c>
      <c r="N6" s="9">
        <v>44166</v>
      </c>
      <c r="O6" s="9">
        <v>36526</v>
      </c>
      <c r="P6" s="8" t="s">
        <v>65</v>
      </c>
    </row>
    <row r="7" spans="1:16" s="11" customFormat="1" ht="15" customHeight="1">
      <c r="A7" s="8" t="str">
        <f>settings!$C$2</f>
        <v>Kazakhstan</v>
      </c>
      <c r="B7" s="8" t="s">
        <v>267</v>
      </c>
      <c r="C7" s="8" t="s">
        <v>101</v>
      </c>
      <c r="D7" s="8" t="str">
        <f>CONCATENATE(settings!$C$6,settings!$C$5)</f>
        <v>../Kazakhstan_DB.xlsx</v>
      </c>
      <c r="E7" s="16" t="s">
        <v>66</v>
      </c>
      <c r="F7" s="10" t="s">
        <v>3</v>
      </c>
      <c r="G7" s="8" t="s">
        <v>32</v>
      </c>
      <c r="H7" s="8" t="s">
        <v>21</v>
      </c>
      <c r="I7" s="8" t="s">
        <v>13</v>
      </c>
      <c r="J7" s="8" t="s">
        <v>22</v>
      </c>
      <c r="K7" s="8" t="s">
        <v>16</v>
      </c>
      <c r="L7" s="8" t="s">
        <v>66</v>
      </c>
      <c r="M7" s="9">
        <v>36161</v>
      </c>
      <c r="N7" s="9">
        <v>44166</v>
      </c>
      <c r="O7" s="9">
        <v>36526</v>
      </c>
      <c r="P7" s="8" t="s">
        <v>65</v>
      </c>
    </row>
    <row r="8" spans="1:16" s="11" customFormat="1" ht="15" customHeight="1">
      <c r="A8" s="8" t="str">
        <f>settings!$C$2</f>
        <v>Kazakhstan</v>
      </c>
      <c r="B8" s="8" t="s">
        <v>267</v>
      </c>
      <c r="C8" s="8" t="s">
        <v>101</v>
      </c>
      <c r="D8" s="8" t="str">
        <f>CONCATENATE(settings!$C$6,settings!$C$5)</f>
        <v>../Kazakhstan_DB.xlsx</v>
      </c>
      <c r="E8" s="16" t="s">
        <v>66</v>
      </c>
      <c r="F8" s="10" t="s">
        <v>97</v>
      </c>
      <c r="G8" s="8" t="s">
        <v>32</v>
      </c>
      <c r="H8" s="8" t="s">
        <v>21</v>
      </c>
      <c r="I8" s="8" t="s">
        <v>31</v>
      </c>
      <c r="J8" s="8" t="s">
        <v>22</v>
      </c>
      <c r="K8" s="8" t="s">
        <v>16</v>
      </c>
      <c r="L8" s="8" t="s">
        <v>66</v>
      </c>
      <c r="M8" s="9">
        <v>36161</v>
      </c>
      <c r="N8" s="9">
        <v>44166</v>
      </c>
      <c r="O8" s="9">
        <v>36526</v>
      </c>
      <c r="P8" s="8" t="s">
        <v>65</v>
      </c>
    </row>
    <row r="9" spans="1:16" s="22" customFormat="1" ht="15" customHeight="1">
      <c r="A9" s="18" t="str">
        <f>settings!$C$2</f>
        <v>Kazakhstan</v>
      </c>
      <c r="B9" s="18" t="s">
        <v>267</v>
      </c>
      <c r="C9" s="18" t="s">
        <v>101</v>
      </c>
      <c r="D9" s="18" t="str">
        <f>CONCATENATE(settings!$C$6,settings!$C$5)</f>
        <v>../Kazakhstan_DB.xlsx</v>
      </c>
      <c r="E9" s="19" t="s">
        <v>66</v>
      </c>
      <c r="F9" s="21" t="s">
        <v>98</v>
      </c>
      <c r="G9" s="18" t="s">
        <v>32</v>
      </c>
      <c r="H9" s="18" t="s">
        <v>21</v>
      </c>
      <c r="I9" s="18" t="s">
        <v>31</v>
      </c>
      <c r="J9" s="18" t="s">
        <v>22</v>
      </c>
      <c r="K9" s="18" t="s">
        <v>16</v>
      </c>
      <c r="L9" s="18" t="s">
        <v>66</v>
      </c>
      <c r="M9" s="20">
        <v>36161</v>
      </c>
      <c r="N9" s="9">
        <v>44166</v>
      </c>
      <c r="O9" s="20">
        <v>36526</v>
      </c>
      <c r="P9" s="18" t="s">
        <v>65</v>
      </c>
    </row>
    <row r="10" spans="1:16" s="11" customFormat="1" ht="15" customHeight="1">
      <c r="A10" s="8" t="str">
        <f>settings!$C$2</f>
        <v>Kazakhstan</v>
      </c>
      <c r="B10" s="8" t="s">
        <v>267</v>
      </c>
      <c r="C10" s="8" t="s">
        <v>101</v>
      </c>
      <c r="D10" s="8" t="str">
        <f>CONCATENATE(settings!$C$6,settings!$C$5)</f>
        <v>../Kazakhstan_DB.xlsx</v>
      </c>
      <c r="E10" s="16" t="s">
        <v>66</v>
      </c>
      <c r="F10" s="10" t="s">
        <v>1</v>
      </c>
      <c r="G10" s="8" t="s">
        <v>32</v>
      </c>
      <c r="H10" s="8" t="s">
        <v>21</v>
      </c>
      <c r="I10" s="8" t="s">
        <v>13</v>
      </c>
      <c r="J10" s="8" t="s">
        <v>22</v>
      </c>
      <c r="K10" s="8" t="s">
        <v>16</v>
      </c>
      <c r="L10" s="8" t="s">
        <v>66</v>
      </c>
      <c r="M10" s="9">
        <v>36161</v>
      </c>
      <c r="N10" s="9">
        <v>44166</v>
      </c>
      <c r="O10" s="9">
        <v>36526</v>
      </c>
      <c r="P10" s="8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-0.499984740745262"/>
  </sheetPr>
  <dimension ref="B1:L30"/>
  <sheetViews>
    <sheetView tabSelected="1" workbookViewId="0">
      <selection activeCell="C46" sqref="C46"/>
    </sheetView>
  </sheetViews>
  <sheetFormatPr baseColWidth="10" defaultColWidth="8.83203125" defaultRowHeight="15"/>
  <cols>
    <col min="2" max="2" width="19" customWidth="1" collapsed="1"/>
    <col min="3" max="3" width="68.5" customWidth="1" collapsed="1"/>
    <col min="7" max="7" width="12.33203125" customWidth="1" collapsed="1"/>
    <col min="8" max="8" width="10.5" bestFit="1" customWidth="1" collapsed="1"/>
  </cols>
  <sheetData>
    <row r="1" spans="2:12">
      <c r="B1" s="4" t="s">
        <v>102</v>
      </c>
      <c r="C1" s="4" t="s">
        <v>103</v>
      </c>
      <c r="D1" s="4" t="s">
        <v>109</v>
      </c>
      <c r="G1" s="4" t="s">
        <v>150</v>
      </c>
      <c r="H1" s="3">
        <v>36495</v>
      </c>
      <c r="K1" s="28" t="s">
        <v>167</v>
      </c>
      <c r="L1" s="28"/>
    </row>
    <row r="2" spans="2:12">
      <c r="B2" t="s">
        <v>12</v>
      </c>
      <c r="C2" s="23" t="s">
        <v>266</v>
      </c>
      <c r="K2">
        <v>3</v>
      </c>
      <c r="L2" t="s">
        <v>163</v>
      </c>
    </row>
    <row r="3" spans="2:12">
      <c r="B3" s="17" t="s">
        <v>112</v>
      </c>
      <c r="C3" s="23" t="str">
        <f>CONCATENATE(C2,"_Model.xlsm")</f>
        <v>Kazakhstan_Model.xlsm</v>
      </c>
      <c r="K3">
        <v>6</v>
      </c>
      <c r="L3" t="s">
        <v>164</v>
      </c>
    </row>
    <row r="4" spans="2:12">
      <c r="B4" s="17" t="s">
        <v>104</v>
      </c>
      <c r="C4" s="26" t="s">
        <v>309</v>
      </c>
      <c r="D4" t="s">
        <v>107</v>
      </c>
      <c r="K4">
        <v>9</v>
      </c>
      <c r="L4" t="s">
        <v>165</v>
      </c>
    </row>
    <row r="5" spans="2:12">
      <c r="B5" s="17" t="s">
        <v>110</v>
      </c>
      <c r="C5" t="str">
        <f>CONCATENATE(C2,"_DB.xlsx")</f>
        <v>Kazakhstan_DB.xlsx</v>
      </c>
      <c r="K5">
        <v>12</v>
      </c>
      <c r="L5" t="s">
        <v>166</v>
      </c>
    </row>
    <row r="6" spans="2:12">
      <c r="B6" s="17" t="s">
        <v>105</v>
      </c>
      <c r="C6" s="26" t="s">
        <v>310</v>
      </c>
      <c r="D6" t="s">
        <v>107</v>
      </c>
    </row>
    <row r="7" spans="2:12">
      <c r="B7" s="17" t="s">
        <v>111</v>
      </c>
      <c r="C7" t="str">
        <f>CONCATENATE(C2,"_Charts.xlsm")</f>
        <v>Kazakhstan_Charts.xlsm</v>
      </c>
      <c r="D7" t="s">
        <v>108</v>
      </c>
    </row>
    <row r="8" spans="2:12">
      <c r="B8" s="17" t="s">
        <v>106</v>
      </c>
      <c r="C8" t="s">
        <v>307</v>
      </c>
      <c r="D8" t="s">
        <v>108</v>
      </c>
    </row>
    <row r="9" spans="2:12">
      <c r="B9" s="25" t="s">
        <v>278</v>
      </c>
      <c r="C9" t="s">
        <v>308</v>
      </c>
      <c r="D9" t="s">
        <v>108</v>
      </c>
      <c r="G9" s="27" t="s">
        <v>279</v>
      </c>
    </row>
    <row r="10" spans="2:12">
      <c r="B10" s="17"/>
    </row>
    <row r="11" spans="2:12">
      <c r="B11" s="17" t="s">
        <v>169</v>
      </c>
      <c r="C11" t="str">
        <f>CONCATENATE(C2,"_Sectors_Charts.xlsm")</f>
        <v>Kazakhstan_Sectors_Charts.xlsm</v>
      </c>
      <c r="D11" t="s">
        <v>108</v>
      </c>
    </row>
    <row r="12" spans="2:12">
      <c r="B12" s="17" t="s">
        <v>168</v>
      </c>
      <c r="C12" t="s">
        <v>307</v>
      </c>
      <c r="D12" t="s">
        <v>108</v>
      </c>
    </row>
    <row r="20" spans="2:8">
      <c r="G20" s="4" t="s">
        <v>272</v>
      </c>
      <c r="H20" t="s">
        <v>271</v>
      </c>
    </row>
    <row r="21" spans="2:8">
      <c r="G21" s="4" t="s">
        <v>273</v>
      </c>
      <c r="H21" t="s">
        <v>268</v>
      </c>
    </row>
    <row r="22" spans="2:8">
      <c r="G22" s="4" t="s">
        <v>274</v>
      </c>
      <c r="H22" t="s">
        <v>275</v>
      </c>
    </row>
    <row r="25" spans="2:8">
      <c r="C25" s="23"/>
    </row>
    <row r="26" spans="2:8">
      <c r="C26" s="23"/>
    </row>
    <row r="27" spans="2:8">
      <c r="C27" s="23"/>
    </row>
    <row r="28" spans="2:8">
      <c r="C28" s="23"/>
    </row>
    <row r="29" spans="2:8">
      <c r="B29" s="4" t="s">
        <v>277</v>
      </c>
      <c r="C29" s="24">
        <f ca="1">NOW()</f>
        <v>45127.710692939814</v>
      </c>
    </row>
    <row r="30" spans="2:8">
      <c r="B30" s="4" t="s">
        <v>276</v>
      </c>
      <c r="C30" s="24">
        <f ca="1">NOW()</f>
        <v>45127.710692939814</v>
      </c>
    </row>
  </sheetData>
  <mergeCells count="1">
    <mergeCell ref="K1:L1"/>
  </mergeCells>
  <hyperlinks>
    <hyperlink ref="G9" r:id="rId1" display="\\msk.trd.ru\HQ\FileServ\ANALIS\USER\Anton\Database Kazakhstan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5" name="Button 1">
              <controlPr defaultSize="0" print="0" autoFill="0" autoPict="0" macro="[0]!ClearData">
                <anchor moveWithCells="1" sizeWithCells="1">
                  <from>
                    <xdr:col>1</xdr:col>
                    <xdr:colOff>38100</xdr:colOff>
                    <xdr:row>14</xdr:row>
                    <xdr:rowOff>25400</xdr:rowOff>
                  </from>
                  <to>
                    <xdr:col>2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6" name="Button 2">
              <controlPr defaultSize="0" print="0" autoFill="0" autoPict="0" macro="[0]!MakeFormat">
                <anchor moveWithCells="1" sizeWithCells="1">
                  <from>
                    <xdr:col>1</xdr:col>
                    <xdr:colOff>12700</xdr:colOff>
                    <xdr:row>16</xdr:row>
                    <xdr:rowOff>0</xdr:rowOff>
                  </from>
                  <to>
                    <xdr:col>1</xdr:col>
                    <xdr:colOff>1371600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7" name="Button 3">
              <controlPr defaultSize="0" print="0" autoFill="0" autoPict="0" macro="[0]!Save_charts">
                <anchor moveWithCells="1">
                  <from>
                    <xdr:col>1</xdr:col>
                    <xdr:colOff>25400</xdr:colOff>
                    <xdr:row>18</xdr:row>
                    <xdr:rowOff>50800</xdr:rowOff>
                  </from>
                  <to>
                    <xdr:col>1</xdr:col>
                    <xdr:colOff>1333500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8" name="Button 4">
              <controlPr defaultSize="0" print="0" autoFill="0" autoPict="0" macro="[0]!Save_charts_Sectors">
                <anchor moveWithCells="1">
                  <from>
                    <xdr:col>1</xdr:col>
                    <xdr:colOff>0</xdr:colOff>
                    <xdr:row>21</xdr:row>
                    <xdr:rowOff>25400</xdr:rowOff>
                  </from>
                  <to>
                    <xdr:col>1</xdr:col>
                    <xdr:colOff>1600200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9" name="Button 5">
              <controlPr defaultSize="0" print="0" autoFill="0" autoPict="0" macro="[0]!Save_charts_forecast">
                <anchor moveWithCells="1" sizeWithCells="1">
                  <from>
                    <xdr:col>0</xdr:col>
                    <xdr:colOff>749300</xdr:colOff>
                    <xdr:row>23</xdr:row>
                    <xdr:rowOff>190500</xdr:rowOff>
                  </from>
                  <to>
                    <xdr:col>2</xdr:col>
                    <xdr:colOff>38100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rgb="FFC00000"/>
  </sheetPr>
  <dimension ref="A1:P200"/>
  <sheetViews>
    <sheetView zoomScale="110" zoomScaleNormal="110" workbookViewId="0">
      <selection activeCell="D31" sqref="D31"/>
    </sheetView>
  </sheetViews>
  <sheetFormatPr baseColWidth="10" defaultColWidth="8.83203125" defaultRowHeight="15"/>
  <cols>
    <col min="1" max="1" width="18.5" customWidth="1" collapsed="1"/>
    <col min="2" max="2" width="16.5" customWidth="1" collapsed="1"/>
    <col min="3" max="3" width="11.33203125" customWidth="1" collapsed="1"/>
    <col min="4" max="4" width="53.1640625" customWidth="1" collapsed="1"/>
    <col min="5" max="5" width="11.5" style="14" customWidth="1" collapsed="1"/>
    <col min="6" max="6" width="31.6640625" customWidth="1" collapsed="1"/>
    <col min="7" max="12" width="8.83203125" collapsed="1"/>
    <col min="13" max="13" width="13.6640625" customWidth="1" collapsed="1"/>
    <col min="14" max="14" width="13.33203125" customWidth="1" collapsed="1"/>
    <col min="15" max="15" width="14.6640625" customWidth="1" collapsed="1"/>
    <col min="16" max="16" width="15.5" customWidth="1" collapsed="1"/>
    <col min="17" max="16384" width="8.83203125" collapsed="1"/>
  </cols>
  <sheetData>
    <row r="1" spans="1:16">
      <c r="A1" s="6" t="s">
        <v>99</v>
      </c>
      <c r="B1" s="6" t="s">
        <v>100</v>
      </c>
      <c r="C1" s="6" t="s">
        <v>228</v>
      </c>
      <c r="D1" s="6" t="s">
        <v>24</v>
      </c>
      <c r="E1" s="15" t="s">
        <v>25</v>
      </c>
      <c r="F1" s="6" t="s">
        <v>14</v>
      </c>
      <c r="G1" s="6" t="s">
        <v>15</v>
      </c>
      <c r="H1" s="6" t="s">
        <v>16</v>
      </c>
      <c r="I1" s="12" t="s">
        <v>17</v>
      </c>
      <c r="J1" s="12" t="s">
        <v>18</v>
      </c>
      <c r="K1" s="12" t="s">
        <v>19</v>
      </c>
      <c r="L1" s="12" t="s">
        <v>28</v>
      </c>
      <c r="M1" s="12" t="s">
        <v>26</v>
      </c>
      <c r="N1" s="12" t="s">
        <v>27</v>
      </c>
      <c r="O1" s="12" t="s">
        <v>29</v>
      </c>
      <c r="P1" s="7" t="s">
        <v>30</v>
      </c>
    </row>
    <row r="2" spans="1:16" s="11" customFormat="1">
      <c r="A2" s="8" t="str">
        <f>settings!$C$2</f>
        <v>Kazakhstan</v>
      </c>
      <c r="B2" s="8" t="s">
        <v>267</v>
      </c>
      <c r="C2" s="8" t="s">
        <v>101</v>
      </c>
      <c r="D2" s="8" t="str">
        <f>CONCATENATE(settings!$C$6,settings!$C$5)</f>
        <v>../Kazakhstan_DB.xlsx</v>
      </c>
      <c r="E2" s="16" t="s">
        <v>66</v>
      </c>
      <c r="F2" s="10" t="s">
        <v>20</v>
      </c>
      <c r="G2" s="8" t="s">
        <v>15</v>
      </c>
      <c r="H2" s="8" t="s">
        <v>21</v>
      </c>
      <c r="I2" s="8" t="s">
        <v>13</v>
      </c>
      <c r="J2" s="8" t="s">
        <v>22</v>
      </c>
      <c r="K2" s="8" t="s">
        <v>21</v>
      </c>
      <c r="L2" s="8" t="s">
        <v>66</v>
      </c>
      <c r="M2" s="9">
        <v>36161</v>
      </c>
      <c r="N2" s="9">
        <v>45627</v>
      </c>
      <c r="O2" s="9">
        <v>36526</v>
      </c>
      <c r="P2" s="8" t="s">
        <v>66</v>
      </c>
    </row>
    <row r="3" spans="1:16" s="11" customFormat="1">
      <c r="A3" s="8" t="str">
        <f>settings!$C$2</f>
        <v>Kazakhstan</v>
      </c>
      <c r="B3" s="8" t="s">
        <v>267</v>
      </c>
      <c r="C3" s="8" t="s">
        <v>101</v>
      </c>
      <c r="D3" s="8" t="str">
        <f>CONCATENATE(settings!$C$6,settings!$C$5)</f>
        <v>../Kazakhstan_DB.xlsx</v>
      </c>
      <c r="E3" s="16" t="s">
        <v>66</v>
      </c>
      <c r="F3" s="10" t="s">
        <v>5</v>
      </c>
      <c r="G3" s="8" t="s">
        <v>15</v>
      </c>
      <c r="H3" s="8" t="s">
        <v>21</v>
      </c>
      <c r="I3" s="8" t="s">
        <v>13</v>
      </c>
      <c r="J3" s="8" t="s">
        <v>22</v>
      </c>
      <c r="K3" s="8" t="s">
        <v>21</v>
      </c>
      <c r="L3" s="8" t="s">
        <v>66</v>
      </c>
      <c r="M3" s="9">
        <v>36161</v>
      </c>
      <c r="N3" s="9">
        <v>45627</v>
      </c>
      <c r="O3" s="9">
        <v>36526</v>
      </c>
      <c r="P3" s="8" t="s">
        <v>66</v>
      </c>
    </row>
    <row r="4" spans="1:16" s="11" customFormat="1">
      <c r="A4" s="8" t="str">
        <f>settings!$C$2</f>
        <v>Kazakhstan</v>
      </c>
      <c r="B4" s="8" t="s">
        <v>267</v>
      </c>
      <c r="C4" s="8" t="s">
        <v>101</v>
      </c>
      <c r="D4" s="8" t="str">
        <f>CONCATENATE(settings!$C$6,settings!$C$5)</f>
        <v>../Kazakhstan_DB.xlsx</v>
      </c>
      <c r="E4" s="16" t="s">
        <v>66</v>
      </c>
      <c r="F4" s="10" t="s">
        <v>6</v>
      </c>
      <c r="G4" s="8" t="s">
        <v>15</v>
      </c>
      <c r="H4" s="8" t="s">
        <v>21</v>
      </c>
      <c r="I4" s="8" t="s">
        <v>13</v>
      </c>
      <c r="J4" s="8" t="s">
        <v>22</v>
      </c>
      <c r="K4" s="8" t="s">
        <v>21</v>
      </c>
      <c r="L4" s="8" t="s">
        <v>66</v>
      </c>
      <c r="M4" s="9">
        <v>36161</v>
      </c>
      <c r="N4" s="9">
        <v>45627</v>
      </c>
      <c r="O4" s="9">
        <v>36526</v>
      </c>
      <c r="P4" s="8" t="s">
        <v>66</v>
      </c>
    </row>
    <row r="5" spans="1:16" s="11" customFormat="1">
      <c r="A5" s="8" t="str">
        <f>settings!$C$2</f>
        <v>Kazakhstan</v>
      </c>
      <c r="B5" s="8" t="s">
        <v>267</v>
      </c>
      <c r="C5" s="8" t="s">
        <v>101</v>
      </c>
      <c r="D5" s="8" t="str">
        <f>CONCATENATE(settings!$C$6,settings!$C$5)</f>
        <v>../Kazakhstan_DB.xlsx</v>
      </c>
      <c r="E5" s="16" t="s">
        <v>66</v>
      </c>
      <c r="F5" s="10" t="s">
        <v>229</v>
      </c>
      <c r="G5" s="8" t="s">
        <v>15</v>
      </c>
      <c r="H5" s="8" t="s">
        <v>21</v>
      </c>
      <c r="I5" s="8" t="s">
        <v>13</v>
      </c>
      <c r="J5" s="8" t="s">
        <v>22</v>
      </c>
      <c r="K5" s="8" t="s">
        <v>21</v>
      </c>
      <c r="L5" s="8" t="s">
        <v>66</v>
      </c>
      <c r="M5" s="9">
        <v>36161</v>
      </c>
      <c r="N5" s="9">
        <v>45627</v>
      </c>
      <c r="O5" s="9">
        <v>36526</v>
      </c>
      <c r="P5" s="8" t="s">
        <v>66</v>
      </c>
    </row>
    <row r="6" spans="1:16" s="11" customFormat="1">
      <c r="A6" s="8" t="str">
        <f>settings!$C$2</f>
        <v>Kazakhstan</v>
      </c>
      <c r="B6" s="8" t="s">
        <v>267</v>
      </c>
      <c r="C6" s="8" t="s">
        <v>101</v>
      </c>
      <c r="D6" s="8" t="str">
        <f>CONCATENATE(settings!$C$6,settings!$C$5)</f>
        <v>../Kazakhstan_DB.xlsx</v>
      </c>
      <c r="E6" s="16" t="s">
        <v>66</v>
      </c>
      <c r="F6" s="10" t="s">
        <v>230</v>
      </c>
      <c r="G6" s="8" t="s">
        <v>15</v>
      </c>
      <c r="H6" s="8" t="s">
        <v>21</v>
      </c>
      <c r="I6" s="8" t="s">
        <v>13</v>
      </c>
      <c r="J6" s="8" t="s">
        <v>22</v>
      </c>
      <c r="K6" s="8" t="s">
        <v>21</v>
      </c>
      <c r="L6" s="8" t="s">
        <v>66</v>
      </c>
      <c r="M6" s="9">
        <v>36161</v>
      </c>
      <c r="N6" s="9">
        <v>45627</v>
      </c>
      <c r="O6" s="9">
        <v>36526</v>
      </c>
      <c r="P6" s="8" t="s">
        <v>66</v>
      </c>
    </row>
    <row r="7" spans="1:16" s="11" customFormat="1">
      <c r="A7" s="8" t="str">
        <f>settings!$C$2</f>
        <v>Kazakhstan</v>
      </c>
      <c r="B7" s="8" t="s">
        <v>267</v>
      </c>
      <c r="C7" s="8" t="s">
        <v>101</v>
      </c>
      <c r="D7" s="8" t="str">
        <f>CONCATENATE(settings!$C$6,settings!$C$5)</f>
        <v>../Kazakhstan_DB.xlsx</v>
      </c>
      <c r="E7" s="16" t="s">
        <v>66</v>
      </c>
      <c r="F7" s="10" t="s">
        <v>231</v>
      </c>
      <c r="G7" s="8" t="s">
        <v>15</v>
      </c>
      <c r="H7" s="8" t="s">
        <v>21</v>
      </c>
      <c r="I7" s="8" t="s">
        <v>13</v>
      </c>
      <c r="J7" s="8" t="s">
        <v>22</v>
      </c>
      <c r="K7" s="8" t="s">
        <v>21</v>
      </c>
      <c r="L7" s="8" t="s">
        <v>66</v>
      </c>
      <c r="M7" s="9">
        <v>36161</v>
      </c>
      <c r="N7" s="9">
        <v>45627</v>
      </c>
      <c r="O7" s="9">
        <v>36526</v>
      </c>
      <c r="P7" s="8" t="s">
        <v>66</v>
      </c>
    </row>
    <row r="8" spans="1:16" s="11" customFormat="1">
      <c r="A8" s="8" t="str">
        <f>settings!$C$2</f>
        <v>Kazakhstan</v>
      </c>
      <c r="B8" s="8" t="s">
        <v>267</v>
      </c>
      <c r="C8" s="8" t="s">
        <v>101</v>
      </c>
      <c r="D8" s="8" t="str">
        <f>CONCATENATE(settings!$C$6,settings!$C$5)</f>
        <v>../Kazakhstan_DB.xlsx</v>
      </c>
      <c r="E8" s="16" t="s">
        <v>66</v>
      </c>
      <c r="F8" s="10" t="s">
        <v>232</v>
      </c>
      <c r="G8" s="8" t="s">
        <v>15</v>
      </c>
      <c r="H8" s="8" t="s">
        <v>21</v>
      </c>
      <c r="I8" s="8" t="s">
        <v>13</v>
      </c>
      <c r="J8" s="8" t="s">
        <v>22</v>
      </c>
      <c r="K8" s="8" t="s">
        <v>21</v>
      </c>
      <c r="L8" s="8" t="s">
        <v>66</v>
      </c>
      <c r="M8" s="9">
        <v>36161</v>
      </c>
      <c r="N8" s="9">
        <v>45627</v>
      </c>
      <c r="O8" s="9">
        <v>36526</v>
      </c>
      <c r="P8" s="8" t="s">
        <v>66</v>
      </c>
    </row>
    <row r="9" spans="1:16" s="11" customFormat="1">
      <c r="A9" s="8" t="str">
        <f>settings!$C$2</f>
        <v>Kazakhstan</v>
      </c>
      <c r="B9" s="8" t="s">
        <v>267</v>
      </c>
      <c r="C9" s="8" t="s">
        <v>101</v>
      </c>
      <c r="D9" s="8" t="str">
        <f>CONCATENATE(settings!$C$6,settings!$C$5)</f>
        <v>../Kazakhstan_DB.xlsx</v>
      </c>
      <c r="E9" s="16" t="s">
        <v>66</v>
      </c>
      <c r="F9" s="10" t="s">
        <v>0</v>
      </c>
      <c r="G9" s="8" t="s">
        <v>15</v>
      </c>
      <c r="H9" s="8" t="s">
        <v>21</v>
      </c>
      <c r="I9" s="8" t="s">
        <v>13</v>
      </c>
      <c r="J9" s="8" t="s">
        <v>22</v>
      </c>
      <c r="K9" s="8" t="s">
        <v>21</v>
      </c>
      <c r="L9" s="8" t="s">
        <v>66</v>
      </c>
      <c r="M9" s="9">
        <v>36161</v>
      </c>
      <c r="N9" s="9">
        <v>45627</v>
      </c>
      <c r="O9" s="9">
        <v>36526</v>
      </c>
      <c r="P9" s="8" t="s">
        <v>66</v>
      </c>
    </row>
    <row r="10" spans="1:16" s="11" customFormat="1">
      <c r="A10" s="8" t="str">
        <f>settings!$C$2</f>
        <v>Kazakhstan</v>
      </c>
      <c r="B10" s="8" t="s">
        <v>267</v>
      </c>
      <c r="C10" s="8" t="s">
        <v>101</v>
      </c>
      <c r="D10" s="8" t="str">
        <f>CONCATENATE(settings!$C$6,settings!$C$5)</f>
        <v>../Kazakhstan_DB.xlsx</v>
      </c>
      <c r="E10" s="16" t="s">
        <v>66</v>
      </c>
      <c r="F10" s="10" t="s">
        <v>76</v>
      </c>
      <c r="G10" s="8" t="s">
        <v>15</v>
      </c>
      <c r="H10" s="8" t="s">
        <v>21</v>
      </c>
      <c r="I10" s="8" t="s">
        <v>13</v>
      </c>
      <c r="J10" s="8" t="s">
        <v>22</v>
      </c>
      <c r="K10" s="8" t="s">
        <v>21</v>
      </c>
      <c r="L10" s="8" t="s">
        <v>66</v>
      </c>
      <c r="M10" s="9">
        <v>36161</v>
      </c>
      <c r="N10" s="9">
        <v>45627</v>
      </c>
      <c r="O10" s="9">
        <v>36526</v>
      </c>
      <c r="P10" s="8" t="s">
        <v>66</v>
      </c>
    </row>
    <row r="11" spans="1:16" s="11" customFormat="1">
      <c r="A11" s="8" t="str">
        <f>settings!$C$2</f>
        <v>Kazakhstan</v>
      </c>
      <c r="B11" s="8" t="s">
        <v>267</v>
      </c>
      <c r="C11" s="8" t="s">
        <v>101</v>
      </c>
      <c r="D11" s="8" t="str">
        <f>CONCATENATE(settings!$C$6,settings!$C$5)</f>
        <v>../Kazakhstan_DB.xlsx</v>
      </c>
      <c r="E11" s="16" t="s">
        <v>66</v>
      </c>
      <c r="F11" s="10" t="s">
        <v>212</v>
      </c>
      <c r="G11" s="8" t="s">
        <v>15</v>
      </c>
      <c r="H11" s="8" t="s">
        <v>21</v>
      </c>
      <c r="I11" s="8" t="s">
        <v>13</v>
      </c>
      <c r="J11" s="8" t="s">
        <v>22</v>
      </c>
      <c r="K11" s="8" t="s">
        <v>21</v>
      </c>
      <c r="L11" s="8" t="s">
        <v>66</v>
      </c>
      <c r="M11" s="9">
        <v>36161</v>
      </c>
      <c r="N11" s="9">
        <v>45627</v>
      </c>
      <c r="O11" s="9">
        <v>36526</v>
      </c>
      <c r="P11" s="8" t="s">
        <v>66</v>
      </c>
    </row>
    <row r="12" spans="1:16" s="8" customFormat="1">
      <c r="A12" s="8" t="str">
        <f>settings!$C$2</f>
        <v>Kazakhstan</v>
      </c>
      <c r="B12" s="8" t="s">
        <v>267</v>
      </c>
      <c r="C12" s="8" t="s">
        <v>101</v>
      </c>
      <c r="D12" s="8" t="str">
        <f>CONCATENATE(settings!$C$6,settings!$C$5)</f>
        <v>../Kazakhstan_DB.xlsx</v>
      </c>
      <c r="E12" s="16" t="s">
        <v>66</v>
      </c>
      <c r="F12" s="10" t="s">
        <v>23</v>
      </c>
      <c r="G12" s="8" t="s">
        <v>15</v>
      </c>
      <c r="H12" s="8" t="s">
        <v>21</v>
      </c>
      <c r="I12" s="8" t="s">
        <v>13</v>
      </c>
      <c r="J12" s="8" t="s">
        <v>22</v>
      </c>
      <c r="K12" s="8" t="s">
        <v>21</v>
      </c>
      <c r="L12" s="8" t="s">
        <v>66</v>
      </c>
      <c r="M12" s="9">
        <v>36161</v>
      </c>
      <c r="N12" s="9">
        <v>45627</v>
      </c>
      <c r="O12" s="9">
        <v>36526</v>
      </c>
      <c r="P12" s="8" t="s">
        <v>66</v>
      </c>
    </row>
    <row r="13" spans="1:16" s="8" customFormat="1">
      <c r="A13" s="8" t="str">
        <f>settings!$C$2</f>
        <v>Kazakhstan</v>
      </c>
      <c r="B13" s="8" t="s">
        <v>267</v>
      </c>
      <c r="C13" s="8" t="s">
        <v>101</v>
      </c>
      <c r="D13" s="8" t="str">
        <f>CONCATENATE(settings!$C$6,settings!$C$5)</f>
        <v>../Kazakhstan_DB.xlsx</v>
      </c>
      <c r="E13" s="16" t="s">
        <v>66</v>
      </c>
      <c r="F13" s="10" t="s">
        <v>141</v>
      </c>
      <c r="G13" s="8" t="s">
        <v>15</v>
      </c>
      <c r="H13" s="8" t="s">
        <v>21</v>
      </c>
      <c r="I13" s="8" t="s">
        <v>13</v>
      </c>
      <c r="J13" s="8" t="s">
        <v>22</v>
      </c>
      <c r="K13" s="8" t="s">
        <v>21</v>
      </c>
      <c r="L13" s="8" t="s">
        <v>66</v>
      </c>
      <c r="M13" s="9">
        <v>36161</v>
      </c>
      <c r="N13" s="9">
        <v>45627</v>
      </c>
      <c r="O13" s="9">
        <v>36526</v>
      </c>
      <c r="P13" s="8" t="s">
        <v>66</v>
      </c>
    </row>
    <row r="14" spans="1:16" s="8" customFormat="1">
      <c r="A14" s="8" t="str">
        <f>settings!$C$2</f>
        <v>Kazakhstan</v>
      </c>
      <c r="B14" s="8" t="s">
        <v>267</v>
      </c>
      <c r="C14" s="8" t="s">
        <v>101</v>
      </c>
      <c r="D14" s="8" t="str">
        <f>CONCATENATE(settings!$C$6,settings!$C$5)</f>
        <v>../Kazakhstan_DB.xlsx</v>
      </c>
      <c r="E14" s="16" t="s">
        <v>66</v>
      </c>
      <c r="F14" s="10" t="s">
        <v>235</v>
      </c>
      <c r="G14" s="8" t="s">
        <v>15</v>
      </c>
      <c r="H14" s="8" t="s">
        <v>21</v>
      </c>
      <c r="I14" s="8" t="s">
        <v>13</v>
      </c>
      <c r="J14" s="8" t="s">
        <v>22</v>
      </c>
      <c r="K14" s="8" t="s">
        <v>21</v>
      </c>
      <c r="L14" s="8" t="s">
        <v>66</v>
      </c>
      <c r="M14" s="9">
        <v>36161</v>
      </c>
      <c r="N14" s="9">
        <v>45627</v>
      </c>
      <c r="O14" s="9">
        <v>36526</v>
      </c>
      <c r="P14" s="8" t="s">
        <v>66</v>
      </c>
    </row>
    <row r="15" spans="1:16" s="8" customFormat="1">
      <c r="A15" s="8" t="str">
        <f>settings!$C$2</f>
        <v>Kazakhstan</v>
      </c>
      <c r="B15" s="8" t="s">
        <v>267</v>
      </c>
      <c r="C15" s="8" t="s">
        <v>101</v>
      </c>
      <c r="D15" s="8" t="str">
        <f>CONCATENATE(settings!$C$6,settings!$C$5)</f>
        <v>../Kazakhstan_DB.xlsx</v>
      </c>
      <c r="E15" s="16" t="s">
        <v>66</v>
      </c>
      <c r="F15" s="10" t="s">
        <v>213</v>
      </c>
      <c r="G15" s="8" t="s">
        <v>15</v>
      </c>
      <c r="H15" s="8" t="s">
        <v>21</v>
      </c>
      <c r="I15" s="8" t="s">
        <v>13</v>
      </c>
      <c r="J15" s="8" t="s">
        <v>22</v>
      </c>
      <c r="K15" s="8" t="s">
        <v>21</v>
      </c>
      <c r="L15" s="8" t="s">
        <v>66</v>
      </c>
      <c r="M15" s="9">
        <v>36161</v>
      </c>
      <c r="N15" s="9">
        <v>45627</v>
      </c>
      <c r="O15" s="9">
        <v>36526</v>
      </c>
      <c r="P15" s="8" t="s">
        <v>66</v>
      </c>
    </row>
    <row r="16" spans="1:16" s="8" customFormat="1">
      <c r="A16" s="8" t="str">
        <f>settings!$C$2</f>
        <v>Kazakhstan</v>
      </c>
      <c r="B16" s="8" t="s">
        <v>267</v>
      </c>
      <c r="C16" s="8" t="s">
        <v>101</v>
      </c>
      <c r="D16" s="8" t="str">
        <f>CONCATENATE(settings!$C$6,settings!$C$5)</f>
        <v>../Kazakhstan_DB.xlsx</v>
      </c>
      <c r="E16" s="16" t="s">
        <v>66</v>
      </c>
      <c r="F16" s="10" t="s">
        <v>151</v>
      </c>
      <c r="G16" s="8" t="s">
        <v>15</v>
      </c>
      <c r="H16" s="8" t="s">
        <v>21</v>
      </c>
      <c r="I16" s="8" t="s">
        <v>13</v>
      </c>
      <c r="J16" s="8" t="s">
        <v>22</v>
      </c>
      <c r="K16" s="8" t="s">
        <v>21</v>
      </c>
      <c r="L16" s="8" t="s">
        <v>66</v>
      </c>
      <c r="M16" s="9">
        <v>36161</v>
      </c>
      <c r="N16" s="9">
        <v>45627</v>
      </c>
      <c r="O16" s="9">
        <v>36526</v>
      </c>
      <c r="P16" s="8" t="s">
        <v>66</v>
      </c>
    </row>
    <row r="17" spans="1:16" s="8" customFormat="1">
      <c r="A17" s="8" t="str">
        <f>settings!$C$2</f>
        <v>Kazakhstan</v>
      </c>
      <c r="B17" s="8" t="s">
        <v>267</v>
      </c>
      <c r="C17" s="8" t="s">
        <v>101</v>
      </c>
      <c r="D17" s="8" t="str">
        <f>CONCATENATE(settings!$C$6,settings!$C$5)</f>
        <v>../Kazakhstan_DB.xlsx</v>
      </c>
      <c r="E17" s="16" t="s">
        <v>66</v>
      </c>
      <c r="F17" s="10" t="s">
        <v>152</v>
      </c>
      <c r="G17" s="8" t="s">
        <v>15</v>
      </c>
      <c r="H17" s="8" t="s">
        <v>21</v>
      </c>
      <c r="I17" s="8" t="s">
        <v>13</v>
      </c>
      <c r="J17" s="8" t="s">
        <v>22</v>
      </c>
      <c r="K17" s="8" t="s">
        <v>21</v>
      </c>
      <c r="L17" s="8" t="s">
        <v>66</v>
      </c>
      <c r="M17" s="9">
        <v>36161</v>
      </c>
      <c r="N17" s="9">
        <v>45627</v>
      </c>
      <c r="O17" s="9">
        <v>36526</v>
      </c>
      <c r="P17" s="8" t="s">
        <v>66</v>
      </c>
    </row>
    <row r="18" spans="1:16" s="8" customFormat="1">
      <c r="A18" s="8" t="str">
        <f>settings!$C$2</f>
        <v>Kazakhstan</v>
      </c>
      <c r="B18" s="8" t="s">
        <v>267</v>
      </c>
      <c r="C18" s="8" t="s">
        <v>101</v>
      </c>
      <c r="D18" s="8" t="str">
        <f>CONCATENATE(settings!$C$6,settings!$C$5)</f>
        <v>../Kazakhstan_DB.xlsx</v>
      </c>
      <c r="E18" s="16" t="s">
        <v>66</v>
      </c>
      <c r="F18" s="10" t="s">
        <v>214</v>
      </c>
      <c r="G18" s="8" t="s">
        <v>15</v>
      </c>
      <c r="H18" s="8" t="s">
        <v>21</v>
      </c>
      <c r="I18" s="8" t="s">
        <v>13</v>
      </c>
      <c r="J18" s="8" t="s">
        <v>22</v>
      </c>
      <c r="K18" s="8" t="s">
        <v>21</v>
      </c>
      <c r="L18" s="8" t="s">
        <v>66</v>
      </c>
      <c r="M18" s="9">
        <v>36161</v>
      </c>
      <c r="N18" s="9">
        <v>45627</v>
      </c>
      <c r="O18" s="9">
        <v>36526</v>
      </c>
      <c r="P18" s="8" t="s">
        <v>66</v>
      </c>
    </row>
    <row r="19" spans="1:16" s="8" customFormat="1">
      <c r="A19" s="8" t="str">
        <f>settings!$C$2</f>
        <v>Kazakhstan</v>
      </c>
      <c r="B19" s="8" t="s">
        <v>267</v>
      </c>
      <c r="C19" s="8" t="s">
        <v>101</v>
      </c>
      <c r="D19" s="8" t="str">
        <f>CONCATENATE(settings!$C$6,settings!$C$5)</f>
        <v>../Kazakhstan_DB.xlsx</v>
      </c>
      <c r="E19" s="16" t="s">
        <v>66</v>
      </c>
      <c r="F19" s="8" t="s">
        <v>252</v>
      </c>
      <c r="G19" s="8" t="s">
        <v>15</v>
      </c>
      <c r="H19" s="8" t="s">
        <v>21</v>
      </c>
      <c r="I19" s="8" t="s">
        <v>13</v>
      </c>
      <c r="J19" s="8" t="s">
        <v>22</v>
      </c>
      <c r="K19" s="8" t="s">
        <v>21</v>
      </c>
      <c r="L19" s="8" t="s">
        <v>66</v>
      </c>
      <c r="M19" s="9">
        <v>36161</v>
      </c>
      <c r="N19" s="9">
        <v>45627</v>
      </c>
      <c r="O19" s="9">
        <v>36526</v>
      </c>
      <c r="P19" s="8" t="s">
        <v>66</v>
      </c>
    </row>
    <row r="20" spans="1:16" s="8" customFormat="1">
      <c r="A20" s="8" t="str">
        <f>settings!$C$2</f>
        <v>Kazakhstan</v>
      </c>
      <c r="B20" s="8" t="s">
        <v>267</v>
      </c>
      <c r="C20" s="8" t="s">
        <v>101</v>
      </c>
      <c r="D20" s="8" t="str">
        <f>CONCATENATE(settings!$C$6,settings!$C$5)</f>
        <v>../Kazakhstan_DB.xlsx</v>
      </c>
      <c r="E20" s="16" t="s">
        <v>66</v>
      </c>
      <c r="F20" s="8" t="s">
        <v>118</v>
      </c>
      <c r="G20" s="8" t="s">
        <v>15</v>
      </c>
      <c r="H20" s="8" t="s">
        <v>21</v>
      </c>
      <c r="I20" s="8" t="s">
        <v>13</v>
      </c>
      <c r="J20" s="8" t="s">
        <v>22</v>
      </c>
      <c r="K20" s="8" t="s">
        <v>21</v>
      </c>
      <c r="L20" s="8" t="s">
        <v>66</v>
      </c>
      <c r="M20" s="9">
        <v>36161</v>
      </c>
      <c r="N20" s="9">
        <v>45627</v>
      </c>
      <c r="O20" s="9">
        <v>36526</v>
      </c>
      <c r="P20" s="8" t="s">
        <v>66</v>
      </c>
    </row>
    <row r="21" spans="1:16" s="8" customFormat="1">
      <c r="A21" s="8" t="str">
        <f>settings!$C$2</f>
        <v>Kazakhstan</v>
      </c>
      <c r="B21" s="8" t="s">
        <v>267</v>
      </c>
      <c r="C21" s="8" t="s">
        <v>101</v>
      </c>
      <c r="D21" s="8" t="str">
        <f>CONCATENATE(settings!$C$6,settings!$C$5)</f>
        <v>../Kazakhstan_DB.xlsx</v>
      </c>
      <c r="E21" s="16" t="s">
        <v>66</v>
      </c>
      <c r="F21" s="8" t="s">
        <v>118</v>
      </c>
      <c r="G21" s="8" t="s">
        <v>32</v>
      </c>
      <c r="H21" s="8" t="s">
        <v>21</v>
      </c>
      <c r="I21" s="8" t="s">
        <v>31</v>
      </c>
      <c r="J21" s="8" t="s">
        <v>22</v>
      </c>
      <c r="K21" s="8" t="s">
        <v>21</v>
      </c>
      <c r="L21" s="8" t="s">
        <v>66</v>
      </c>
      <c r="M21" s="9">
        <v>36161</v>
      </c>
      <c r="N21" s="9">
        <v>45627</v>
      </c>
      <c r="O21" s="9">
        <v>36526</v>
      </c>
      <c r="P21" s="8" t="s">
        <v>66</v>
      </c>
    </row>
    <row r="22" spans="1:16" s="8" customFormat="1">
      <c r="A22" s="8" t="str">
        <f>settings!$C$2</f>
        <v>Kazakhstan</v>
      </c>
      <c r="B22" s="8" t="s">
        <v>267</v>
      </c>
      <c r="C22" s="8" t="s">
        <v>101</v>
      </c>
      <c r="D22" s="8" t="str">
        <f>CONCATENATE(settings!$C$6,settings!$C$5)</f>
        <v>../Kazakhstan_DB.xlsx</v>
      </c>
      <c r="E22" s="16" t="s">
        <v>66</v>
      </c>
      <c r="F22" s="10" t="s">
        <v>215</v>
      </c>
      <c r="G22" s="8" t="s">
        <v>15</v>
      </c>
      <c r="H22" s="8" t="s">
        <v>21</v>
      </c>
      <c r="I22" s="8" t="s">
        <v>31</v>
      </c>
      <c r="J22" s="8" t="s">
        <v>22</v>
      </c>
      <c r="K22" s="8" t="s">
        <v>21</v>
      </c>
      <c r="L22" s="8" t="s">
        <v>66</v>
      </c>
      <c r="M22" s="9">
        <v>36161</v>
      </c>
      <c r="N22" s="9">
        <v>45627</v>
      </c>
      <c r="O22" s="9">
        <v>36526</v>
      </c>
      <c r="P22" s="8" t="s">
        <v>66</v>
      </c>
    </row>
    <row r="23" spans="1:16" s="8" customFormat="1">
      <c r="A23" s="8" t="str">
        <f>settings!$C$2</f>
        <v>Kazakhstan</v>
      </c>
      <c r="B23" s="8" t="s">
        <v>267</v>
      </c>
      <c r="C23" s="8" t="s">
        <v>101</v>
      </c>
      <c r="D23" s="8" t="str">
        <f>CONCATENATE(settings!$C$6,settings!$C$5)</f>
        <v>../Kazakhstan_DB.xlsx</v>
      </c>
      <c r="E23" s="16" t="s">
        <v>66</v>
      </c>
      <c r="F23" s="10" t="s">
        <v>216</v>
      </c>
      <c r="G23" s="8" t="s">
        <v>15</v>
      </c>
      <c r="H23" s="8" t="s">
        <v>21</v>
      </c>
      <c r="I23" s="8" t="s">
        <v>93</v>
      </c>
      <c r="J23" s="8" t="s">
        <v>22</v>
      </c>
      <c r="K23" s="8" t="s">
        <v>21</v>
      </c>
      <c r="L23" s="8" t="s">
        <v>66</v>
      </c>
      <c r="M23" s="9">
        <v>36161</v>
      </c>
      <c r="N23" s="9">
        <v>45627</v>
      </c>
      <c r="O23" s="9">
        <v>36526</v>
      </c>
      <c r="P23" s="8" t="s">
        <v>66</v>
      </c>
    </row>
    <row r="24" spans="1:16" s="8" customFormat="1">
      <c r="A24" s="8" t="str">
        <f>settings!$C$2</f>
        <v>Kazakhstan</v>
      </c>
      <c r="B24" s="8" t="s">
        <v>267</v>
      </c>
      <c r="C24" s="8" t="s">
        <v>101</v>
      </c>
      <c r="D24" s="8" t="str">
        <f>CONCATENATE(settings!$C$6,settings!$C$5)</f>
        <v>../Kazakhstan_DB.xlsx</v>
      </c>
      <c r="E24" s="16" t="s">
        <v>66</v>
      </c>
      <c r="F24" s="10" t="s">
        <v>217</v>
      </c>
      <c r="G24" s="8" t="s">
        <v>15</v>
      </c>
      <c r="H24" s="8" t="s">
        <v>21</v>
      </c>
      <c r="I24" s="8" t="s">
        <v>31</v>
      </c>
      <c r="J24" s="8" t="s">
        <v>22</v>
      </c>
      <c r="K24" s="8" t="s">
        <v>21</v>
      </c>
      <c r="L24" s="8" t="s">
        <v>66</v>
      </c>
      <c r="M24" s="9">
        <v>36161</v>
      </c>
      <c r="N24" s="9">
        <v>45627</v>
      </c>
      <c r="O24" s="9">
        <v>36526</v>
      </c>
      <c r="P24" s="8" t="s">
        <v>66</v>
      </c>
    </row>
    <row r="25" spans="1:16" s="8" customFormat="1">
      <c r="A25" s="8" t="str">
        <f>settings!$C$2</f>
        <v>Kazakhstan</v>
      </c>
      <c r="B25" s="8" t="s">
        <v>267</v>
      </c>
      <c r="C25" s="8" t="s">
        <v>101</v>
      </c>
      <c r="D25" s="8" t="str">
        <f>CONCATENATE(settings!$C$6,settings!$C$5)</f>
        <v>../Kazakhstan_DB.xlsx</v>
      </c>
      <c r="E25" s="16" t="s">
        <v>66</v>
      </c>
      <c r="F25" s="10" t="s">
        <v>218</v>
      </c>
      <c r="G25" s="8" t="s">
        <v>15</v>
      </c>
      <c r="H25" s="8" t="s">
        <v>21</v>
      </c>
      <c r="I25" s="8" t="s">
        <v>31</v>
      </c>
      <c r="J25" s="8" t="s">
        <v>22</v>
      </c>
      <c r="K25" s="8" t="s">
        <v>21</v>
      </c>
      <c r="L25" s="8" t="s">
        <v>66</v>
      </c>
      <c r="M25" s="9">
        <v>36161</v>
      </c>
      <c r="N25" s="9">
        <v>45627</v>
      </c>
      <c r="O25" s="9">
        <v>36526</v>
      </c>
      <c r="P25" s="8" t="s">
        <v>66</v>
      </c>
    </row>
    <row r="26" spans="1:16" s="8" customFormat="1">
      <c r="A26" s="8" t="str">
        <f>settings!$C$2</f>
        <v>Kazakhstan</v>
      </c>
      <c r="B26" s="8" t="s">
        <v>267</v>
      </c>
      <c r="C26" s="8" t="s">
        <v>101</v>
      </c>
      <c r="D26" s="8" t="str">
        <f>CONCATENATE(settings!$C$6,settings!$C$5)</f>
        <v>../Kazakhstan_DB.xlsx</v>
      </c>
      <c r="E26" s="16" t="s">
        <v>66</v>
      </c>
      <c r="F26" s="10" t="s">
        <v>219</v>
      </c>
      <c r="G26" s="8" t="s">
        <v>15</v>
      </c>
      <c r="H26" s="8" t="s">
        <v>21</v>
      </c>
      <c r="I26" s="8" t="s">
        <v>31</v>
      </c>
      <c r="J26" s="8" t="s">
        <v>22</v>
      </c>
      <c r="K26" s="8" t="s">
        <v>21</v>
      </c>
      <c r="L26" s="8" t="s">
        <v>66</v>
      </c>
      <c r="M26" s="9">
        <v>36161</v>
      </c>
      <c r="N26" s="9">
        <v>45627</v>
      </c>
      <c r="O26" s="9">
        <v>36526</v>
      </c>
      <c r="P26" s="8" t="s">
        <v>66</v>
      </c>
    </row>
    <row r="27" spans="1:16" s="8" customFormat="1">
      <c r="A27" s="8" t="str">
        <f>settings!$C$2</f>
        <v>Kazakhstan</v>
      </c>
      <c r="B27" s="8" t="s">
        <v>267</v>
      </c>
      <c r="C27" s="8" t="s">
        <v>101</v>
      </c>
      <c r="D27" s="8" t="str">
        <f>CONCATENATE(settings!$C$6,settings!$C$5)</f>
        <v>../Kazakhstan_DB.xlsx</v>
      </c>
      <c r="E27" s="16" t="s">
        <v>66</v>
      </c>
      <c r="F27" s="8" t="s">
        <v>34</v>
      </c>
      <c r="G27" s="8" t="s">
        <v>32</v>
      </c>
      <c r="H27" s="8" t="s">
        <v>21</v>
      </c>
      <c r="I27" s="8" t="s">
        <v>31</v>
      </c>
      <c r="J27" s="8" t="s">
        <v>22</v>
      </c>
      <c r="K27" s="8" t="s">
        <v>21</v>
      </c>
      <c r="L27" s="8" t="s">
        <v>66</v>
      </c>
      <c r="M27" s="9">
        <v>36161</v>
      </c>
      <c r="N27" s="9">
        <v>45627</v>
      </c>
      <c r="O27" s="9">
        <v>36526</v>
      </c>
      <c r="P27" s="8" t="s">
        <v>66</v>
      </c>
    </row>
    <row r="28" spans="1:16" s="8" customFormat="1">
      <c r="A28" s="8" t="str">
        <f>settings!$C$2</f>
        <v>Kazakhstan</v>
      </c>
      <c r="B28" s="8" t="s">
        <v>267</v>
      </c>
      <c r="C28" s="8" t="s">
        <v>101</v>
      </c>
      <c r="D28" s="8" t="str">
        <f>CONCATENATE(settings!$C$6,settings!$C$5)</f>
        <v>../Kazakhstan_DB.xlsx</v>
      </c>
      <c r="E28" s="16" t="s">
        <v>66</v>
      </c>
      <c r="F28" s="8" t="s">
        <v>35</v>
      </c>
      <c r="G28" s="8" t="s">
        <v>32</v>
      </c>
      <c r="H28" s="8" t="s">
        <v>21</v>
      </c>
      <c r="I28" s="8" t="s">
        <v>31</v>
      </c>
      <c r="J28" s="8" t="s">
        <v>22</v>
      </c>
      <c r="K28" s="8" t="s">
        <v>21</v>
      </c>
      <c r="L28" s="8" t="s">
        <v>66</v>
      </c>
      <c r="M28" s="9">
        <v>36161</v>
      </c>
      <c r="N28" s="9">
        <v>45627</v>
      </c>
      <c r="O28" s="9">
        <v>36526</v>
      </c>
      <c r="P28" s="8" t="s">
        <v>66</v>
      </c>
    </row>
    <row r="29" spans="1:16" s="8" customFormat="1">
      <c r="A29" s="8" t="str">
        <f>settings!$C$2</f>
        <v>Kazakhstan</v>
      </c>
      <c r="B29" s="8" t="s">
        <v>267</v>
      </c>
      <c r="C29" s="8" t="s">
        <v>101</v>
      </c>
      <c r="D29" s="8" t="str">
        <f>CONCATENATE(settings!$C$6,settings!$C$5)</f>
        <v>../Kazakhstan_DB.xlsx</v>
      </c>
      <c r="E29" s="16" t="s">
        <v>66</v>
      </c>
      <c r="F29" s="10" t="s">
        <v>97</v>
      </c>
      <c r="G29" s="8" t="s">
        <v>32</v>
      </c>
      <c r="H29" s="8" t="s">
        <v>21</v>
      </c>
      <c r="I29" s="8" t="s">
        <v>31</v>
      </c>
      <c r="J29" s="8" t="s">
        <v>22</v>
      </c>
      <c r="K29" s="8" t="s">
        <v>21</v>
      </c>
      <c r="L29" s="8" t="s">
        <v>66</v>
      </c>
      <c r="M29" s="9">
        <v>36161</v>
      </c>
      <c r="N29" s="9">
        <v>45627</v>
      </c>
      <c r="O29" s="9">
        <v>36526</v>
      </c>
      <c r="P29" s="8" t="s">
        <v>66</v>
      </c>
    </row>
    <row r="30" spans="1:16" s="8" customFormat="1">
      <c r="A30" s="8" t="str">
        <f>settings!$C$2</f>
        <v>Kazakhstan</v>
      </c>
      <c r="B30" s="8" t="s">
        <v>267</v>
      </c>
      <c r="C30" s="8" t="s">
        <v>101</v>
      </c>
      <c r="D30" s="8" t="str">
        <f>CONCATENATE(settings!$C$6,settings!$C$5)</f>
        <v>../Kazakhstan_DB.xlsx</v>
      </c>
      <c r="E30" s="16" t="s">
        <v>66</v>
      </c>
      <c r="F30" s="10" t="s">
        <v>98</v>
      </c>
      <c r="G30" s="8" t="s">
        <v>32</v>
      </c>
      <c r="H30" s="8" t="s">
        <v>21</v>
      </c>
      <c r="I30" s="8" t="s">
        <v>31</v>
      </c>
      <c r="J30" s="8" t="s">
        <v>22</v>
      </c>
      <c r="K30" s="8" t="s">
        <v>21</v>
      </c>
      <c r="L30" s="8" t="s">
        <v>66</v>
      </c>
      <c r="M30" s="9">
        <v>36161</v>
      </c>
      <c r="N30" s="9">
        <v>45627</v>
      </c>
      <c r="O30" s="9">
        <v>36526</v>
      </c>
      <c r="P30" s="8" t="s">
        <v>66</v>
      </c>
    </row>
    <row r="31" spans="1:16" s="8" customFormat="1">
      <c r="A31" s="8" t="str">
        <f>settings!$C$2</f>
        <v>Kazakhstan</v>
      </c>
      <c r="B31" s="8" t="s">
        <v>267</v>
      </c>
      <c r="C31" s="8" t="s">
        <v>101</v>
      </c>
      <c r="D31" s="8" t="str">
        <f>CONCATENATE(settings!$C$6,settings!$C$5)</f>
        <v>../Kazakhstan_DB.xlsx</v>
      </c>
      <c r="E31" s="16" t="s">
        <v>66</v>
      </c>
      <c r="F31" s="10" t="s">
        <v>1</v>
      </c>
      <c r="G31" s="8" t="s">
        <v>32</v>
      </c>
      <c r="H31" s="8" t="s">
        <v>21</v>
      </c>
      <c r="I31" s="8" t="s">
        <v>13</v>
      </c>
      <c r="J31" s="8" t="s">
        <v>22</v>
      </c>
      <c r="K31" s="8" t="s">
        <v>21</v>
      </c>
      <c r="L31" s="8" t="s">
        <v>66</v>
      </c>
      <c r="M31" s="9">
        <v>36161</v>
      </c>
      <c r="N31" s="9">
        <v>45627</v>
      </c>
      <c r="O31" s="9">
        <v>36526</v>
      </c>
      <c r="P31" s="8" t="s">
        <v>66</v>
      </c>
    </row>
    <row r="32" spans="1:16" s="8" customFormat="1">
      <c r="A32" s="8" t="str">
        <f>settings!$C$2</f>
        <v>Kazakhstan</v>
      </c>
      <c r="B32" s="8" t="s">
        <v>267</v>
      </c>
      <c r="C32" s="8" t="s">
        <v>101</v>
      </c>
      <c r="D32" s="8" t="str">
        <f>CONCATENATE(settings!$C$6,settings!$C$5)</f>
        <v>../Kazakhstan_DB.xlsx</v>
      </c>
      <c r="E32" s="16" t="s">
        <v>66</v>
      </c>
      <c r="F32" s="10" t="s">
        <v>170</v>
      </c>
      <c r="G32" s="8" t="s">
        <v>32</v>
      </c>
      <c r="H32" s="8" t="s">
        <v>21</v>
      </c>
      <c r="I32" s="8" t="s">
        <v>13</v>
      </c>
      <c r="J32" s="8" t="s">
        <v>22</v>
      </c>
      <c r="K32" s="8" t="s">
        <v>21</v>
      </c>
      <c r="L32" s="8" t="s">
        <v>66</v>
      </c>
      <c r="M32" s="9">
        <v>36161</v>
      </c>
      <c r="N32" s="9">
        <v>45627</v>
      </c>
      <c r="O32" s="9">
        <v>36526</v>
      </c>
      <c r="P32" s="8" t="s">
        <v>66</v>
      </c>
    </row>
    <row r="33" spans="1:16" s="8" customFormat="1">
      <c r="A33" s="8" t="str">
        <f>settings!$C$2</f>
        <v>Kazakhstan</v>
      </c>
      <c r="B33" s="8" t="s">
        <v>267</v>
      </c>
      <c r="C33" s="8" t="s">
        <v>101</v>
      </c>
      <c r="D33" s="8" t="str">
        <f>CONCATENATE(settings!$C$6,settings!$C$5)</f>
        <v>../Kazakhstan_DB.xlsx</v>
      </c>
      <c r="E33" s="16" t="s">
        <v>66</v>
      </c>
      <c r="F33" s="10" t="s">
        <v>171</v>
      </c>
      <c r="G33" s="8" t="s">
        <v>32</v>
      </c>
      <c r="H33" s="8" t="s">
        <v>21</v>
      </c>
      <c r="I33" s="8" t="s">
        <v>13</v>
      </c>
      <c r="J33" s="8" t="s">
        <v>22</v>
      </c>
      <c r="K33" s="8" t="s">
        <v>21</v>
      </c>
      <c r="L33" s="8" t="s">
        <v>66</v>
      </c>
      <c r="M33" s="9">
        <v>36161</v>
      </c>
      <c r="N33" s="9">
        <v>45627</v>
      </c>
      <c r="O33" s="9">
        <v>36526</v>
      </c>
      <c r="P33" s="8" t="s">
        <v>66</v>
      </c>
    </row>
    <row r="34" spans="1:16" s="13" customFormat="1">
      <c r="A34" s="8" t="str">
        <f>settings!$C$2</f>
        <v>Kazakhstan</v>
      </c>
      <c r="B34" s="8" t="s">
        <v>267</v>
      </c>
      <c r="C34" s="8" t="s">
        <v>101</v>
      </c>
      <c r="D34" s="8" t="str">
        <f>CONCATENATE(settings!$C$6,settings!$C$5)</f>
        <v>../Kazakhstan_DB.xlsx</v>
      </c>
      <c r="E34" s="16" t="s">
        <v>66</v>
      </c>
      <c r="F34" s="10" t="s">
        <v>172</v>
      </c>
      <c r="G34" s="8" t="s">
        <v>32</v>
      </c>
      <c r="H34" s="8" t="s">
        <v>21</v>
      </c>
      <c r="I34" s="8" t="s">
        <v>13</v>
      </c>
      <c r="J34" s="8" t="s">
        <v>22</v>
      </c>
      <c r="K34" s="8" t="s">
        <v>21</v>
      </c>
      <c r="L34" s="8" t="s">
        <v>66</v>
      </c>
      <c r="M34" s="9">
        <v>36161</v>
      </c>
      <c r="N34" s="9">
        <v>45627</v>
      </c>
      <c r="O34" s="9">
        <v>36526</v>
      </c>
      <c r="P34" s="8" t="s">
        <v>66</v>
      </c>
    </row>
    <row r="35" spans="1:16" s="13" customFormat="1">
      <c r="A35" s="8" t="str">
        <f>settings!$C$2</f>
        <v>Kazakhstan</v>
      </c>
      <c r="B35" s="8" t="s">
        <v>267</v>
      </c>
      <c r="C35" s="8" t="s">
        <v>101</v>
      </c>
      <c r="D35" s="8" t="str">
        <f>CONCATENATE(settings!$C$6,settings!$C$5)</f>
        <v>../Kazakhstan_DB.xlsx</v>
      </c>
      <c r="E35" s="16" t="s">
        <v>66</v>
      </c>
      <c r="F35" s="10" t="s">
        <v>210</v>
      </c>
      <c r="G35" s="8" t="s">
        <v>32</v>
      </c>
      <c r="H35" s="8" t="s">
        <v>21</v>
      </c>
      <c r="I35" s="8" t="s">
        <v>13</v>
      </c>
      <c r="J35" s="8" t="s">
        <v>22</v>
      </c>
      <c r="K35" s="8" t="s">
        <v>21</v>
      </c>
      <c r="L35" s="8" t="s">
        <v>66</v>
      </c>
      <c r="M35" s="9">
        <v>36161</v>
      </c>
      <c r="N35" s="9">
        <v>45627</v>
      </c>
      <c r="O35" s="9">
        <v>36526</v>
      </c>
      <c r="P35" s="8" t="s">
        <v>66</v>
      </c>
    </row>
    <row r="36" spans="1:16" s="11" customFormat="1">
      <c r="A36" s="8" t="str">
        <f>settings!$C$2</f>
        <v>Kazakhstan</v>
      </c>
      <c r="B36" s="8" t="s">
        <v>267</v>
      </c>
      <c r="C36" s="8" t="s">
        <v>101</v>
      </c>
      <c r="D36" s="8" t="str">
        <f>CONCATENATE(settings!$C$6,settings!$C$5)</f>
        <v>../Kazakhstan_DB.xlsx</v>
      </c>
      <c r="E36" s="16" t="s">
        <v>66</v>
      </c>
      <c r="F36" s="8" t="s">
        <v>220</v>
      </c>
      <c r="G36" s="8" t="s">
        <v>32</v>
      </c>
      <c r="H36" s="8" t="s">
        <v>21</v>
      </c>
      <c r="I36" s="8" t="s">
        <v>31</v>
      </c>
      <c r="J36" s="8" t="s">
        <v>22</v>
      </c>
      <c r="K36" s="8" t="s">
        <v>21</v>
      </c>
      <c r="L36" s="8" t="s">
        <v>66</v>
      </c>
      <c r="M36" s="9">
        <v>36161</v>
      </c>
      <c r="N36" s="9">
        <v>45627</v>
      </c>
      <c r="O36" s="9">
        <v>36526</v>
      </c>
      <c r="P36" s="8" t="s">
        <v>66</v>
      </c>
    </row>
    <row r="37" spans="1:16" s="11" customFormat="1">
      <c r="A37" s="8" t="str">
        <f>settings!$C$2</f>
        <v>Kazakhstan</v>
      </c>
      <c r="B37" s="8" t="s">
        <v>267</v>
      </c>
      <c r="C37" s="8" t="s">
        <v>101</v>
      </c>
      <c r="D37" s="8" t="str">
        <f>CONCATENATE(settings!$C$6,settings!$C$5)</f>
        <v>../Kazakhstan_DB.xlsx</v>
      </c>
      <c r="E37" s="16" t="s">
        <v>66</v>
      </c>
      <c r="F37" s="8" t="s">
        <v>77</v>
      </c>
      <c r="G37" s="8" t="s">
        <v>32</v>
      </c>
      <c r="H37" s="8" t="s">
        <v>21</v>
      </c>
      <c r="I37" s="8" t="s">
        <v>31</v>
      </c>
      <c r="J37" s="8" t="s">
        <v>22</v>
      </c>
      <c r="K37" s="8" t="s">
        <v>21</v>
      </c>
      <c r="L37" s="8" t="s">
        <v>66</v>
      </c>
      <c r="M37" s="9">
        <v>36161</v>
      </c>
      <c r="N37" s="9">
        <v>45627</v>
      </c>
      <c r="O37" s="9">
        <v>36526</v>
      </c>
      <c r="P37" s="8" t="s">
        <v>66</v>
      </c>
    </row>
    <row r="38" spans="1:16" s="11" customFormat="1">
      <c r="A38" s="8" t="str">
        <f>settings!$C$2</f>
        <v>Kazakhstan</v>
      </c>
      <c r="B38" s="8" t="s">
        <v>267</v>
      </c>
      <c r="C38" s="8" t="s">
        <v>101</v>
      </c>
      <c r="D38" s="8" t="str">
        <f>CONCATENATE(settings!$C$6,settings!$C$5)</f>
        <v>../Kazakhstan_DB.xlsx</v>
      </c>
      <c r="E38" s="16" t="s">
        <v>66</v>
      </c>
      <c r="F38" s="8" t="s">
        <v>78</v>
      </c>
      <c r="G38" s="8" t="s">
        <v>32</v>
      </c>
      <c r="H38" s="8" t="s">
        <v>21</v>
      </c>
      <c r="I38" s="8" t="s">
        <v>31</v>
      </c>
      <c r="J38" s="8" t="s">
        <v>22</v>
      </c>
      <c r="K38" s="8" t="s">
        <v>21</v>
      </c>
      <c r="L38" s="8" t="s">
        <v>66</v>
      </c>
      <c r="M38" s="9">
        <v>36161</v>
      </c>
      <c r="N38" s="9">
        <v>45627</v>
      </c>
      <c r="O38" s="9">
        <v>36526</v>
      </c>
      <c r="P38" s="8" t="s">
        <v>66</v>
      </c>
    </row>
    <row r="39" spans="1:16" s="13" customFormat="1">
      <c r="A39" s="8" t="str">
        <f>settings!$C$2</f>
        <v>Kazakhstan</v>
      </c>
      <c r="B39" s="8" t="s">
        <v>267</v>
      </c>
      <c r="C39" s="8" t="s">
        <v>101</v>
      </c>
      <c r="D39" s="8" t="str">
        <f>CONCATENATE(settings!$C$6,settings!$C$5)</f>
        <v>../Kazakhstan_DB.xlsx</v>
      </c>
      <c r="E39" s="16" t="s">
        <v>66</v>
      </c>
      <c r="F39" s="8" t="s">
        <v>3</v>
      </c>
      <c r="G39" s="8" t="s">
        <v>32</v>
      </c>
      <c r="H39" s="8" t="s">
        <v>21</v>
      </c>
      <c r="I39" s="8" t="s">
        <v>31</v>
      </c>
      <c r="J39" s="8" t="s">
        <v>22</v>
      </c>
      <c r="K39" s="8" t="s">
        <v>21</v>
      </c>
      <c r="L39" s="8" t="s">
        <v>66</v>
      </c>
      <c r="M39" s="9">
        <v>36161</v>
      </c>
      <c r="N39" s="9">
        <v>45627</v>
      </c>
      <c r="O39" s="9">
        <v>36526</v>
      </c>
      <c r="P39" s="8" t="s">
        <v>66</v>
      </c>
    </row>
    <row r="40" spans="1:16" s="11" customFormat="1">
      <c r="A40" s="8" t="str">
        <f>settings!$C$2</f>
        <v>Kazakhstan</v>
      </c>
      <c r="B40" s="8" t="s">
        <v>267</v>
      </c>
      <c r="C40" s="8" t="s">
        <v>101</v>
      </c>
      <c r="D40" s="8" t="str">
        <f>CONCATENATE(settings!$C$6,settings!$C$5)</f>
        <v>../Kazakhstan_DB.xlsx</v>
      </c>
      <c r="E40" s="16" t="s">
        <v>66</v>
      </c>
      <c r="F40" s="10" t="s">
        <v>221</v>
      </c>
      <c r="G40" s="8" t="s">
        <v>32</v>
      </c>
      <c r="H40" s="8" t="s">
        <v>21</v>
      </c>
      <c r="I40" s="8" t="s">
        <v>31</v>
      </c>
      <c r="J40" s="8" t="s">
        <v>22</v>
      </c>
      <c r="K40" s="8" t="s">
        <v>21</v>
      </c>
      <c r="L40" s="8" t="s">
        <v>66</v>
      </c>
      <c r="M40" s="9">
        <v>36161</v>
      </c>
      <c r="N40" s="9">
        <v>45627</v>
      </c>
      <c r="O40" s="9">
        <v>36526</v>
      </c>
      <c r="P40" s="8" t="s">
        <v>66</v>
      </c>
    </row>
    <row r="41" spans="1:16" s="11" customFormat="1">
      <c r="A41" s="8" t="str">
        <f>settings!$C$2</f>
        <v>Kazakhstan</v>
      </c>
      <c r="B41" s="8" t="s">
        <v>267</v>
      </c>
      <c r="C41" s="8" t="s">
        <v>101</v>
      </c>
      <c r="D41" s="8" t="str">
        <f>CONCATENATE(settings!$C$6,settings!$C$5)</f>
        <v>../Kazakhstan_DB.xlsx</v>
      </c>
      <c r="E41" s="16" t="s">
        <v>66</v>
      </c>
      <c r="F41" s="10" t="s">
        <v>173</v>
      </c>
      <c r="G41" s="8" t="s">
        <v>32</v>
      </c>
      <c r="H41" s="8" t="s">
        <v>21</v>
      </c>
      <c r="I41" s="8" t="s">
        <v>93</v>
      </c>
      <c r="J41" s="8" t="s">
        <v>22</v>
      </c>
      <c r="K41" s="8" t="s">
        <v>21</v>
      </c>
      <c r="L41" s="8" t="s">
        <v>66</v>
      </c>
      <c r="M41" s="9">
        <v>36161</v>
      </c>
      <c r="N41" s="9">
        <v>45627</v>
      </c>
      <c r="O41" s="9">
        <v>36526</v>
      </c>
      <c r="P41" s="8" t="s">
        <v>66</v>
      </c>
    </row>
    <row r="42" spans="1:16" s="11" customFormat="1">
      <c r="A42" s="8" t="str">
        <f>settings!$C$2</f>
        <v>Kazakhstan</v>
      </c>
      <c r="B42" s="8" t="s">
        <v>267</v>
      </c>
      <c r="C42" s="8" t="s">
        <v>101</v>
      </c>
      <c r="D42" s="8" t="str">
        <f>CONCATENATE(settings!$C$6,settings!$C$5)</f>
        <v>../Kazakhstan_DB.xlsx</v>
      </c>
      <c r="E42" s="16" t="s">
        <v>66</v>
      </c>
      <c r="F42" s="10" t="s">
        <v>153</v>
      </c>
      <c r="G42" s="8" t="s">
        <v>32</v>
      </c>
      <c r="H42" s="8" t="s">
        <v>21</v>
      </c>
      <c r="I42" s="8" t="s">
        <v>93</v>
      </c>
      <c r="J42" s="8" t="s">
        <v>22</v>
      </c>
      <c r="K42" s="8" t="s">
        <v>21</v>
      </c>
      <c r="L42" s="8" t="s">
        <v>66</v>
      </c>
      <c r="M42" s="9">
        <v>36161</v>
      </c>
      <c r="N42" s="9">
        <v>45627</v>
      </c>
      <c r="O42" s="9">
        <v>36526</v>
      </c>
      <c r="P42" s="8" t="s">
        <v>66</v>
      </c>
    </row>
    <row r="43" spans="1:16" s="11" customFormat="1">
      <c r="A43" s="8" t="str">
        <f>settings!$C$2</f>
        <v>Kazakhstan</v>
      </c>
      <c r="B43" s="8" t="s">
        <v>267</v>
      </c>
      <c r="C43" s="8" t="s">
        <v>101</v>
      </c>
      <c r="D43" s="8" t="str">
        <f>CONCATENATE(settings!$C$6,settings!$C$5)</f>
        <v>../Kazakhstan_DB.xlsx</v>
      </c>
      <c r="E43" s="16" t="s">
        <v>66</v>
      </c>
      <c r="F43" s="10" t="s">
        <v>154</v>
      </c>
      <c r="G43" s="8" t="s">
        <v>32</v>
      </c>
      <c r="H43" s="8" t="s">
        <v>21</v>
      </c>
      <c r="I43" s="8" t="s">
        <v>93</v>
      </c>
      <c r="J43" s="8" t="s">
        <v>22</v>
      </c>
      <c r="K43" s="8" t="s">
        <v>21</v>
      </c>
      <c r="L43" s="8" t="s">
        <v>66</v>
      </c>
      <c r="M43" s="9">
        <v>36161</v>
      </c>
      <c r="N43" s="9">
        <v>45627</v>
      </c>
      <c r="O43" s="9">
        <v>36526</v>
      </c>
      <c r="P43" s="8" t="s">
        <v>66</v>
      </c>
    </row>
    <row r="44" spans="1:16" s="13" customFormat="1">
      <c r="A44" s="8" t="str">
        <f>settings!$C$2</f>
        <v>Kazakhstan</v>
      </c>
      <c r="B44" s="8" t="s">
        <v>267</v>
      </c>
      <c r="C44" s="8" t="s">
        <v>101</v>
      </c>
      <c r="D44" s="8" t="str">
        <f>CONCATENATE(settings!$C$6,settings!$C$5)</f>
        <v>../Kazakhstan_DB.xlsx</v>
      </c>
      <c r="E44" s="16" t="s">
        <v>66</v>
      </c>
      <c r="F44" s="8" t="s">
        <v>94</v>
      </c>
      <c r="G44" s="8" t="s">
        <v>32</v>
      </c>
      <c r="H44" s="8" t="s">
        <v>21</v>
      </c>
      <c r="I44" s="8" t="s">
        <v>31</v>
      </c>
      <c r="J44" s="8" t="s">
        <v>22</v>
      </c>
      <c r="K44" s="8" t="s">
        <v>21</v>
      </c>
      <c r="L44" s="8" t="s">
        <v>66</v>
      </c>
      <c r="M44" s="9">
        <v>36161</v>
      </c>
      <c r="N44" s="9">
        <v>45627</v>
      </c>
      <c r="O44" s="9">
        <v>36526</v>
      </c>
      <c r="P44" s="8" t="s">
        <v>66</v>
      </c>
    </row>
    <row r="45" spans="1:16" s="13" customFormat="1">
      <c r="A45" s="8" t="str">
        <f>settings!$C$2</f>
        <v>Kazakhstan</v>
      </c>
      <c r="B45" s="8" t="s">
        <v>267</v>
      </c>
      <c r="C45" s="8" t="s">
        <v>101</v>
      </c>
      <c r="D45" s="8" t="str">
        <f>CONCATENATE(settings!$C$6,settings!$C$5)</f>
        <v>../Kazakhstan_DB.xlsx</v>
      </c>
      <c r="E45" s="16" t="s">
        <v>66</v>
      </c>
      <c r="F45" s="8" t="s">
        <v>95</v>
      </c>
      <c r="G45" s="8" t="s">
        <v>32</v>
      </c>
      <c r="H45" s="8" t="s">
        <v>21</v>
      </c>
      <c r="I45" s="8" t="s">
        <v>31</v>
      </c>
      <c r="J45" s="8" t="s">
        <v>22</v>
      </c>
      <c r="K45" s="8" t="s">
        <v>21</v>
      </c>
      <c r="L45" s="8" t="s">
        <v>66</v>
      </c>
      <c r="M45" s="9">
        <v>36161</v>
      </c>
      <c r="N45" s="9">
        <v>45627</v>
      </c>
      <c r="O45" s="9">
        <v>36526</v>
      </c>
      <c r="P45" s="8" t="s">
        <v>66</v>
      </c>
    </row>
    <row r="46" spans="1:16" s="11" customFormat="1">
      <c r="A46" s="8" t="str">
        <f>settings!$C$2</f>
        <v>Kazakhstan</v>
      </c>
      <c r="B46" s="8" t="s">
        <v>267</v>
      </c>
      <c r="C46" s="8" t="s">
        <v>101</v>
      </c>
      <c r="D46" s="8" t="str">
        <f>CONCATENATE(settings!$C$6,settings!$C$5)</f>
        <v>../Kazakhstan_DB.xlsx</v>
      </c>
      <c r="E46" s="16" t="s">
        <v>66</v>
      </c>
      <c r="F46" s="8" t="s">
        <v>222</v>
      </c>
      <c r="G46" s="8" t="s">
        <v>32</v>
      </c>
      <c r="H46" s="8" t="s">
        <v>21</v>
      </c>
      <c r="I46" s="8" t="s">
        <v>31</v>
      </c>
      <c r="J46" s="8" t="s">
        <v>22</v>
      </c>
      <c r="K46" s="8" t="s">
        <v>21</v>
      </c>
      <c r="L46" s="8" t="s">
        <v>66</v>
      </c>
      <c r="M46" s="9">
        <v>36161</v>
      </c>
      <c r="N46" s="9">
        <v>45627</v>
      </c>
      <c r="O46" s="9">
        <v>36526</v>
      </c>
      <c r="P46" s="8" t="s">
        <v>66</v>
      </c>
    </row>
    <row r="47" spans="1:16" s="13" customFormat="1">
      <c r="A47" s="8" t="str">
        <f>settings!$C$2</f>
        <v>Kazakhstan</v>
      </c>
      <c r="B47" s="8" t="s">
        <v>267</v>
      </c>
      <c r="C47" s="8" t="s">
        <v>101</v>
      </c>
      <c r="D47" s="8" t="str">
        <f>CONCATENATE(settings!$C$6,settings!$C$5)</f>
        <v>../Kazakhstan_DB.xlsx</v>
      </c>
      <c r="E47" s="16" t="s">
        <v>66</v>
      </c>
      <c r="F47" s="8" t="s">
        <v>223</v>
      </c>
      <c r="G47" s="8" t="s">
        <v>32</v>
      </c>
      <c r="H47" s="8" t="s">
        <v>21</v>
      </c>
      <c r="I47" s="8" t="s">
        <v>31</v>
      </c>
      <c r="J47" s="8" t="s">
        <v>22</v>
      </c>
      <c r="K47" s="8" t="s">
        <v>21</v>
      </c>
      <c r="L47" s="8" t="s">
        <v>66</v>
      </c>
      <c r="M47" s="9">
        <v>36161</v>
      </c>
      <c r="N47" s="9">
        <v>45627</v>
      </c>
      <c r="O47" s="9">
        <v>36526</v>
      </c>
      <c r="P47" s="8" t="s">
        <v>66</v>
      </c>
    </row>
    <row r="48" spans="1:16" s="13" customFormat="1">
      <c r="A48" s="8" t="str">
        <f>settings!$C$2</f>
        <v>Kazakhstan</v>
      </c>
      <c r="B48" s="8" t="s">
        <v>267</v>
      </c>
      <c r="C48" s="8" t="s">
        <v>101</v>
      </c>
      <c r="D48" s="8" t="str">
        <f>CONCATENATE(settings!$C$6,settings!$C$5)</f>
        <v>../Kazakhstan_DB.xlsx</v>
      </c>
      <c r="E48" s="16" t="s">
        <v>66</v>
      </c>
      <c r="F48" s="8" t="s">
        <v>83</v>
      </c>
      <c r="G48" s="8" t="s">
        <v>32</v>
      </c>
      <c r="H48" s="8" t="s">
        <v>21</v>
      </c>
      <c r="I48" s="8" t="s">
        <v>31</v>
      </c>
      <c r="J48" s="8" t="s">
        <v>22</v>
      </c>
      <c r="K48" s="8" t="s">
        <v>21</v>
      </c>
      <c r="L48" s="8" t="s">
        <v>66</v>
      </c>
      <c r="M48" s="9">
        <v>36161</v>
      </c>
      <c r="N48" s="9">
        <v>45627</v>
      </c>
      <c r="O48" s="9">
        <v>36526</v>
      </c>
      <c r="P48" s="8" t="s">
        <v>66</v>
      </c>
    </row>
    <row r="49" spans="1:16" s="13" customFormat="1">
      <c r="A49" s="8" t="str">
        <f>settings!$C$2</f>
        <v>Kazakhstan</v>
      </c>
      <c r="B49" s="8" t="s">
        <v>267</v>
      </c>
      <c r="C49" s="8" t="s">
        <v>101</v>
      </c>
      <c r="D49" s="8" t="str">
        <f>CONCATENATE(settings!$C$6,settings!$C$5)</f>
        <v>../Kazakhstan_DB.xlsx</v>
      </c>
      <c r="E49" s="16" t="s">
        <v>66</v>
      </c>
      <c r="F49" s="8" t="s">
        <v>84</v>
      </c>
      <c r="G49" s="8" t="s">
        <v>32</v>
      </c>
      <c r="H49" s="8" t="s">
        <v>21</v>
      </c>
      <c r="I49" s="8" t="s">
        <v>31</v>
      </c>
      <c r="J49" s="8" t="s">
        <v>22</v>
      </c>
      <c r="K49" s="8" t="s">
        <v>21</v>
      </c>
      <c r="L49" s="8" t="s">
        <v>66</v>
      </c>
      <c r="M49" s="9">
        <v>36161</v>
      </c>
      <c r="N49" s="9">
        <v>45627</v>
      </c>
      <c r="O49" s="9">
        <v>36526</v>
      </c>
      <c r="P49" s="8" t="s">
        <v>66</v>
      </c>
    </row>
    <row r="50" spans="1:16" s="13" customFormat="1">
      <c r="A50" s="8" t="str">
        <f>settings!$C$2</f>
        <v>Kazakhstan</v>
      </c>
      <c r="B50" s="8" t="s">
        <v>267</v>
      </c>
      <c r="C50" s="8" t="s">
        <v>101</v>
      </c>
      <c r="D50" s="8" t="str">
        <f>CONCATENATE(settings!$C$6,settings!$C$5)</f>
        <v>../Kazakhstan_DB.xlsx</v>
      </c>
      <c r="E50" s="16" t="s">
        <v>66</v>
      </c>
      <c r="F50" s="8" t="s">
        <v>85</v>
      </c>
      <c r="G50" s="8" t="s">
        <v>32</v>
      </c>
      <c r="H50" s="8" t="s">
        <v>21</v>
      </c>
      <c r="I50" s="8" t="s">
        <v>93</v>
      </c>
      <c r="J50" s="8" t="s">
        <v>22</v>
      </c>
      <c r="K50" s="8" t="s">
        <v>21</v>
      </c>
      <c r="L50" s="8" t="s">
        <v>66</v>
      </c>
      <c r="M50" s="9">
        <v>36161</v>
      </c>
      <c r="N50" s="9">
        <v>45627</v>
      </c>
      <c r="O50" s="9">
        <v>36526</v>
      </c>
      <c r="P50" s="8" t="s">
        <v>66</v>
      </c>
    </row>
    <row r="51" spans="1:16" s="13" customFormat="1">
      <c r="A51" s="8" t="str">
        <f>settings!$C$2</f>
        <v>Kazakhstan</v>
      </c>
      <c r="B51" s="8" t="s">
        <v>267</v>
      </c>
      <c r="C51" s="8" t="s">
        <v>101</v>
      </c>
      <c r="D51" s="8" t="str">
        <f>CONCATENATE(settings!$C$6,settings!$C$5)</f>
        <v>../Kazakhstan_DB.xlsx</v>
      </c>
      <c r="E51" s="16" t="s">
        <v>66</v>
      </c>
      <c r="F51" s="8" t="s">
        <v>86</v>
      </c>
      <c r="G51" s="8" t="s">
        <v>32</v>
      </c>
      <c r="H51" s="8" t="s">
        <v>21</v>
      </c>
      <c r="I51" s="8" t="s">
        <v>93</v>
      </c>
      <c r="J51" s="8" t="s">
        <v>22</v>
      </c>
      <c r="K51" s="8" t="s">
        <v>21</v>
      </c>
      <c r="L51" s="8" t="s">
        <v>66</v>
      </c>
      <c r="M51" s="9">
        <v>36161</v>
      </c>
      <c r="N51" s="9">
        <v>45627</v>
      </c>
      <c r="O51" s="9">
        <v>36526</v>
      </c>
      <c r="P51" s="8" t="s">
        <v>66</v>
      </c>
    </row>
    <row r="52" spans="1:16" s="11" customFormat="1">
      <c r="A52" s="8" t="str">
        <f>settings!$C$2</f>
        <v>Kazakhstan</v>
      </c>
      <c r="B52" s="8" t="s">
        <v>267</v>
      </c>
      <c r="C52" s="8" t="s">
        <v>101</v>
      </c>
      <c r="D52" s="8" t="str">
        <f>CONCATENATE(settings!$C$6,settings!$C$5)</f>
        <v>../Kazakhstan_DB.xlsx</v>
      </c>
      <c r="E52" s="16" t="s">
        <v>66</v>
      </c>
      <c r="F52" s="8" t="s">
        <v>87</v>
      </c>
      <c r="G52" s="8" t="s">
        <v>32</v>
      </c>
      <c r="H52" s="8" t="s">
        <v>21</v>
      </c>
      <c r="I52" s="8" t="s">
        <v>93</v>
      </c>
      <c r="J52" s="8" t="s">
        <v>22</v>
      </c>
      <c r="K52" s="8" t="s">
        <v>21</v>
      </c>
      <c r="L52" s="8" t="s">
        <v>66</v>
      </c>
      <c r="M52" s="9">
        <v>36161</v>
      </c>
      <c r="N52" s="9">
        <v>45627</v>
      </c>
      <c r="O52" s="9">
        <v>36526</v>
      </c>
      <c r="P52" s="8" t="s">
        <v>66</v>
      </c>
    </row>
    <row r="53" spans="1:16" s="13" customFormat="1" ht="15" customHeight="1">
      <c r="A53" s="8" t="str">
        <f>settings!$C$2</f>
        <v>Kazakhstan</v>
      </c>
      <c r="B53" s="8" t="s">
        <v>267</v>
      </c>
      <c r="C53" s="8" t="s">
        <v>101</v>
      </c>
      <c r="D53" s="8" t="str">
        <f>CONCATENATE(settings!$C$6,settings!$C$5)</f>
        <v>../Kazakhstan_DB.xlsx</v>
      </c>
      <c r="E53" s="16" t="s">
        <v>66</v>
      </c>
      <c r="F53" s="8" t="s">
        <v>224</v>
      </c>
      <c r="G53" s="8" t="s">
        <v>32</v>
      </c>
      <c r="H53" s="8" t="s">
        <v>21</v>
      </c>
      <c r="I53" s="8" t="s">
        <v>13</v>
      </c>
      <c r="J53" s="8" t="s">
        <v>22</v>
      </c>
      <c r="K53" s="8" t="s">
        <v>21</v>
      </c>
      <c r="L53" s="8" t="s">
        <v>66</v>
      </c>
      <c r="M53" s="9">
        <v>36161</v>
      </c>
      <c r="N53" s="9">
        <v>45627</v>
      </c>
      <c r="O53" s="9">
        <v>36526</v>
      </c>
      <c r="P53" s="8" t="s">
        <v>66</v>
      </c>
    </row>
    <row r="54" spans="1:16" s="22" customFormat="1">
      <c r="A54" s="18" t="str">
        <f>settings!$C$2</f>
        <v>Kazakhstan</v>
      </c>
      <c r="B54" s="8" t="s">
        <v>267</v>
      </c>
      <c r="C54" s="18" t="s">
        <v>101</v>
      </c>
      <c r="D54" s="18" t="str">
        <f>CONCATENATE(settings!$C$6,settings!$C$5)</f>
        <v>../Kazakhstan_DB.xlsx</v>
      </c>
      <c r="E54" s="19" t="s">
        <v>66</v>
      </c>
      <c r="F54" s="18" t="s">
        <v>225</v>
      </c>
      <c r="G54" s="18" t="s">
        <v>32</v>
      </c>
      <c r="H54" s="18" t="s">
        <v>21</v>
      </c>
      <c r="I54" s="18" t="s">
        <v>13</v>
      </c>
      <c r="J54" s="18" t="s">
        <v>22</v>
      </c>
      <c r="K54" s="18" t="s">
        <v>21</v>
      </c>
      <c r="L54" s="18" t="s">
        <v>66</v>
      </c>
      <c r="M54" s="20">
        <v>36161</v>
      </c>
      <c r="N54" s="9">
        <v>45627</v>
      </c>
      <c r="O54" s="20">
        <v>36526</v>
      </c>
      <c r="P54" s="18" t="s">
        <v>66</v>
      </c>
    </row>
    <row r="55" spans="1:16" s="11" customFormat="1" ht="15" customHeight="1">
      <c r="A55" s="8" t="str">
        <f>settings!$C$2</f>
        <v>Kazakhstan</v>
      </c>
      <c r="B55" s="8" t="s">
        <v>267</v>
      </c>
      <c r="C55" s="8" t="s">
        <v>101</v>
      </c>
      <c r="D55" s="8" t="str">
        <f>CONCATENATE(settings!$C$6,settings!$C$5)</f>
        <v>../Kazakhstan_DB.xlsx</v>
      </c>
      <c r="E55" s="16" t="s">
        <v>33</v>
      </c>
      <c r="F55" s="8" t="s">
        <v>7</v>
      </c>
      <c r="G55" s="8" t="s">
        <v>32</v>
      </c>
      <c r="H55" s="8" t="s">
        <v>21</v>
      </c>
      <c r="I55" s="8" t="s">
        <v>31</v>
      </c>
      <c r="J55" s="8" t="s">
        <v>22</v>
      </c>
      <c r="K55" s="8" t="s">
        <v>21</v>
      </c>
      <c r="L55" s="8" t="s">
        <v>33</v>
      </c>
      <c r="M55" s="9">
        <v>36161</v>
      </c>
      <c r="N55" s="9">
        <v>45627</v>
      </c>
      <c r="O55" s="9">
        <v>36526</v>
      </c>
      <c r="P55" s="8" t="s">
        <v>33</v>
      </c>
    </row>
    <row r="56" spans="1:16" s="11" customFormat="1" ht="15" customHeight="1">
      <c r="A56" s="8" t="str">
        <f>settings!$C$2</f>
        <v>Kazakhstan</v>
      </c>
      <c r="B56" s="8" t="s">
        <v>267</v>
      </c>
      <c r="C56" s="8" t="s">
        <v>101</v>
      </c>
      <c r="D56" s="8" t="str">
        <f>CONCATENATE(settings!$C$6,settings!$C$5)</f>
        <v>../Kazakhstan_DB.xlsx</v>
      </c>
      <c r="E56" s="16" t="s">
        <v>33</v>
      </c>
      <c r="F56" s="8" t="s">
        <v>209</v>
      </c>
      <c r="G56" s="8" t="s">
        <v>32</v>
      </c>
      <c r="H56" s="8" t="s">
        <v>21</v>
      </c>
      <c r="I56" s="8" t="s">
        <v>31</v>
      </c>
      <c r="J56" s="8" t="s">
        <v>22</v>
      </c>
      <c r="K56" s="8" t="s">
        <v>21</v>
      </c>
      <c r="L56" s="8" t="s">
        <v>33</v>
      </c>
      <c r="M56" s="9">
        <v>36161</v>
      </c>
      <c r="N56" s="9">
        <v>45627</v>
      </c>
      <c r="O56" s="9">
        <v>36526</v>
      </c>
      <c r="P56" s="8" t="s">
        <v>33</v>
      </c>
    </row>
    <row r="57" spans="1:16" s="11" customFormat="1" ht="15" customHeight="1">
      <c r="A57" s="8" t="str">
        <f>settings!$C$2</f>
        <v>Kazakhstan</v>
      </c>
      <c r="B57" s="8" t="s">
        <v>267</v>
      </c>
      <c r="C57" s="8" t="s">
        <v>101</v>
      </c>
      <c r="D57" s="8" t="str">
        <f>CONCATENATE(settings!$C$6,settings!$C$5)</f>
        <v>../Kazakhstan_DB.xlsx</v>
      </c>
      <c r="E57" s="16" t="s">
        <v>33</v>
      </c>
      <c r="F57" s="8" t="s">
        <v>36</v>
      </c>
      <c r="G57" s="8" t="s">
        <v>32</v>
      </c>
      <c r="H57" s="8" t="s">
        <v>21</v>
      </c>
      <c r="I57" s="8" t="s">
        <v>31</v>
      </c>
      <c r="J57" s="8" t="s">
        <v>22</v>
      </c>
      <c r="K57" s="8" t="s">
        <v>21</v>
      </c>
      <c r="L57" s="8" t="s">
        <v>33</v>
      </c>
      <c r="M57" s="9">
        <v>36161</v>
      </c>
      <c r="N57" s="9">
        <v>45627</v>
      </c>
      <c r="O57" s="9">
        <v>36526</v>
      </c>
      <c r="P57" s="8" t="s">
        <v>33</v>
      </c>
    </row>
    <row r="58" spans="1:16" s="11" customFormat="1" ht="15" customHeight="1">
      <c r="A58" s="8" t="str">
        <f>settings!$C$2</f>
        <v>Kazakhstan</v>
      </c>
      <c r="B58" s="8" t="s">
        <v>267</v>
      </c>
      <c r="C58" s="8" t="s">
        <v>101</v>
      </c>
      <c r="D58" s="8" t="str">
        <f>CONCATENATE(settings!$C$6,settings!$C$5)</f>
        <v>../Kazakhstan_DB.xlsx</v>
      </c>
      <c r="E58" s="16" t="s">
        <v>33</v>
      </c>
      <c r="F58" s="8" t="s">
        <v>2</v>
      </c>
      <c r="G58" s="8" t="s">
        <v>32</v>
      </c>
      <c r="H58" s="8" t="s">
        <v>21</v>
      </c>
      <c r="I58" s="8" t="s">
        <v>31</v>
      </c>
      <c r="J58" s="8" t="s">
        <v>22</v>
      </c>
      <c r="K58" s="8" t="s">
        <v>21</v>
      </c>
      <c r="L58" s="8" t="s">
        <v>33</v>
      </c>
      <c r="M58" s="9">
        <v>36161</v>
      </c>
      <c r="N58" s="9">
        <v>45627</v>
      </c>
      <c r="O58" s="9">
        <v>36526</v>
      </c>
      <c r="P58" s="8" t="s">
        <v>33</v>
      </c>
    </row>
    <row r="59" spans="1:16" s="11" customFormat="1" ht="15" customHeight="1">
      <c r="A59" s="8" t="str">
        <f>settings!$C$2</f>
        <v>Kazakhstan</v>
      </c>
      <c r="B59" s="8" t="s">
        <v>267</v>
      </c>
      <c r="C59" s="8" t="s">
        <v>101</v>
      </c>
      <c r="D59" s="8" t="str">
        <f>CONCATENATE(settings!$C$6,settings!$C$5)</f>
        <v>../Kazakhstan_DB.xlsx</v>
      </c>
      <c r="E59" s="16" t="s">
        <v>33</v>
      </c>
      <c r="F59" s="8" t="s">
        <v>11</v>
      </c>
      <c r="G59" s="8" t="s">
        <v>32</v>
      </c>
      <c r="H59" s="8" t="s">
        <v>21</v>
      </c>
      <c r="I59" s="8" t="s">
        <v>31</v>
      </c>
      <c r="J59" s="8" t="s">
        <v>22</v>
      </c>
      <c r="K59" s="8" t="s">
        <v>21</v>
      </c>
      <c r="L59" s="8" t="s">
        <v>33</v>
      </c>
      <c r="M59" s="9">
        <v>36161</v>
      </c>
      <c r="N59" s="9">
        <v>45627</v>
      </c>
      <c r="O59" s="9">
        <v>36526</v>
      </c>
      <c r="P59" s="8" t="s">
        <v>33</v>
      </c>
    </row>
    <row r="60" spans="1:16" s="13" customFormat="1" ht="15" customHeight="1">
      <c r="A60" s="8" t="str">
        <f>settings!$C$2</f>
        <v>Kazakhstan</v>
      </c>
      <c r="B60" s="8" t="s">
        <v>267</v>
      </c>
      <c r="C60" s="8" t="s">
        <v>101</v>
      </c>
      <c r="D60" s="8" t="str">
        <f>CONCATENATE(settings!$C$6,settings!$C$5)</f>
        <v>../Kazakhstan_DB.xlsx</v>
      </c>
      <c r="E60" s="16" t="s">
        <v>33</v>
      </c>
      <c r="F60" s="8" t="s">
        <v>10</v>
      </c>
      <c r="G60" s="8" t="s">
        <v>32</v>
      </c>
      <c r="H60" s="8" t="s">
        <v>21</v>
      </c>
      <c r="I60" s="8" t="s">
        <v>31</v>
      </c>
      <c r="J60" s="8" t="s">
        <v>22</v>
      </c>
      <c r="K60" s="8" t="s">
        <v>21</v>
      </c>
      <c r="L60" s="8" t="s">
        <v>33</v>
      </c>
      <c r="M60" s="9">
        <v>36161</v>
      </c>
      <c r="N60" s="9">
        <v>45627</v>
      </c>
      <c r="O60" s="9">
        <v>36526</v>
      </c>
      <c r="P60" s="8" t="s">
        <v>33</v>
      </c>
    </row>
    <row r="61" spans="1:16" s="13" customFormat="1" ht="15" customHeight="1">
      <c r="A61" s="8" t="str">
        <f>settings!$C$2</f>
        <v>Kazakhstan</v>
      </c>
      <c r="B61" s="8" t="s">
        <v>267</v>
      </c>
      <c r="C61" s="8" t="s">
        <v>101</v>
      </c>
      <c r="D61" s="8" t="str">
        <f>CONCATENATE(settings!$C$6,settings!$C$5)</f>
        <v>../Kazakhstan_DB.xlsx</v>
      </c>
      <c r="E61" s="16" t="s">
        <v>33</v>
      </c>
      <c r="F61" s="8" t="s">
        <v>8</v>
      </c>
      <c r="G61" s="8" t="s">
        <v>32</v>
      </c>
      <c r="H61" s="8" t="s">
        <v>21</v>
      </c>
      <c r="I61" s="8" t="s">
        <v>31</v>
      </c>
      <c r="J61" s="8" t="s">
        <v>22</v>
      </c>
      <c r="K61" s="8" t="s">
        <v>21</v>
      </c>
      <c r="L61" s="8" t="s">
        <v>33</v>
      </c>
      <c r="M61" s="9">
        <v>36161</v>
      </c>
      <c r="N61" s="9">
        <v>45627</v>
      </c>
      <c r="O61" s="9">
        <v>36526</v>
      </c>
      <c r="P61" s="8" t="s">
        <v>33</v>
      </c>
    </row>
    <row r="62" spans="1:16" s="13" customFormat="1" ht="15" customHeight="1">
      <c r="A62" s="8" t="str">
        <f>settings!$C$2</f>
        <v>Kazakhstan</v>
      </c>
      <c r="B62" s="8" t="s">
        <v>267</v>
      </c>
      <c r="C62" s="8" t="s">
        <v>101</v>
      </c>
      <c r="D62" s="8" t="str">
        <f>CONCATENATE(settings!$C$6,settings!$C$5)</f>
        <v>../Kazakhstan_DB.xlsx</v>
      </c>
      <c r="E62" s="16" t="s">
        <v>33</v>
      </c>
      <c r="F62" s="8" t="s">
        <v>9</v>
      </c>
      <c r="G62" s="8" t="s">
        <v>32</v>
      </c>
      <c r="H62" s="8" t="s">
        <v>21</v>
      </c>
      <c r="I62" s="8" t="s">
        <v>31</v>
      </c>
      <c r="J62" s="8" t="s">
        <v>22</v>
      </c>
      <c r="K62" s="8" t="s">
        <v>21</v>
      </c>
      <c r="L62" s="8" t="s">
        <v>33</v>
      </c>
      <c r="M62" s="9">
        <v>36161</v>
      </c>
      <c r="N62" s="9">
        <v>45627</v>
      </c>
      <c r="O62" s="9">
        <v>36526</v>
      </c>
      <c r="P62" s="8" t="s">
        <v>33</v>
      </c>
    </row>
    <row r="63" spans="1:16" s="11" customFormat="1" ht="15" customHeight="1">
      <c r="A63" s="8" t="str">
        <f>settings!$C$2</f>
        <v>Kazakhstan</v>
      </c>
      <c r="B63" s="8" t="s">
        <v>267</v>
      </c>
      <c r="C63" s="8" t="s">
        <v>101</v>
      </c>
      <c r="D63" s="8" t="str">
        <f>CONCATENATE(settings!$C$6,settings!$C$5)</f>
        <v>../Kazakhstan_DB.xlsx</v>
      </c>
      <c r="E63" s="16" t="s">
        <v>33</v>
      </c>
      <c r="F63" s="8" t="s">
        <v>4</v>
      </c>
      <c r="G63" s="8" t="s">
        <v>32</v>
      </c>
      <c r="H63" s="8" t="s">
        <v>21</v>
      </c>
      <c r="I63" s="8" t="s">
        <v>31</v>
      </c>
      <c r="J63" s="8" t="s">
        <v>22</v>
      </c>
      <c r="K63" s="8" t="s">
        <v>21</v>
      </c>
      <c r="L63" s="8" t="s">
        <v>33</v>
      </c>
      <c r="M63" s="9">
        <v>36161</v>
      </c>
      <c r="N63" s="9">
        <v>45627</v>
      </c>
      <c r="O63" s="9">
        <v>36526</v>
      </c>
      <c r="P63" s="8" t="s">
        <v>33</v>
      </c>
    </row>
    <row r="64" spans="1:16" s="11" customFormat="1" ht="15" customHeight="1">
      <c r="A64" s="8" t="str">
        <f>settings!$C$2</f>
        <v>Kazakhstan</v>
      </c>
      <c r="B64" s="8" t="s">
        <v>267</v>
      </c>
      <c r="C64" s="8" t="s">
        <v>101</v>
      </c>
      <c r="D64" s="8" t="str">
        <f>CONCATENATE(settings!$C$6,settings!$C$5)</f>
        <v>../Kazakhstan_DB.xlsx</v>
      </c>
      <c r="E64" s="16" t="s">
        <v>33</v>
      </c>
      <c r="F64" s="8" t="s">
        <v>7</v>
      </c>
      <c r="G64" s="8" t="s">
        <v>15</v>
      </c>
      <c r="H64" s="8" t="s">
        <v>21</v>
      </c>
      <c r="I64" s="8" t="s">
        <v>31</v>
      </c>
      <c r="J64" s="8" t="s">
        <v>22</v>
      </c>
      <c r="K64" s="8" t="s">
        <v>21</v>
      </c>
      <c r="L64" s="8" t="s">
        <v>33</v>
      </c>
      <c r="M64" s="9">
        <v>36161</v>
      </c>
      <c r="N64" s="9">
        <v>45627</v>
      </c>
      <c r="O64" s="9">
        <v>36526</v>
      </c>
      <c r="P64" s="8" t="s">
        <v>33</v>
      </c>
    </row>
    <row r="65" spans="1:16" s="11" customFormat="1" ht="15" customHeight="1">
      <c r="A65" s="8" t="str">
        <f>settings!$C$2</f>
        <v>Kazakhstan</v>
      </c>
      <c r="B65" s="8" t="s">
        <v>267</v>
      </c>
      <c r="C65" s="8" t="s">
        <v>101</v>
      </c>
      <c r="D65" s="8" t="str">
        <f>CONCATENATE(settings!$C$6,settings!$C$5)</f>
        <v>../Kazakhstan_DB.xlsx</v>
      </c>
      <c r="E65" s="16" t="s">
        <v>33</v>
      </c>
      <c r="F65" s="8" t="s">
        <v>209</v>
      </c>
      <c r="G65" s="8" t="s">
        <v>15</v>
      </c>
      <c r="H65" s="8" t="s">
        <v>21</v>
      </c>
      <c r="I65" s="8" t="s">
        <v>31</v>
      </c>
      <c r="J65" s="8" t="s">
        <v>22</v>
      </c>
      <c r="K65" s="8" t="s">
        <v>21</v>
      </c>
      <c r="L65" s="8" t="s">
        <v>33</v>
      </c>
      <c r="M65" s="9">
        <v>36161</v>
      </c>
      <c r="N65" s="9">
        <v>45627</v>
      </c>
      <c r="O65" s="9">
        <v>36526</v>
      </c>
      <c r="P65" s="8" t="s">
        <v>33</v>
      </c>
    </row>
    <row r="66" spans="1:16" s="11" customFormat="1" ht="15" customHeight="1">
      <c r="A66" s="8" t="str">
        <f>settings!$C$2</f>
        <v>Kazakhstan</v>
      </c>
      <c r="B66" s="8" t="s">
        <v>267</v>
      </c>
      <c r="C66" s="8" t="s">
        <v>101</v>
      </c>
      <c r="D66" s="8" t="str">
        <f>CONCATENATE(settings!$C$6,settings!$C$5)</f>
        <v>../Kazakhstan_DB.xlsx</v>
      </c>
      <c r="E66" s="16" t="s">
        <v>33</v>
      </c>
      <c r="F66" s="8" t="s">
        <v>36</v>
      </c>
      <c r="G66" s="8" t="s">
        <v>15</v>
      </c>
      <c r="H66" s="8" t="s">
        <v>21</v>
      </c>
      <c r="I66" s="8" t="s">
        <v>31</v>
      </c>
      <c r="J66" s="8" t="s">
        <v>22</v>
      </c>
      <c r="K66" s="8" t="s">
        <v>21</v>
      </c>
      <c r="L66" s="8" t="s">
        <v>33</v>
      </c>
      <c r="M66" s="9">
        <v>36161</v>
      </c>
      <c r="N66" s="9">
        <v>45627</v>
      </c>
      <c r="O66" s="9">
        <v>36526</v>
      </c>
      <c r="P66" s="8" t="s">
        <v>33</v>
      </c>
    </row>
    <row r="67" spans="1:16" s="11" customFormat="1" ht="15" customHeight="1">
      <c r="A67" s="8" t="str">
        <f>settings!$C$2</f>
        <v>Kazakhstan</v>
      </c>
      <c r="B67" s="8" t="s">
        <v>267</v>
      </c>
      <c r="C67" s="8" t="s">
        <v>101</v>
      </c>
      <c r="D67" s="8" t="str">
        <f>CONCATENATE(settings!$C$6,settings!$C$5)</f>
        <v>../Kazakhstan_DB.xlsx</v>
      </c>
      <c r="E67" s="16" t="s">
        <v>33</v>
      </c>
      <c r="F67" s="8" t="s">
        <v>2</v>
      </c>
      <c r="G67" s="8" t="s">
        <v>15</v>
      </c>
      <c r="H67" s="8" t="s">
        <v>21</v>
      </c>
      <c r="I67" s="8" t="s">
        <v>31</v>
      </c>
      <c r="J67" s="8" t="s">
        <v>22</v>
      </c>
      <c r="K67" s="8" t="s">
        <v>21</v>
      </c>
      <c r="L67" s="8" t="s">
        <v>33</v>
      </c>
      <c r="M67" s="9">
        <v>36161</v>
      </c>
      <c r="N67" s="9">
        <v>45627</v>
      </c>
      <c r="O67" s="9">
        <v>36526</v>
      </c>
      <c r="P67" s="8" t="s">
        <v>33</v>
      </c>
    </row>
    <row r="68" spans="1:16" s="11" customFormat="1" ht="15" customHeight="1">
      <c r="A68" s="8" t="str">
        <f>settings!$C$2</f>
        <v>Kazakhstan</v>
      </c>
      <c r="B68" s="8" t="s">
        <v>267</v>
      </c>
      <c r="C68" s="8" t="s">
        <v>101</v>
      </c>
      <c r="D68" s="8" t="str">
        <f>CONCATENATE(settings!$C$6,settings!$C$5)</f>
        <v>../Kazakhstan_DB.xlsx</v>
      </c>
      <c r="E68" s="16" t="s">
        <v>33</v>
      </c>
      <c r="F68" s="8" t="s">
        <v>10</v>
      </c>
      <c r="G68" s="8" t="s">
        <v>15</v>
      </c>
      <c r="H68" s="8" t="s">
        <v>21</v>
      </c>
      <c r="I68" s="8" t="s">
        <v>31</v>
      </c>
      <c r="J68" s="8" t="s">
        <v>22</v>
      </c>
      <c r="K68" s="8" t="s">
        <v>21</v>
      </c>
      <c r="L68" s="8" t="s">
        <v>33</v>
      </c>
      <c r="M68" s="9">
        <v>36161</v>
      </c>
      <c r="N68" s="9">
        <v>45627</v>
      </c>
      <c r="O68" s="9">
        <v>36526</v>
      </c>
      <c r="P68" s="8" t="s">
        <v>33</v>
      </c>
    </row>
    <row r="69" spans="1:16" s="11" customFormat="1" ht="15" customHeight="1">
      <c r="A69" s="8" t="str">
        <f>settings!$C$2</f>
        <v>Kazakhstan</v>
      </c>
      <c r="B69" s="8" t="s">
        <v>267</v>
      </c>
      <c r="C69" s="8" t="s">
        <v>101</v>
      </c>
      <c r="D69" s="8" t="str">
        <f>CONCATENATE(settings!$C$6,settings!$C$5)</f>
        <v>../Kazakhstan_DB.xlsx</v>
      </c>
      <c r="E69" s="16" t="s">
        <v>33</v>
      </c>
      <c r="F69" s="8" t="s">
        <v>11</v>
      </c>
      <c r="G69" s="8" t="s">
        <v>15</v>
      </c>
      <c r="H69" s="8" t="s">
        <v>21</v>
      </c>
      <c r="I69" s="8" t="s">
        <v>31</v>
      </c>
      <c r="J69" s="8" t="s">
        <v>22</v>
      </c>
      <c r="K69" s="8" t="s">
        <v>21</v>
      </c>
      <c r="L69" s="8" t="s">
        <v>33</v>
      </c>
      <c r="M69" s="9">
        <v>36161</v>
      </c>
      <c r="N69" s="9">
        <v>45627</v>
      </c>
      <c r="O69" s="9">
        <v>36526</v>
      </c>
      <c r="P69" s="8" t="s">
        <v>33</v>
      </c>
    </row>
    <row r="70" spans="1:16" s="11" customFormat="1" ht="15" customHeight="1">
      <c r="A70" s="8" t="str">
        <f>settings!$C$2</f>
        <v>Kazakhstan</v>
      </c>
      <c r="B70" s="8" t="s">
        <v>267</v>
      </c>
      <c r="C70" s="8" t="s">
        <v>101</v>
      </c>
      <c r="D70" s="8" t="str">
        <f>CONCATENATE(settings!$C$6,settings!$C$5)</f>
        <v>../Kazakhstan_DB.xlsx</v>
      </c>
      <c r="E70" s="16" t="s">
        <v>33</v>
      </c>
      <c r="F70" s="8" t="s">
        <v>8</v>
      </c>
      <c r="G70" s="8" t="s">
        <v>15</v>
      </c>
      <c r="H70" s="8" t="s">
        <v>21</v>
      </c>
      <c r="I70" s="8" t="s">
        <v>31</v>
      </c>
      <c r="J70" s="8" t="s">
        <v>22</v>
      </c>
      <c r="K70" s="8" t="s">
        <v>21</v>
      </c>
      <c r="L70" s="8" t="s">
        <v>33</v>
      </c>
      <c r="M70" s="9">
        <v>36161</v>
      </c>
      <c r="N70" s="9">
        <v>45627</v>
      </c>
      <c r="O70" s="9">
        <v>36526</v>
      </c>
      <c r="P70" s="8" t="s">
        <v>33</v>
      </c>
    </row>
    <row r="71" spans="1:16" s="11" customFormat="1" ht="15" customHeight="1">
      <c r="A71" s="8" t="str">
        <f>settings!$C$2</f>
        <v>Kazakhstan</v>
      </c>
      <c r="B71" s="8" t="s">
        <v>267</v>
      </c>
      <c r="C71" s="8" t="s">
        <v>101</v>
      </c>
      <c r="D71" s="8" t="str">
        <f>CONCATENATE(settings!$C$6,settings!$C$5)</f>
        <v>../Kazakhstan_DB.xlsx</v>
      </c>
      <c r="E71" s="16" t="s">
        <v>33</v>
      </c>
      <c r="F71" s="8" t="s">
        <v>9</v>
      </c>
      <c r="G71" s="8" t="s">
        <v>15</v>
      </c>
      <c r="H71" s="8" t="s">
        <v>21</v>
      </c>
      <c r="I71" s="8" t="s">
        <v>31</v>
      </c>
      <c r="J71" s="8" t="s">
        <v>22</v>
      </c>
      <c r="K71" s="8" t="s">
        <v>21</v>
      </c>
      <c r="L71" s="8" t="s">
        <v>33</v>
      </c>
      <c r="M71" s="9">
        <v>36161</v>
      </c>
      <c r="N71" s="9">
        <v>45627</v>
      </c>
      <c r="O71" s="9">
        <v>36526</v>
      </c>
      <c r="P71" s="8" t="s">
        <v>33</v>
      </c>
    </row>
    <row r="72" spans="1:16" s="11" customFormat="1" ht="15" customHeight="1">
      <c r="A72" s="8" t="str">
        <f>settings!$C$2</f>
        <v>Kazakhstan</v>
      </c>
      <c r="B72" s="8" t="s">
        <v>267</v>
      </c>
      <c r="C72" s="8" t="s">
        <v>101</v>
      </c>
      <c r="D72" s="8" t="str">
        <f>CONCATENATE(settings!$C$6,settings!$C$5)</f>
        <v>../Kazakhstan_DB.xlsx</v>
      </c>
      <c r="E72" s="16" t="s">
        <v>33</v>
      </c>
      <c r="F72" s="8" t="s">
        <v>4</v>
      </c>
      <c r="G72" s="8" t="s">
        <v>15</v>
      </c>
      <c r="H72" s="8" t="s">
        <v>21</v>
      </c>
      <c r="I72" s="8" t="s">
        <v>31</v>
      </c>
      <c r="J72" s="8" t="s">
        <v>22</v>
      </c>
      <c r="K72" s="8" t="s">
        <v>21</v>
      </c>
      <c r="L72" s="8" t="s">
        <v>33</v>
      </c>
      <c r="M72" s="9">
        <v>36161</v>
      </c>
      <c r="N72" s="9">
        <v>45627</v>
      </c>
      <c r="O72" s="9">
        <v>36526</v>
      </c>
      <c r="P72" s="8" t="s">
        <v>33</v>
      </c>
    </row>
    <row r="73" spans="1:16" s="11" customFormat="1" ht="15" customHeight="1">
      <c r="A73" s="8" t="str">
        <f>settings!$C$2</f>
        <v>Kazakhstan</v>
      </c>
      <c r="B73" s="8" t="s">
        <v>267</v>
      </c>
      <c r="C73" s="8" t="s">
        <v>101</v>
      </c>
      <c r="D73" s="8" t="str">
        <f>CONCATENATE(settings!$C$6,settings!$C$5)</f>
        <v>../Kazakhstan_DB.xlsx</v>
      </c>
      <c r="E73" s="16" t="s">
        <v>33</v>
      </c>
      <c r="F73" s="8" t="s">
        <v>37</v>
      </c>
      <c r="G73" s="8" t="s">
        <v>32</v>
      </c>
      <c r="H73" s="8" t="s">
        <v>21</v>
      </c>
      <c r="I73" s="8" t="s">
        <v>31</v>
      </c>
      <c r="J73" s="8" t="s">
        <v>22</v>
      </c>
      <c r="K73" s="8" t="s">
        <v>21</v>
      </c>
      <c r="L73" s="8" t="s">
        <v>33</v>
      </c>
      <c r="M73" s="9">
        <v>36161</v>
      </c>
      <c r="N73" s="9">
        <v>45627</v>
      </c>
      <c r="O73" s="9">
        <v>36526</v>
      </c>
      <c r="P73" s="8" t="s">
        <v>33</v>
      </c>
    </row>
    <row r="74" spans="1:16" s="11" customFormat="1" ht="15" customHeight="1">
      <c r="A74" s="8" t="str">
        <f>settings!$C$2</f>
        <v>Kazakhstan</v>
      </c>
      <c r="B74" s="8" t="s">
        <v>267</v>
      </c>
      <c r="C74" s="8" t="s">
        <v>101</v>
      </c>
      <c r="D74" s="8" t="str">
        <f>CONCATENATE(settings!$C$6,settings!$C$5)</f>
        <v>../Kazakhstan_DB.xlsx</v>
      </c>
      <c r="E74" s="16" t="s">
        <v>33</v>
      </c>
      <c r="F74" s="8" t="s">
        <v>38</v>
      </c>
      <c r="G74" s="8" t="s">
        <v>32</v>
      </c>
      <c r="H74" s="8" t="s">
        <v>21</v>
      </c>
      <c r="I74" s="8" t="s">
        <v>31</v>
      </c>
      <c r="J74" s="8" t="s">
        <v>22</v>
      </c>
      <c r="K74" s="8" t="s">
        <v>21</v>
      </c>
      <c r="L74" s="8" t="s">
        <v>33</v>
      </c>
      <c r="M74" s="9">
        <v>36161</v>
      </c>
      <c r="N74" s="9">
        <v>45627</v>
      </c>
      <c r="O74" s="9">
        <v>36526</v>
      </c>
      <c r="P74" s="8" t="s">
        <v>33</v>
      </c>
    </row>
    <row r="75" spans="1:16" s="11" customFormat="1" ht="15" customHeight="1">
      <c r="A75" s="8" t="str">
        <f>settings!$C$2</f>
        <v>Kazakhstan</v>
      </c>
      <c r="B75" s="8" t="s">
        <v>267</v>
      </c>
      <c r="C75" s="8" t="s">
        <v>101</v>
      </c>
      <c r="D75" s="8" t="str">
        <f>CONCATENATE(settings!$C$6,settings!$C$5)</f>
        <v>../Kazakhstan_DB.xlsx</v>
      </c>
      <c r="E75" s="16" t="s">
        <v>33</v>
      </c>
      <c r="F75" s="10" t="s">
        <v>246</v>
      </c>
      <c r="G75" s="8" t="s">
        <v>32</v>
      </c>
      <c r="H75" s="8" t="s">
        <v>21</v>
      </c>
      <c r="I75" s="8" t="s">
        <v>31</v>
      </c>
      <c r="J75" s="8" t="s">
        <v>22</v>
      </c>
      <c r="K75" s="8" t="s">
        <v>21</v>
      </c>
      <c r="L75" s="8" t="s">
        <v>33</v>
      </c>
      <c r="M75" s="9">
        <v>36161</v>
      </c>
      <c r="N75" s="9">
        <v>45627</v>
      </c>
      <c r="O75" s="9">
        <v>36526</v>
      </c>
      <c r="P75" s="8" t="s">
        <v>33</v>
      </c>
    </row>
    <row r="76" spans="1:16" s="11" customFormat="1" ht="15" customHeight="1">
      <c r="A76" s="8" t="str">
        <f>settings!$C$2</f>
        <v>Kazakhstan</v>
      </c>
      <c r="B76" s="8" t="s">
        <v>267</v>
      </c>
      <c r="C76" s="8" t="s">
        <v>101</v>
      </c>
      <c r="D76" s="8" t="str">
        <f>CONCATENATE(settings!$C$6,settings!$C$5)</f>
        <v>../Kazakhstan_DB.xlsx</v>
      </c>
      <c r="E76" s="16" t="s">
        <v>33</v>
      </c>
      <c r="F76" s="10" t="s">
        <v>39</v>
      </c>
      <c r="G76" s="8" t="s">
        <v>32</v>
      </c>
      <c r="H76" s="8" t="s">
        <v>21</v>
      </c>
      <c r="I76" s="8" t="s">
        <v>31</v>
      </c>
      <c r="J76" s="8" t="s">
        <v>22</v>
      </c>
      <c r="K76" s="8" t="s">
        <v>21</v>
      </c>
      <c r="L76" s="8" t="s">
        <v>33</v>
      </c>
      <c r="M76" s="9">
        <v>36161</v>
      </c>
      <c r="N76" s="9">
        <v>45627</v>
      </c>
      <c r="O76" s="9">
        <v>36526</v>
      </c>
      <c r="P76" s="8" t="s">
        <v>33</v>
      </c>
    </row>
    <row r="77" spans="1:16" s="11" customFormat="1" ht="15" customHeight="1">
      <c r="A77" s="8" t="str">
        <f>settings!$C$2</f>
        <v>Kazakhstan</v>
      </c>
      <c r="B77" s="8" t="s">
        <v>267</v>
      </c>
      <c r="C77" s="8" t="s">
        <v>101</v>
      </c>
      <c r="D77" s="8" t="str">
        <f>CONCATENATE(settings!$C$6,settings!$C$5)</f>
        <v>../Kazakhstan_DB.xlsx</v>
      </c>
      <c r="E77" s="16" t="s">
        <v>33</v>
      </c>
      <c r="F77" s="10" t="s">
        <v>247</v>
      </c>
      <c r="G77" s="8" t="s">
        <v>32</v>
      </c>
      <c r="H77" s="8" t="s">
        <v>21</v>
      </c>
      <c r="I77" s="8" t="s">
        <v>31</v>
      </c>
      <c r="J77" s="8" t="s">
        <v>22</v>
      </c>
      <c r="K77" s="8" t="s">
        <v>21</v>
      </c>
      <c r="L77" s="8" t="s">
        <v>33</v>
      </c>
      <c r="M77" s="9">
        <v>36161</v>
      </c>
      <c r="N77" s="9">
        <v>45627</v>
      </c>
      <c r="O77" s="9">
        <v>36526</v>
      </c>
      <c r="P77" s="8" t="s">
        <v>33</v>
      </c>
    </row>
    <row r="78" spans="1:16" s="11" customFormat="1" ht="15" customHeight="1">
      <c r="A78" s="8" t="str">
        <f>settings!$C$2</f>
        <v>Kazakhstan</v>
      </c>
      <c r="B78" s="8" t="s">
        <v>267</v>
      </c>
      <c r="C78" s="8" t="s">
        <v>101</v>
      </c>
      <c r="D78" s="8" t="str">
        <f>CONCATENATE(settings!$C$6,settings!$C$5)</f>
        <v>../Kazakhstan_DB.xlsx</v>
      </c>
      <c r="E78" s="16" t="s">
        <v>33</v>
      </c>
      <c r="F78" s="10" t="s">
        <v>248</v>
      </c>
      <c r="G78" s="8" t="s">
        <v>32</v>
      </c>
      <c r="H78" s="8" t="s">
        <v>21</v>
      </c>
      <c r="I78" s="8" t="s">
        <v>31</v>
      </c>
      <c r="J78" s="8" t="s">
        <v>22</v>
      </c>
      <c r="K78" s="8" t="s">
        <v>21</v>
      </c>
      <c r="L78" s="8" t="s">
        <v>33</v>
      </c>
      <c r="M78" s="9">
        <v>36161</v>
      </c>
      <c r="N78" s="9">
        <v>45627</v>
      </c>
      <c r="O78" s="9">
        <v>36526</v>
      </c>
      <c r="P78" s="8" t="s">
        <v>33</v>
      </c>
    </row>
    <row r="79" spans="1:16" s="11" customFormat="1" ht="15" customHeight="1">
      <c r="A79" s="8" t="str">
        <f>settings!$C$2</f>
        <v>Kazakhstan</v>
      </c>
      <c r="B79" s="8" t="s">
        <v>267</v>
      </c>
      <c r="C79" s="8" t="s">
        <v>101</v>
      </c>
      <c r="D79" s="8" t="str">
        <f>CONCATENATE(settings!$C$6,settings!$C$5)</f>
        <v>../Kazakhstan_DB.xlsx</v>
      </c>
      <c r="E79" s="16" t="s">
        <v>33</v>
      </c>
      <c r="F79" s="8" t="s">
        <v>40</v>
      </c>
      <c r="G79" s="8" t="s">
        <v>32</v>
      </c>
      <c r="H79" s="8" t="s">
        <v>21</v>
      </c>
      <c r="I79" s="8" t="s">
        <v>31</v>
      </c>
      <c r="J79" s="8" t="s">
        <v>22</v>
      </c>
      <c r="K79" s="8" t="s">
        <v>21</v>
      </c>
      <c r="L79" s="8" t="s">
        <v>33</v>
      </c>
      <c r="M79" s="9">
        <v>36161</v>
      </c>
      <c r="N79" s="9">
        <v>45627</v>
      </c>
      <c r="O79" s="9">
        <v>36526</v>
      </c>
      <c r="P79" s="8" t="s">
        <v>33</v>
      </c>
    </row>
    <row r="80" spans="1:16" s="11" customFormat="1" ht="15" customHeight="1">
      <c r="A80" s="8" t="str">
        <f>settings!$C$2</f>
        <v>Kazakhstan</v>
      </c>
      <c r="B80" s="8" t="s">
        <v>267</v>
      </c>
      <c r="C80" s="8" t="s">
        <v>101</v>
      </c>
      <c r="D80" s="8" t="str">
        <f>CONCATENATE(settings!$C$6,settings!$C$5)</f>
        <v>../Kazakhstan_DB.xlsx</v>
      </c>
      <c r="E80" s="16" t="s">
        <v>33</v>
      </c>
      <c r="F80" s="8" t="s">
        <v>175</v>
      </c>
      <c r="G80" s="8" t="s">
        <v>32</v>
      </c>
      <c r="H80" s="8" t="s">
        <v>21</v>
      </c>
      <c r="I80" s="8" t="s">
        <v>31</v>
      </c>
      <c r="J80" s="8" t="s">
        <v>22</v>
      </c>
      <c r="K80" s="8" t="s">
        <v>21</v>
      </c>
      <c r="L80" s="8" t="s">
        <v>33</v>
      </c>
      <c r="M80" s="9">
        <v>36161</v>
      </c>
      <c r="N80" s="9">
        <v>45627</v>
      </c>
      <c r="O80" s="9">
        <v>36526</v>
      </c>
      <c r="P80" s="8" t="s">
        <v>33</v>
      </c>
    </row>
    <row r="81" spans="1:16" s="11" customFormat="1" ht="15" customHeight="1">
      <c r="A81" s="8" t="str">
        <f>settings!$C$2</f>
        <v>Kazakhstan</v>
      </c>
      <c r="B81" s="8" t="s">
        <v>267</v>
      </c>
      <c r="C81" s="8" t="s">
        <v>101</v>
      </c>
      <c r="D81" s="8" t="str">
        <f>CONCATENATE(settings!$C$6,settings!$C$5)</f>
        <v>../Kazakhstan_DB.xlsx</v>
      </c>
      <c r="E81" s="16" t="s">
        <v>33</v>
      </c>
      <c r="F81" s="8" t="s">
        <v>238</v>
      </c>
      <c r="G81" s="8" t="s">
        <v>32</v>
      </c>
      <c r="H81" s="8" t="s">
        <v>21</v>
      </c>
      <c r="I81" s="8" t="s">
        <v>31</v>
      </c>
      <c r="J81" s="8" t="s">
        <v>22</v>
      </c>
      <c r="K81" s="8" t="s">
        <v>21</v>
      </c>
      <c r="L81" s="8" t="s">
        <v>33</v>
      </c>
      <c r="M81" s="9">
        <v>36161</v>
      </c>
      <c r="N81" s="9">
        <v>45627</v>
      </c>
      <c r="O81" s="9">
        <v>36526</v>
      </c>
      <c r="P81" s="8" t="s">
        <v>33</v>
      </c>
    </row>
    <row r="82" spans="1:16" s="11" customFormat="1" ht="15" customHeight="1">
      <c r="A82" s="8" t="str">
        <f>settings!$C$2</f>
        <v>Kazakhstan</v>
      </c>
      <c r="B82" s="8" t="s">
        <v>267</v>
      </c>
      <c r="C82" s="8" t="s">
        <v>101</v>
      </c>
      <c r="D82" s="8" t="str">
        <f>CONCATENATE(settings!$C$6,settings!$C$5)</f>
        <v>../Kazakhstan_DB.xlsx</v>
      </c>
      <c r="E82" s="16" t="s">
        <v>33</v>
      </c>
      <c r="F82" s="8" t="s">
        <v>155</v>
      </c>
      <c r="G82" s="8" t="s">
        <v>32</v>
      </c>
      <c r="H82" s="8" t="s">
        <v>21</v>
      </c>
      <c r="I82" s="8" t="s">
        <v>31</v>
      </c>
      <c r="J82" s="8" t="s">
        <v>22</v>
      </c>
      <c r="K82" s="8" t="s">
        <v>21</v>
      </c>
      <c r="L82" s="8" t="s">
        <v>33</v>
      </c>
      <c r="M82" s="9">
        <v>36161</v>
      </c>
      <c r="N82" s="9">
        <v>45627</v>
      </c>
      <c r="O82" s="9">
        <v>36526</v>
      </c>
      <c r="P82" s="8" t="s">
        <v>33</v>
      </c>
    </row>
    <row r="83" spans="1:16" s="11" customFormat="1" ht="15" customHeight="1">
      <c r="A83" s="8" t="str">
        <f>settings!$C$2</f>
        <v>Kazakhstan</v>
      </c>
      <c r="B83" s="8" t="s">
        <v>267</v>
      </c>
      <c r="C83" s="8" t="s">
        <v>101</v>
      </c>
      <c r="D83" s="8" t="str">
        <f>CONCATENATE(settings!$C$6,settings!$C$5)</f>
        <v>../Kazakhstan_DB.xlsx</v>
      </c>
      <c r="E83" s="16" t="s">
        <v>33</v>
      </c>
      <c r="F83" s="8" t="s">
        <v>41</v>
      </c>
      <c r="G83" s="8" t="s">
        <v>32</v>
      </c>
      <c r="H83" s="8" t="s">
        <v>21</v>
      </c>
      <c r="I83" s="8" t="s">
        <v>31</v>
      </c>
      <c r="J83" s="8" t="s">
        <v>22</v>
      </c>
      <c r="K83" s="8" t="s">
        <v>21</v>
      </c>
      <c r="L83" s="8" t="s">
        <v>33</v>
      </c>
      <c r="M83" s="9">
        <v>36161</v>
      </c>
      <c r="N83" s="9">
        <v>45627</v>
      </c>
      <c r="O83" s="9">
        <v>36526</v>
      </c>
      <c r="P83" s="8" t="s">
        <v>33</v>
      </c>
    </row>
    <row r="84" spans="1:16" s="11" customFormat="1" ht="15" customHeight="1">
      <c r="A84" s="8" t="str">
        <f>settings!$C$2</f>
        <v>Kazakhstan</v>
      </c>
      <c r="B84" s="8" t="s">
        <v>267</v>
      </c>
      <c r="C84" s="8" t="s">
        <v>101</v>
      </c>
      <c r="D84" s="8" t="str">
        <f>CONCATENATE(settings!$C$6,settings!$C$5)</f>
        <v>../Kazakhstan_DB.xlsx</v>
      </c>
      <c r="E84" s="16" t="s">
        <v>33</v>
      </c>
      <c r="F84" s="8" t="s">
        <v>42</v>
      </c>
      <c r="G84" s="8" t="s">
        <v>32</v>
      </c>
      <c r="H84" s="8" t="s">
        <v>21</v>
      </c>
      <c r="I84" s="8" t="s">
        <v>31</v>
      </c>
      <c r="J84" s="8" t="s">
        <v>22</v>
      </c>
      <c r="K84" s="8" t="s">
        <v>21</v>
      </c>
      <c r="L84" s="8" t="s">
        <v>33</v>
      </c>
      <c r="M84" s="9">
        <v>36161</v>
      </c>
      <c r="N84" s="9">
        <v>45627</v>
      </c>
      <c r="O84" s="9">
        <v>36526</v>
      </c>
      <c r="P84" s="8" t="s">
        <v>33</v>
      </c>
    </row>
    <row r="85" spans="1:16" s="11" customFormat="1" ht="15" customHeight="1">
      <c r="A85" s="8" t="str">
        <f>settings!$C$2</f>
        <v>Kazakhstan</v>
      </c>
      <c r="B85" s="8" t="s">
        <v>267</v>
      </c>
      <c r="C85" s="8" t="s">
        <v>101</v>
      </c>
      <c r="D85" s="8" t="str">
        <f>CONCATENATE(settings!$C$6,settings!$C$5)</f>
        <v>../Kazakhstan_DB.xlsx</v>
      </c>
      <c r="E85" s="16" t="s">
        <v>33</v>
      </c>
      <c r="F85" s="8" t="s">
        <v>114</v>
      </c>
      <c r="G85" s="8" t="s">
        <v>32</v>
      </c>
      <c r="H85" s="8" t="s">
        <v>21</v>
      </c>
      <c r="I85" s="8" t="s">
        <v>31</v>
      </c>
      <c r="J85" s="8" t="s">
        <v>22</v>
      </c>
      <c r="K85" s="8" t="s">
        <v>21</v>
      </c>
      <c r="L85" s="8" t="s">
        <v>33</v>
      </c>
      <c r="M85" s="9">
        <v>36161</v>
      </c>
      <c r="N85" s="9">
        <v>45627</v>
      </c>
      <c r="O85" s="9">
        <v>36526</v>
      </c>
      <c r="P85" s="8" t="s">
        <v>33</v>
      </c>
    </row>
    <row r="86" spans="1:16" s="11" customFormat="1" ht="15" customHeight="1">
      <c r="A86" s="8" t="str">
        <f>settings!$C$2</f>
        <v>Kazakhstan</v>
      </c>
      <c r="B86" s="8" t="s">
        <v>267</v>
      </c>
      <c r="C86" s="8" t="s">
        <v>101</v>
      </c>
      <c r="D86" s="8" t="str">
        <f>CONCATENATE(settings!$C$6,settings!$C$5)</f>
        <v>../Kazakhstan_DB.xlsx</v>
      </c>
      <c r="E86" s="16" t="s">
        <v>33</v>
      </c>
      <c r="F86" s="8" t="s">
        <v>243</v>
      </c>
      <c r="G86" s="8" t="s">
        <v>32</v>
      </c>
      <c r="H86" s="8" t="s">
        <v>21</v>
      </c>
      <c r="I86" s="8" t="s">
        <v>31</v>
      </c>
      <c r="J86" s="8" t="s">
        <v>22</v>
      </c>
      <c r="K86" s="8" t="s">
        <v>21</v>
      </c>
      <c r="L86" s="8" t="s">
        <v>33</v>
      </c>
      <c r="M86" s="9">
        <v>36161</v>
      </c>
      <c r="N86" s="9">
        <v>45627</v>
      </c>
      <c r="O86" s="9">
        <v>36526</v>
      </c>
      <c r="P86" s="8" t="s">
        <v>33</v>
      </c>
    </row>
    <row r="87" spans="1:16" s="11" customFormat="1" ht="15" customHeight="1">
      <c r="A87" s="8" t="str">
        <f>settings!$C$2</f>
        <v>Kazakhstan</v>
      </c>
      <c r="B87" s="8" t="s">
        <v>267</v>
      </c>
      <c r="C87" s="8" t="s">
        <v>101</v>
      </c>
      <c r="D87" s="8" t="str">
        <f>CONCATENATE(settings!$C$6,settings!$C$5)</f>
        <v>../Kazakhstan_DB.xlsx</v>
      </c>
      <c r="E87" s="16" t="s">
        <v>33</v>
      </c>
      <c r="F87" s="8" t="s">
        <v>43</v>
      </c>
      <c r="G87" s="8" t="s">
        <v>32</v>
      </c>
      <c r="H87" s="8" t="s">
        <v>21</v>
      </c>
      <c r="I87" s="8" t="s">
        <v>31</v>
      </c>
      <c r="J87" s="8" t="s">
        <v>22</v>
      </c>
      <c r="K87" s="8" t="s">
        <v>21</v>
      </c>
      <c r="L87" s="8" t="s">
        <v>33</v>
      </c>
      <c r="M87" s="9">
        <v>36161</v>
      </c>
      <c r="N87" s="9">
        <v>45627</v>
      </c>
      <c r="O87" s="9">
        <v>36526</v>
      </c>
      <c r="P87" s="8" t="s">
        <v>33</v>
      </c>
    </row>
    <row r="88" spans="1:16" s="11" customFormat="1" ht="15" customHeight="1">
      <c r="A88" s="8" t="str">
        <f>settings!$C$2</f>
        <v>Kazakhstan</v>
      </c>
      <c r="B88" s="8" t="s">
        <v>267</v>
      </c>
      <c r="C88" s="8" t="s">
        <v>101</v>
      </c>
      <c r="D88" s="8" t="str">
        <f>CONCATENATE(settings!$C$6,settings!$C$5)</f>
        <v>../Kazakhstan_DB.xlsx</v>
      </c>
      <c r="E88" s="16" t="s">
        <v>33</v>
      </c>
      <c r="F88" s="8" t="s">
        <v>44</v>
      </c>
      <c r="G88" s="8" t="s">
        <v>32</v>
      </c>
      <c r="H88" s="8" t="s">
        <v>21</v>
      </c>
      <c r="I88" s="8" t="s">
        <v>31</v>
      </c>
      <c r="J88" s="8" t="s">
        <v>22</v>
      </c>
      <c r="K88" s="8" t="s">
        <v>21</v>
      </c>
      <c r="L88" s="8" t="s">
        <v>33</v>
      </c>
      <c r="M88" s="9">
        <v>36161</v>
      </c>
      <c r="N88" s="9">
        <v>45627</v>
      </c>
      <c r="O88" s="9">
        <v>36526</v>
      </c>
      <c r="P88" s="8" t="s">
        <v>33</v>
      </c>
    </row>
    <row r="89" spans="1:16" s="11" customFormat="1" ht="15" customHeight="1">
      <c r="A89" s="8" t="str">
        <f>settings!$C$2</f>
        <v>Kazakhstan</v>
      </c>
      <c r="B89" s="8" t="s">
        <v>267</v>
      </c>
      <c r="C89" s="8" t="s">
        <v>101</v>
      </c>
      <c r="D89" s="8" t="str">
        <f>CONCATENATE(settings!$C$6,settings!$C$5)</f>
        <v>../Kazakhstan_DB.xlsx</v>
      </c>
      <c r="E89" s="16" t="s">
        <v>33</v>
      </c>
      <c r="F89" s="8" t="s">
        <v>113</v>
      </c>
      <c r="G89" s="8" t="s">
        <v>32</v>
      </c>
      <c r="H89" s="8" t="s">
        <v>21</v>
      </c>
      <c r="I89" s="8" t="s">
        <v>31</v>
      </c>
      <c r="J89" s="8" t="s">
        <v>22</v>
      </c>
      <c r="K89" s="8" t="s">
        <v>21</v>
      </c>
      <c r="L89" s="8" t="s">
        <v>33</v>
      </c>
      <c r="M89" s="9">
        <v>36161</v>
      </c>
      <c r="N89" s="9">
        <v>45627</v>
      </c>
      <c r="O89" s="9">
        <v>36526</v>
      </c>
      <c r="P89" s="8" t="s">
        <v>33</v>
      </c>
    </row>
    <row r="90" spans="1:16" s="11" customFormat="1" ht="15" customHeight="1">
      <c r="A90" s="8" t="str">
        <f>settings!$C$2</f>
        <v>Kazakhstan</v>
      </c>
      <c r="B90" s="8" t="s">
        <v>267</v>
      </c>
      <c r="C90" s="8" t="s">
        <v>101</v>
      </c>
      <c r="D90" s="8" t="str">
        <f>CONCATENATE(settings!$C$6,settings!$C$5)</f>
        <v>../Kazakhstan_DB.xlsx</v>
      </c>
      <c r="E90" s="16" t="s">
        <v>33</v>
      </c>
      <c r="F90" s="8" t="s">
        <v>226</v>
      </c>
      <c r="G90" s="8" t="s">
        <v>32</v>
      </c>
      <c r="H90" s="8" t="s">
        <v>21</v>
      </c>
      <c r="I90" s="8" t="s">
        <v>31</v>
      </c>
      <c r="J90" s="8" t="s">
        <v>22</v>
      </c>
      <c r="K90" s="8" t="s">
        <v>21</v>
      </c>
      <c r="L90" s="8" t="s">
        <v>33</v>
      </c>
      <c r="M90" s="9">
        <v>36161</v>
      </c>
      <c r="N90" s="9">
        <v>45627</v>
      </c>
      <c r="O90" s="9">
        <v>36526</v>
      </c>
      <c r="P90" s="8" t="s">
        <v>33</v>
      </c>
    </row>
    <row r="91" spans="1:16" s="11" customFormat="1" ht="15" customHeight="1">
      <c r="A91" s="8" t="str">
        <f>settings!$C$2</f>
        <v>Kazakhstan</v>
      </c>
      <c r="B91" s="8" t="s">
        <v>267</v>
      </c>
      <c r="C91" s="8" t="s">
        <v>101</v>
      </c>
      <c r="D91" s="8" t="str">
        <f>CONCATENATE(settings!$C$6,settings!$C$5)</f>
        <v>../Kazakhstan_DB.xlsx</v>
      </c>
      <c r="E91" s="16" t="s">
        <v>33</v>
      </c>
      <c r="F91" s="8" t="s">
        <v>227</v>
      </c>
      <c r="G91" s="8" t="s">
        <v>32</v>
      </c>
      <c r="H91" s="8" t="s">
        <v>21</v>
      </c>
      <c r="I91" s="8" t="s">
        <v>31</v>
      </c>
      <c r="J91" s="8" t="s">
        <v>22</v>
      </c>
      <c r="K91" s="8" t="s">
        <v>21</v>
      </c>
      <c r="L91" s="8" t="s">
        <v>33</v>
      </c>
      <c r="M91" s="9">
        <v>36161</v>
      </c>
      <c r="N91" s="9">
        <v>45627</v>
      </c>
      <c r="O91" s="9">
        <v>36526</v>
      </c>
      <c r="P91" s="8" t="s">
        <v>33</v>
      </c>
    </row>
    <row r="92" spans="1:16" s="11" customFormat="1" ht="15" customHeight="1">
      <c r="A92" s="8" t="str">
        <f>settings!$C$2</f>
        <v>Kazakhstan</v>
      </c>
      <c r="B92" s="8" t="s">
        <v>267</v>
      </c>
      <c r="C92" s="8" t="s">
        <v>101</v>
      </c>
      <c r="D92" s="8" t="str">
        <f>CONCATENATE(settings!$C$6,settings!$C$5)</f>
        <v>../Kazakhstan_DB.xlsx</v>
      </c>
      <c r="E92" s="16" t="s">
        <v>33</v>
      </c>
      <c r="F92" s="8" t="s">
        <v>37</v>
      </c>
      <c r="G92" s="8" t="s">
        <v>15</v>
      </c>
      <c r="H92" s="8" t="s">
        <v>21</v>
      </c>
      <c r="I92" s="8" t="s">
        <v>31</v>
      </c>
      <c r="J92" s="8" t="s">
        <v>22</v>
      </c>
      <c r="K92" s="8" t="s">
        <v>21</v>
      </c>
      <c r="L92" s="8" t="s">
        <v>33</v>
      </c>
      <c r="M92" s="9">
        <v>36161</v>
      </c>
      <c r="N92" s="9">
        <v>45627</v>
      </c>
      <c r="O92" s="9">
        <v>36526</v>
      </c>
      <c r="P92" s="8" t="s">
        <v>33</v>
      </c>
    </row>
    <row r="93" spans="1:16" s="11" customFormat="1" ht="15" customHeight="1">
      <c r="A93" s="8" t="str">
        <f>settings!$C$2</f>
        <v>Kazakhstan</v>
      </c>
      <c r="B93" s="8" t="s">
        <v>267</v>
      </c>
      <c r="C93" s="8" t="s">
        <v>101</v>
      </c>
      <c r="D93" s="8" t="str">
        <f>CONCATENATE(settings!$C$6,settings!$C$5)</f>
        <v>../Kazakhstan_DB.xlsx</v>
      </c>
      <c r="E93" s="16" t="s">
        <v>33</v>
      </c>
      <c r="F93" s="8" t="s">
        <v>38</v>
      </c>
      <c r="G93" s="8" t="s">
        <v>15</v>
      </c>
      <c r="H93" s="8" t="s">
        <v>21</v>
      </c>
      <c r="I93" s="8" t="s">
        <v>31</v>
      </c>
      <c r="J93" s="8" t="s">
        <v>22</v>
      </c>
      <c r="K93" s="8" t="s">
        <v>21</v>
      </c>
      <c r="L93" s="8" t="s">
        <v>33</v>
      </c>
      <c r="M93" s="9">
        <v>36161</v>
      </c>
      <c r="N93" s="9">
        <v>45627</v>
      </c>
      <c r="O93" s="9">
        <v>36526</v>
      </c>
      <c r="P93" s="8" t="s">
        <v>33</v>
      </c>
    </row>
    <row r="94" spans="1:16" s="11" customFormat="1" ht="15" customHeight="1">
      <c r="A94" s="8" t="str">
        <f>settings!$C$2</f>
        <v>Kazakhstan</v>
      </c>
      <c r="B94" s="8" t="s">
        <v>267</v>
      </c>
      <c r="C94" s="8" t="s">
        <v>101</v>
      </c>
      <c r="D94" s="8" t="str">
        <f>CONCATENATE(settings!$C$6,settings!$C$5)</f>
        <v>../Kazakhstan_DB.xlsx</v>
      </c>
      <c r="E94" s="16" t="s">
        <v>33</v>
      </c>
      <c r="F94" s="10" t="s">
        <v>246</v>
      </c>
      <c r="G94" s="8" t="s">
        <v>15</v>
      </c>
      <c r="H94" s="8" t="s">
        <v>21</v>
      </c>
      <c r="I94" s="8" t="s">
        <v>31</v>
      </c>
      <c r="J94" s="8" t="s">
        <v>22</v>
      </c>
      <c r="K94" s="8" t="s">
        <v>21</v>
      </c>
      <c r="L94" s="8" t="s">
        <v>33</v>
      </c>
      <c r="M94" s="9">
        <v>36161</v>
      </c>
      <c r="N94" s="9">
        <v>45627</v>
      </c>
      <c r="O94" s="9">
        <v>36526</v>
      </c>
      <c r="P94" s="8" t="s">
        <v>33</v>
      </c>
    </row>
    <row r="95" spans="1:16" s="11" customFormat="1" ht="15" customHeight="1">
      <c r="A95" s="8" t="str">
        <f>settings!$C$2</f>
        <v>Kazakhstan</v>
      </c>
      <c r="B95" s="8" t="s">
        <v>267</v>
      </c>
      <c r="C95" s="8" t="s">
        <v>101</v>
      </c>
      <c r="D95" s="8" t="str">
        <f>CONCATENATE(settings!$C$6,settings!$C$5)</f>
        <v>../Kazakhstan_DB.xlsx</v>
      </c>
      <c r="E95" s="16" t="s">
        <v>33</v>
      </c>
      <c r="F95" s="10" t="s">
        <v>39</v>
      </c>
      <c r="G95" s="8" t="s">
        <v>15</v>
      </c>
      <c r="H95" s="8" t="s">
        <v>21</v>
      </c>
      <c r="I95" s="8" t="s">
        <v>31</v>
      </c>
      <c r="J95" s="8" t="s">
        <v>22</v>
      </c>
      <c r="K95" s="8" t="s">
        <v>21</v>
      </c>
      <c r="L95" s="8" t="s">
        <v>33</v>
      </c>
      <c r="M95" s="9">
        <v>36161</v>
      </c>
      <c r="N95" s="9">
        <v>45627</v>
      </c>
      <c r="O95" s="9">
        <v>36526</v>
      </c>
      <c r="P95" s="8" t="s">
        <v>33</v>
      </c>
    </row>
    <row r="96" spans="1:16" s="11" customFormat="1" ht="15" customHeight="1">
      <c r="A96" s="8" t="str">
        <f>settings!$C$2</f>
        <v>Kazakhstan</v>
      </c>
      <c r="B96" s="8" t="s">
        <v>267</v>
      </c>
      <c r="C96" s="8" t="s">
        <v>101</v>
      </c>
      <c r="D96" s="8" t="str">
        <f>CONCATENATE(settings!$C$6,settings!$C$5)</f>
        <v>../Kazakhstan_DB.xlsx</v>
      </c>
      <c r="E96" s="16" t="s">
        <v>33</v>
      </c>
      <c r="F96" s="10" t="s">
        <v>247</v>
      </c>
      <c r="G96" s="8" t="s">
        <v>15</v>
      </c>
      <c r="H96" s="8" t="s">
        <v>21</v>
      </c>
      <c r="I96" s="8" t="s">
        <v>31</v>
      </c>
      <c r="J96" s="8" t="s">
        <v>22</v>
      </c>
      <c r="K96" s="8" t="s">
        <v>21</v>
      </c>
      <c r="L96" s="8" t="s">
        <v>33</v>
      </c>
      <c r="M96" s="9">
        <v>36161</v>
      </c>
      <c r="N96" s="9">
        <v>45627</v>
      </c>
      <c r="O96" s="9">
        <v>36526</v>
      </c>
      <c r="P96" s="8" t="s">
        <v>33</v>
      </c>
    </row>
    <row r="97" spans="1:16" s="11" customFormat="1" ht="15" customHeight="1">
      <c r="A97" s="8" t="str">
        <f>settings!$C$2</f>
        <v>Kazakhstan</v>
      </c>
      <c r="B97" s="8" t="s">
        <v>267</v>
      </c>
      <c r="C97" s="8" t="s">
        <v>101</v>
      </c>
      <c r="D97" s="8" t="str">
        <f>CONCATENATE(settings!$C$6,settings!$C$5)</f>
        <v>../Kazakhstan_DB.xlsx</v>
      </c>
      <c r="E97" s="16" t="s">
        <v>33</v>
      </c>
      <c r="F97" s="10" t="s">
        <v>248</v>
      </c>
      <c r="G97" s="8" t="s">
        <v>15</v>
      </c>
      <c r="H97" s="8" t="s">
        <v>21</v>
      </c>
      <c r="I97" s="8" t="s">
        <v>31</v>
      </c>
      <c r="J97" s="8" t="s">
        <v>22</v>
      </c>
      <c r="K97" s="8" t="s">
        <v>21</v>
      </c>
      <c r="L97" s="8" t="s">
        <v>33</v>
      </c>
      <c r="M97" s="9">
        <v>36161</v>
      </c>
      <c r="N97" s="9">
        <v>45627</v>
      </c>
      <c r="O97" s="9">
        <v>36526</v>
      </c>
      <c r="P97" s="8" t="s">
        <v>33</v>
      </c>
    </row>
    <row r="98" spans="1:16" s="11" customFormat="1" ht="15" customHeight="1">
      <c r="A98" s="8" t="str">
        <f>settings!$C$2</f>
        <v>Kazakhstan</v>
      </c>
      <c r="B98" s="8" t="s">
        <v>267</v>
      </c>
      <c r="C98" s="8" t="s">
        <v>101</v>
      </c>
      <c r="D98" s="8" t="str">
        <f>CONCATENATE(settings!$C$6,settings!$C$5)</f>
        <v>../Kazakhstan_DB.xlsx</v>
      </c>
      <c r="E98" s="16" t="s">
        <v>33</v>
      </c>
      <c r="F98" s="8" t="s">
        <v>40</v>
      </c>
      <c r="G98" s="8" t="s">
        <v>15</v>
      </c>
      <c r="H98" s="8" t="s">
        <v>21</v>
      </c>
      <c r="I98" s="8" t="s">
        <v>31</v>
      </c>
      <c r="J98" s="8" t="s">
        <v>22</v>
      </c>
      <c r="K98" s="8" t="s">
        <v>21</v>
      </c>
      <c r="L98" s="8" t="s">
        <v>33</v>
      </c>
      <c r="M98" s="9">
        <v>36161</v>
      </c>
      <c r="N98" s="9">
        <v>45627</v>
      </c>
      <c r="O98" s="9">
        <v>36526</v>
      </c>
      <c r="P98" s="8" t="s">
        <v>33</v>
      </c>
    </row>
    <row r="99" spans="1:16" s="11" customFormat="1" ht="15" customHeight="1">
      <c r="A99" s="8" t="str">
        <f>settings!$C$2</f>
        <v>Kazakhstan</v>
      </c>
      <c r="B99" s="8" t="s">
        <v>267</v>
      </c>
      <c r="C99" s="8" t="s">
        <v>101</v>
      </c>
      <c r="D99" s="8" t="str">
        <f>CONCATENATE(settings!$C$6,settings!$C$5)</f>
        <v>../Kazakhstan_DB.xlsx</v>
      </c>
      <c r="E99" s="16" t="s">
        <v>33</v>
      </c>
      <c r="F99" s="8" t="s">
        <v>175</v>
      </c>
      <c r="G99" s="8" t="s">
        <v>15</v>
      </c>
      <c r="H99" s="8" t="s">
        <v>21</v>
      </c>
      <c r="I99" s="8" t="s">
        <v>31</v>
      </c>
      <c r="J99" s="8" t="s">
        <v>22</v>
      </c>
      <c r="K99" s="8" t="s">
        <v>21</v>
      </c>
      <c r="L99" s="8" t="s">
        <v>33</v>
      </c>
      <c r="M99" s="9">
        <v>36161</v>
      </c>
      <c r="N99" s="9">
        <v>45627</v>
      </c>
      <c r="O99" s="9">
        <v>36526</v>
      </c>
      <c r="P99" s="8" t="s">
        <v>33</v>
      </c>
    </row>
    <row r="100" spans="1:16" s="11" customFormat="1" ht="15" customHeight="1">
      <c r="A100" s="8" t="str">
        <f>settings!$C$2</f>
        <v>Kazakhstan</v>
      </c>
      <c r="B100" s="8" t="s">
        <v>267</v>
      </c>
      <c r="C100" s="8" t="s">
        <v>101</v>
      </c>
      <c r="D100" s="8" t="str">
        <f>CONCATENATE(settings!$C$6,settings!$C$5)</f>
        <v>../Kazakhstan_DB.xlsx</v>
      </c>
      <c r="E100" s="16" t="s">
        <v>33</v>
      </c>
      <c r="F100" s="8" t="s">
        <v>238</v>
      </c>
      <c r="G100" s="8" t="s">
        <v>15</v>
      </c>
      <c r="H100" s="8" t="s">
        <v>21</v>
      </c>
      <c r="I100" s="8" t="s">
        <v>31</v>
      </c>
      <c r="J100" s="8" t="s">
        <v>22</v>
      </c>
      <c r="K100" s="8" t="s">
        <v>21</v>
      </c>
      <c r="L100" s="8" t="s">
        <v>33</v>
      </c>
      <c r="M100" s="9">
        <v>36161</v>
      </c>
      <c r="N100" s="9">
        <v>45627</v>
      </c>
      <c r="O100" s="9">
        <v>36526</v>
      </c>
      <c r="P100" s="8" t="s">
        <v>33</v>
      </c>
    </row>
    <row r="101" spans="1:16" s="11" customFormat="1" ht="15" customHeight="1">
      <c r="A101" s="8" t="str">
        <f>settings!$C$2</f>
        <v>Kazakhstan</v>
      </c>
      <c r="B101" s="8" t="s">
        <v>267</v>
      </c>
      <c r="C101" s="8" t="s">
        <v>101</v>
      </c>
      <c r="D101" s="8" t="str">
        <f>CONCATENATE(settings!$C$6,settings!$C$5)</f>
        <v>../Kazakhstan_DB.xlsx</v>
      </c>
      <c r="E101" s="16" t="s">
        <v>33</v>
      </c>
      <c r="F101" s="8" t="s">
        <v>155</v>
      </c>
      <c r="G101" s="8" t="s">
        <v>15</v>
      </c>
      <c r="H101" s="8" t="s">
        <v>21</v>
      </c>
      <c r="I101" s="8" t="s">
        <v>31</v>
      </c>
      <c r="J101" s="8" t="s">
        <v>22</v>
      </c>
      <c r="K101" s="8" t="s">
        <v>21</v>
      </c>
      <c r="L101" s="8" t="s">
        <v>33</v>
      </c>
      <c r="M101" s="9">
        <v>36161</v>
      </c>
      <c r="N101" s="9">
        <v>45627</v>
      </c>
      <c r="O101" s="9">
        <v>36526</v>
      </c>
      <c r="P101" s="8" t="s">
        <v>33</v>
      </c>
    </row>
    <row r="102" spans="1:16" s="11" customFormat="1" ht="15" customHeight="1">
      <c r="A102" s="8" t="str">
        <f>settings!$C$2</f>
        <v>Kazakhstan</v>
      </c>
      <c r="B102" s="8" t="s">
        <v>267</v>
      </c>
      <c r="C102" s="8" t="s">
        <v>101</v>
      </c>
      <c r="D102" s="8" t="str">
        <f>CONCATENATE(settings!$C$6,settings!$C$5)</f>
        <v>../Kazakhstan_DB.xlsx</v>
      </c>
      <c r="E102" s="16" t="s">
        <v>33</v>
      </c>
      <c r="F102" s="8" t="s">
        <v>41</v>
      </c>
      <c r="G102" s="8" t="s">
        <v>15</v>
      </c>
      <c r="H102" s="8" t="s">
        <v>21</v>
      </c>
      <c r="I102" s="8" t="s">
        <v>31</v>
      </c>
      <c r="J102" s="8" t="s">
        <v>22</v>
      </c>
      <c r="K102" s="8" t="s">
        <v>21</v>
      </c>
      <c r="L102" s="8" t="s">
        <v>33</v>
      </c>
      <c r="M102" s="9">
        <v>36161</v>
      </c>
      <c r="N102" s="9">
        <v>45627</v>
      </c>
      <c r="O102" s="9">
        <v>36526</v>
      </c>
      <c r="P102" s="8" t="s">
        <v>33</v>
      </c>
    </row>
    <row r="103" spans="1:16" s="11" customFormat="1" ht="15" customHeight="1">
      <c r="A103" s="8" t="str">
        <f>settings!$C$2</f>
        <v>Kazakhstan</v>
      </c>
      <c r="B103" s="8" t="s">
        <v>267</v>
      </c>
      <c r="C103" s="8" t="s">
        <v>101</v>
      </c>
      <c r="D103" s="8" t="str">
        <f>CONCATENATE(settings!$C$6,settings!$C$5)</f>
        <v>../Kazakhstan_DB.xlsx</v>
      </c>
      <c r="E103" s="16" t="s">
        <v>33</v>
      </c>
      <c r="F103" s="8" t="s">
        <v>42</v>
      </c>
      <c r="G103" s="8" t="s">
        <v>15</v>
      </c>
      <c r="H103" s="8" t="s">
        <v>21</v>
      </c>
      <c r="I103" s="8" t="s">
        <v>31</v>
      </c>
      <c r="J103" s="8" t="s">
        <v>22</v>
      </c>
      <c r="K103" s="8" t="s">
        <v>21</v>
      </c>
      <c r="L103" s="8" t="s">
        <v>33</v>
      </c>
      <c r="M103" s="9">
        <v>36161</v>
      </c>
      <c r="N103" s="9">
        <v>45627</v>
      </c>
      <c r="O103" s="9">
        <v>36526</v>
      </c>
      <c r="P103" s="8" t="s">
        <v>33</v>
      </c>
    </row>
    <row r="104" spans="1:16" s="11" customFormat="1" ht="15" customHeight="1">
      <c r="A104" s="8" t="str">
        <f>settings!$C$2</f>
        <v>Kazakhstan</v>
      </c>
      <c r="B104" s="8" t="s">
        <v>267</v>
      </c>
      <c r="C104" s="8" t="s">
        <v>101</v>
      </c>
      <c r="D104" s="8" t="str">
        <f>CONCATENATE(settings!$C$6,settings!$C$5)</f>
        <v>../Kazakhstan_DB.xlsx</v>
      </c>
      <c r="E104" s="16" t="s">
        <v>33</v>
      </c>
      <c r="F104" s="8" t="s">
        <v>114</v>
      </c>
      <c r="G104" s="8" t="s">
        <v>15</v>
      </c>
      <c r="H104" s="8" t="s">
        <v>21</v>
      </c>
      <c r="I104" s="8" t="s">
        <v>31</v>
      </c>
      <c r="J104" s="8" t="s">
        <v>22</v>
      </c>
      <c r="K104" s="8" t="s">
        <v>21</v>
      </c>
      <c r="L104" s="8" t="s">
        <v>33</v>
      </c>
      <c r="M104" s="9">
        <v>36161</v>
      </c>
      <c r="N104" s="9">
        <v>45627</v>
      </c>
      <c r="O104" s="9">
        <v>36526</v>
      </c>
      <c r="P104" s="8" t="s">
        <v>33</v>
      </c>
    </row>
    <row r="105" spans="1:16" s="11" customFormat="1" ht="15" customHeight="1">
      <c r="A105" s="8" t="str">
        <f>settings!$C$2</f>
        <v>Kazakhstan</v>
      </c>
      <c r="B105" s="8" t="s">
        <v>267</v>
      </c>
      <c r="C105" s="8" t="s">
        <v>101</v>
      </c>
      <c r="D105" s="8" t="str">
        <f>CONCATENATE(settings!$C$6,settings!$C$5)</f>
        <v>../Kazakhstan_DB.xlsx</v>
      </c>
      <c r="E105" s="16" t="s">
        <v>33</v>
      </c>
      <c r="F105" s="8" t="s">
        <v>243</v>
      </c>
      <c r="G105" s="8" t="s">
        <v>15</v>
      </c>
      <c r="H105" s="8" t="s">
        <v>21</v>
      </c>
      <c r="I105" s="8" t="s">
        <v>31</v>
      </c>
      <c r="J105" s="8" t="s">
        <v>22</v>
      </c>
      <c r="K105" s="8" t="s">
        <v>21</v>
      </c>
      <c r="L105" s="8" t="s">
        <v>33</v>
      </c>
      <c r="M105" s="9">
        <v>36161</v>
      </c>
      <c r="N105" s="9">
        <v>45627</v>
      </c>
      <c r="O105" s="9">
        <v>36526</v>
      </c>
      <c r="P105" s="8" t="s">
        <v>33</v>
      </c>
    </row>
    <row r="106" spans="1:16" s="11" customFormat="1" ht="15" customHeight="1">
      <c r="A106" s="8" t="str">
        <f>settings!$C$2</f>
        <v>Kazakhstan</v>
      </c>
      <c r="B106" s="8" t="s">
        <v>267</v>
      </c>
      <c r="C106" s="8" t="s">
        <v>101</v>
      </c>
      <c r="D106" s="8" t="str">
        <f>CONCATENATE(settings!$C$6,settings!$C$5)</f>
        <v>../Kazakhstan_DB.xlsx</v>
      </c>
      <c r="E106" s="16" t="s">
        <v>33</v>
      </c>
      <c r="F106" s="8" t="s">
        <v>43</v>
      </c>
      <c r="G106" s="8" t="s">
        <v>15</v>
      </c>
      <c r="H106" s="8" t="s">
        <v>21</v>
      </c>
      <c r="I106" s="8" t="s">
        <v>31</v>
      </c>
      <c r="J106" s="8" t="s">
        <v>22</v>
      </c>
      <c r="K106" s="8" t="s">
        <v>21</v>
      </c>
      <c r="L106" s="8" t="s">
        <v>33</v>
      </c>
      <c r="M106" s="9">
        <v>36161</v>
      </c>
      <c r="N106" s="9">
        <v>45627</v>
      </c>
      <c r="O106" s="9">
        <v>36526</v>
      </c>
      <c r="P106" s="8" t="s">
        <v>33</v>
      </c>
    </row>
    <row r="107" spans="1:16" s="11" customFormat="1" ht="15" customHeight="1">
      <c r="A107" s="8" t="str">
        <f>settings!$C$2</f>
        <v>Kazakhstan</v>
      </c>
      <c r="B107" s="8" t="s">
        <v>267</v>
      </c>
      <c r="C107" s="8" t="s">
        <v>101</v>
      </c>
      <c r="D107" s="8" t="str">
        <f>CONCATENATE(settings!$C$6,settings!$C$5)</f>
        <v>../Kazakhstan_DB.xlsx</v>
      </c>
      <c r="E107" s="16" t="s">
        <v>33</v>
      </c>
      <c r="F107" s="8" t="s">
        <v>44</v>
      </c>
      <c r="G107" s="8" t="s">
        <v>15</v>
      </c>
      <c r="H107" s="8" t="s">
        <v>21</v>
      </c>
      <c r="I107" s="8" t="s">
        <v>31</v>
      </c>
      <c r="J107" s="8" t="s">
        <v>22</v>
      </c>
      <c r="K107" s="8" t="s">
        <v>21</v>
      </c>
      <c r="L107" s="8" t="s">
        <v>33</v>
      </c>
      <c r="M107" s="9">
        <v>36161</v>
      </c>
      <c r="N107" s="9">
        <v>45627</v>
      </c>
      <c r="O107" s="9">
        <v>36526</v>
      </c>
      <c r="P107" s="8" t="s">
        <v>33</v>
      </c>
    </row>
    <row r="108" spans="1:16" s="11" customFormat="1" ht="15" customHeight="1">
      <c r="A108" s="8" t="str">
        <f>settings!$C$2</f>
        <v>Kazakhstan</v>
      </c>
      <c r="B108" s="8" t="s">
        <v>267</v>
      </c>
      <c r="C108" s="8" t="s">
        <v>101</v>
      </c>
      <c r="D108" s="8" t="str">
        <f>CONCATENATE(settings!$C$6,settings!$C$5)</f>
        <v>../Kazakhstan_DB.xlsx</v>
      </c>
      <c r="E108" s="16" t="s">
        <v>33</v>
      </c>
      <c r="F108" s="8" t="s">
        <v>113</v>
      </c>
      <c r="G108" s="8" t="s">
        <v>15</v>
      </c>
      <c r="H108" s="8" t="s">
        <v>21</v>
      </c>
      <c r="I108" s="8" t="s">
        <v>31</v>
      </c>
      <c r="J108" s="8" t="s">
        <v>22</v>
      </c>
      <c r="K108" s="8" t="s">
        <v>21</v>
      </c>
      <c r="L108" s="8" t="s">
        <v>33</v>
      </c>
      <c r="M108" s="9">
        <v>36161</v>
      </c>
      <c r="N108" s="9">
        <v>45627</v>
      </c>
      <c r="O108" s="9">
        <v>36526</v>
      </c>
      <c r="P108" s="8" t="s">
        <v>33</v>
      </c>
    </row>
    <row r="109" spans="1:16" s="11" customFormat="1" ht="15" customHeight="1">
      <c r="A109" s="8" t="str">
        <f>settings!$C$2</f>
        <v>Kazakhstan</v>
      </c>
      <c r="B109" s="8" t="s">
        <v>267</v>
      </c>
      <c r="C109" s="8" t="s">
        <v>101</v>
      </c>
      <c r="D109" s="8" t="str">
        <f>CONCATENATE(settings!$C$6,settings!$C$5)</f>
        <v>../Kazakhstan_DB.xlsx</v>
      </c>
      <c r="E109" s="16" t="s">
        <v>33</v>
      </c>
      <c r="F109" s="8" t="s">
        <v>226</v>
      </c>
      <c r="G109" s="8" t="s">
        <v>15</v>
      </c>
      <c r="H109" s="8" t="s">
        <v>21</v>
      </c>
      <c r="I109" s="8" t="s">
        <v>31</v>
      </c>
      <c r="J109" s="8" t="s">
        <v>22</v>
      </c>
      <c r="K109" s="8" t="s">
        <v>21</v>
      </c>
      <c r="L109" s="8" t="s">
        <v>33</v>
      </c>
      <c r="M109" s="9">
        <v>36161</v>
      </c>
      <c r="N109" s="9">
        <v>45627</v>
      </c>
      <c r="O109" s="9">
        <v>36526</v>
      </c>
      <c r="P109" s="8" t="s">
        <v>33</v>
      </c>
    </row>
    <row r="110" spans="1:16" s="11" customFormat="1" ht="15" customHeight="1">
      <c r="A110" s="8" t="str">
        <f>settings!$C$2</f>
        <v>Kazakhstan</v>
      </c>
      <c r="B110" s="8" t="s">
        <v>267</v>
      </c>
      <c r="C110" s="8" t="s">
        <v>101</v>
      </c>
      <c r="D110" s="8" t="str">
        <f>CONCATENATE(settings!$C$6,settings!$C$5)</f>
        <v>../Kazakhstan_DB.xlsx</v>
      </c>
      <c r="E110" s="16" t="s">
        <v>33</v>
      </c>
      <c r="F110" s="8" t="s">
        <v>227</v>
      </c>
      <c r="G110" s="8" t="s">
        <v>15</v>
      </c>
      <c r="H110" s="8" t="s">
        <v>21</v>
      </c>
      <c r="I110" s="8" t="s">
        <v>31</v>
      </c>
      <c r="J110" s="8" t="s">
        <v>22</v>
      </c>
      <c r="K110" s="8" t="s">
        <v>21</v>
      </c>
      <c r="L110" s="8" t="s">
        <v>33</v>
      </c>
      <c r="M110" s="9">
        <v>36161</v>
      </c>
      <c r="N110" s="9">
        <v>45627</v>
      </c>
      <c r="O110" s="9">
        <v>36526</v>
      </c>
      <c r="P110" s="8" t="s">
        <v>33</v>
      </c>
    </row>
    <row r="111" spans="1:16" s="22" customFormat="1" ht="15" customHeight="1">
      <c r="A111" s="18" t="str">
        <f>settings!$C$2</f>
        <v>Kazakhstan</v>
      </c>
      <c r="B111" s="18" t="s">
        <v>267</v>
      </c>
      <c r="C111" s="18" t="s">
        <v>101</v>
      </c>
      <c r="D111" s="18" t="str">
        <f>CONCATENATE(settings!$C$6,settings!$C$5)</f>
        <v>../Kazakhstan_DB.xlsx</v>
      </c>
      <c r="E111" s="19" t="s">
        <v>33</v>
      </c>
      <c r="F111" s="18" t="s">
        <v>244</v>
      </c>
      <c r="G111" s="18" t="s">
        <v>15</v>
      </c>
      <c r="H111" s="18" t="s">
        <v>21</v>
      </c>
      <c r="I111" s="18" t="s">
        <v>31</v>
      </c>
      <c r="J111" s="18" t="s">
        <v>22</v>
      </c>
      <c r="K111" s="18" t="s">
        <v>21</v>
      </c>
      <c r="L111" s="18" t="s">
        <v>33</v>
      </c>
      <c r="M111" s="20">
        <v>36161</v>
      </c>
      <c r="N111" s="9">
        <v>45627</v>
      </c>
      <c r="O111" s="20">
        <v>36526</v>
      </c>
      <c r="P111" s="18" t="s">
        <v>33</v>
      </c>
    </row>
    <row r="112" spans="1:16" s="11" customFormat="1" ht="14.5" customHeight="1">
      <c r="A112" s="8" t="str">
        <f>settings!$C$2</f>
        <v>Kazakhstan</v>
      </c>
      <c r="B112" s="8" t="s">
        <v>267</v>
      </c>
      <c r="C112" s="8" t="s">
        <v>101</v>
      </c>
      <c r="D112" s="8" t="str">
        <f>CONCATENATE(settings!$C$6,settings!$C$5)</f>
        <v>../Kazakhstan_DB.xlsx</v>
      </c>
      <c r="E112" s="16" t="s">
        <v>33</v>
      </c>
      <c r="F112" s="10" t="s">
        <v>7</v>
      </c>
      <c r="G112" s="8" t="s">
        <v>15</v>
      </c>
      <c r="H112" s="8" t="s">
        <v>21</v>
      </c>
      <c r="I112" s="8" t="s">
        <v>31</v>
      </c>
      <c r="J112" s="8" t="s">
        <v>22</v>
      </c>
      <c r="K112" s="8" t="s">
        <v>16</v>
      </c>
      <c r="L112" s="8" t="s">
        <v>33</v>
      </c>
      <c r="M112" s="9">
        <v>36161</v>
      </c>
      <c r="N112" s="9">
        <v>45627</v>
      </c>
      <c r="O112" s="9">
        <v>36526</v>
      </c>
      <c r="P112" s="8" t="s">
        <v>156</v>
      </c>
    </row>
    <row r="113" spans="1:16" s="11" customFormat="1" ht="14.5" customHeight="1">
      <c r="A113" s="8" t="str">
        <f>settings!$C$2</f>
        <v>Kazakhstan</v>
      </c>
      <c r="B113" s="8" t="s">
        <v>267</v>
      </c>
      <c r="C113" s="8" t="s">
        <v>101</v>
      </c>
      <c r="D113" s="8" t="str">
        <f>CONCATENATE(settings!$C$6,settings!$C$5)</f>
        <v>../Kazakhstan_DB.xlsx</v>
      </c>
      <c r="E113" s="16" t="s">
        <v>33</v>
      </c>
      <c r="F113" s="10" t="s">
        <v>36</v>
      </c>
      <c r="G113" s="8" t="s">
        <v>15</v>
      </c>
      <c r="H113" s="8" t="s">
        <v>21</v>
      </c>
      <c r="I113" s="8" t="s">
        <v>31</v>
      </c>
      <c r="J113" s="8" t="s">
        <v>22</v>
      </c>
      <c r="K113" s="8" t="s">
        <v>16</v>
      </c>
      <c r="L113" s="8" t="s">
        <v>33</v>
      </c>
      <c r="M113" s="9">
        <v>36161</v>
      </c>
      <c r="N113" s="9">
        <v>45627</v>
      </c>
      <c r="O113" s="9">
        <v>36526</v>
      </c>
      <c r="P113" s="8" t="s">
        <v>156</v>
      </c>
    </row>
    <row r="114" spans="1:16" s="11" customFormat="1" ht="14.5" customHeight="1">
      <c r="A114" s="8" t="str">
        <f>settings!$C$2</f>
        <v>Kazakhstan</v>
      </c>
      <c r="B114" s="8" t="s">
        <v>267</v>
      </c>
      <c r="C114" s="8" t="s">
        <v>101</v>
      </c>
      <c r="D114" s="8" t="str">
        <f>CONCATENATE(settings!$C$6,settings!$C$5)</f>
        <v>../Kazakhstan_DB.xlsx</v>
      </c>
      <c r="E114" s="16" t="s">
        <v>33</v>
      </c>
      <c r="F114" s="10" t="s">
        <v>2</v>
      </c>
      <c r="G114" s="8" t="s">
        <v>15</v>
      </c>
      <c r="H114" s="8" t="s">
        <v>21</v>
      </c>
      <c r="I114" s="8" t="s">
        <v>31</v>
      </c>
      <c r="J114" s="8" t="s">
        <v>22</v>
      </c>
      <c r="K114" s="8" t="s">
        <v>16</v>
      </c>
      <c r="L114" s="8" t="s">
        <v>33</v>
      </c>
      <c r="M114" s="9">
        <v>36161</v>
      </c>
      <c r="N114" s="9">
        <v>45627</v>
      </c>
      <c r="O114" s="9">
        <v>36526</v>
      </c>
      <c r="P114" s="8" t="s">
        <v>156</v>
      </c>
    </row>
    <row r="115" spans="1:16" s="11" customFormat="1" ht="14.5" customHeight="1">
      <c r="A115" s="8" t="str">
        <f>settings!$C$2</f>
        <v>Kazakhstan</v>
      </c>
      <c r="B115" s="8" t="s">
        <v>267</v>
      </c>
      <c r="C115" s="8" t="s">
        <v>101</v>
      </c>
      <c r="D115" s="8" t="str">
        <f>CONCATENATE(settings!$C$6,settings!$C$5)</f>
        <v>../Kazakhstan_DB.xlsx</v>
      </c>
      <c r="E115" s="16" t="s">
        <v>33</v>
      </c>
      <c r="F115" s="10" t="s">
        <v>10</v>
      </c>
      <c r="G115" s="8" t="s">
        <v>15</v>
      </c>
      <c r="H115" s="8" t="s">
        <v>21</v>
      </c>
      <c r="I115" s="8" t="s">
        <v>31</v>
      </c>
      <c r="J115" s="8" t="s">
        <v>22</v>
      </c>
      <c r="K115" s="8" t="s">
        <v>16</v>
      </c>
      <c r="L115" s="8" t="s">
        <v>33</v>
      </c>
      <c r="M115" s="9">
        <v>36161</v>
      </c>
      <c r="N115" s="9">
        <v>45627</v>
      </c>
      <c r="O115" s="9">
        <v>36526</v>
      </c>
      <c r="P115" s="8" t="s">
        <v>156</v>
      </c>
    </row>
    <row r="116" spans="1:16" s="11" customFormat="1" ht="14.5" customHeight="1">
      <c r="A116" s="8" t="str">
        <f>settings!$C$2</f>
        <v>Kazakhstan</v>
      </c>
      <c r="B116" s="8" t="s">
        <v>267</v>
      </c>
      <c r="C116" s="8" t="s">
        <v>101</v>
      </c>
      <c r="D116" s="8" t="str">
        <f>CONCATENATE(settings!$C$6,settings!$C$5)</f>
        <v>../Kazakhstan_DB.xlsx</v>
      </c>
      <c r="E116" s="16" t="s">
        <v>33</v>
      </c>
      <c r="F116" s="10" t="s">
        <v>8</v>
      </c>
      <c r="G116" s="8" t="s">
        <v>15</v>
      </c>
      <c r="H116" s="8" t="s">
        <v>21</v>
      </c>
      <c r="I116" s="8" t="s">
        <v>31</v>
      </c>
      <c r="J116" s="8" t="s">
        <v>22</v>
      </c>
      <c r="K116" s="8" t="s">
        <v>16</v>
      </c>
      <c r="L116" s="8" t="s">
        <v>33</v>
      </c>
      <c r="M116" s="9">
        <v>36161</v>
      </c>
      <c r="N116" s="9">
        <v>45627</v>
      </c>
      <c r="O116" s="9">
        <v>36526</v>
      </c>
      <c r="P116" s="8" t="s">
        <v>156</v>
      </c>
    </row>
    <row r="117" spans="1:16" s="11" customFormat="1" ht="14.5" customHeight="1">
      <c r="A117" s="8" t="str">
        <f>settings!$C$2</f>
        <v>Kazakhstan</v>
      </c>
      <c r="B117" s="8" t="s">
        <v>267</v>
      </c>
      <c r="C117" s="8" t="s">
        <v>101</v>
      </c>
      <c r="D117" s="8" t="str">
        <f>CONCATENATE(settings!$C$6,settings!$C$5)</f>
        <v>../Kazakhstan_DB.xlsx</v>
      </c>
      <c r="E117" s="16" t="s">
        <v>33</v>
      </c>
      <c r="F117" s="10" t="s">
        <v>9</v>
      </c>
      <c r="G117" s="8" t="s">
        <v>15</v>
      </c>
      <c r="H117" s="8" t="s">
        <v>21</v>
      </c>
      <c r="I117" s="8" t="s">
        <v>31</v>
      </c>
      <c r="J117" s="8" t="s">
        <v>22</v>
      </c>
      <c r="K117" s="8" t="s">
        <v>16</v>
      </c>
      <c r="L117" s="8" t="s">
        <v>33</v>
      </c>
      <c r="M117" s="9">
        <v>36161</v>
      </c>
      <c r="N117" s="9">
        <v>45627</v>
      </c>
      <c r="O117" s="9">
        <v>36526</v>
      </c>
      <c r="P117" s="8" t="s">
        <v>156</v>
      </c>
    </row>
    <row r="118" spans="1:16" s="11" customFormat="1" ht="14.5" customHeight="1">
      <c r="A118" s="8" t="str">
        <f>settings!$C$2</f>
        <v>Kazakhstan</v>
      </c>
      <c r="B118" s="8" t="s">
        <v>267</v>
      </c>
      <c r="C118" s="8" t="s">
        <v>101</v>
      </c>
      <c r="D118" s="8" t="str">
        <f>CONCATENATE(settings!$C$6,settings!$C$5)</f>
        <v>../Kazakhstan_DB.xlsx</v>
      </c>
      <c r="E118" s="16" t="s">
        <v>33</v>
      </c>
      <c r="F118" s="10" t="s">
        <v>4</v>
      </c>
      <c r="G118" s="8" t="s">
        <v>15</v>
      </c>
      <c r="H118" s="8" t="s">
        <v>21</v>
      </c>
      <c r="I118" s="8" t="s">
        <v>31</v>
      </c>
      <c r="J118" s="8" t="s">
        <v>22</v>
      </c>
      <c r="K118" s="8" t="s">
        <v>16</v>
      </c>
      <c r="L118" s="8" t="s">
        <v>33</v>
      </c>
      <c r="M118" s="9">
        <v>36161</v>
      </c>
      <c r="N118" s="9">
        <v>45627</v>
      </c>
      <c r="O118" s="9">
        <v>36526</v>
      </c>
      <c r="P118" s="8" t="s">
        <v>156</v>
      </c>
    </row>
    <row r="119" spans="1:16" s="11" customFormat="1" ht="14.5" customHeight="1">
      <c r="A119" s="8" t="str">
        <f>settings!$C$2</f>
        <v>Kazakhstan</v>
      </c>
      <c r="B119" s="8" t="s">
        <v>267</v>
      </c>
      <c r="C119" s="8" t="s">
        <v>101</v>
      </c>
      <c r="D119" s="8" t="str">
        <f>CONCATENATE(settings!$C$6,settings!$C$5)</f>
        <v>../Kazakhstan_DB.xlsx</v>
      </c>
      <c r="E119" s="16" t="s">
        <v>33</v>
      </c>
      <c r="F119" s="10" t="s">
        <v>37</v>
      </c>
      <c r="G119" s="8" t="s">
        <v>15</v>
      </c>
      <c r="H119" s="8" t="s">
        <v>21</v>
      </c>
      <c r="I119" s="8" t="s">
        <v>31</v>
      </c>
      <c r="J119" s="8" t="s">
        <v>22</v>
      </c>
      <c r="K119" s="8" t="s">
        <v>16</v>
      </c>
      <c r="L119" s="8" t="s">
        <v>33</v>
      </c>
      <c r="M119" s="9">
        <v>36161</v>
      </c>
      <c r="N119" s="9">
        <v>45627</v>
      </c>
      <c r="O119" s="9">
        <v>36526</v>
      </c>
      <c r="P119" s="8" t="s">
        <v>156</v>
      </c>
    </row>
    <row r="120" spans="1:16" s="11" customFormat="1" ht="14.5" customHeight="1">
      <c r="A120" s="8" t="str">
        <f>settings!$C$2</f>
        <v>Kazakhstan</v>
      </c>
      <c r="B120" s="8" t="s">
        <v>267</v>
      </c>
      <c r="C120" s="8" t="s">
        <v>101</v>
      </c>
      <c r="D120" s="8" t="str">
        <f>CONCATENATE(settings!$C$6,settings!$C$5)</f>
        <v>../Kazakhstan_DB.xlsx</v>
      </c>
      <c r="E120" s="16" t="s">
        <v>33</v>
      </c>
      <c r="F120" s="10" t="s">
        <v>38</v>
      </c>
      <c r="G120" s="8" t="s">
        <v>15</v>
      </c>
      <c r="H120" s="8" t="s">
        <v>21</v>
      </c>
      <c r="I120" s="8" t="s">
        <v>31</v>
      </c>
      <c r="J120" s="8" t="s">
        <v>22</v>
      </c>
      <c r="K120" s="8" t="s">
        <v>16</v>
      </c>
      <c r="L120" s="8" t="s">
        <v>33</v>
      </c>
      <c r="M120" s="9">
        <v>36161</v>
      </c>
      <c r="N120" s="9">
        <v>45627</v>
      </c>
      <c r="O120" s="9">
        <v>36526</v>
      </c>
      <c r="P120" s="8" t="s">
        <v>156</v>
      </c>
    </row>
    <row r="121" spans="1:16" s="11" customFormat="1" ht="14.5" customHeight="1">
      <c r="A121" s="8" t="str">
        <f>settings!$C$2</f>
        <v>Kazakhstan</v>
      </c>
      <c r="B121" s="8" t="s">
        <v>267</v>
      </c>
      <c r="C121" s="8" t="s">
        <v>101</v>
      </c>
      <c r="D121" s="8" t="str">
        <f>CONCATENATE(settings!$C$6,settings!$C$5)</f>
        <v>../Kazakhstan_DB.xlsx</v>
      </c>
      <c r="E121" s="16" t="s">
        <v>33</v>
      </c>
      <c r="F121" s="10" t="s">
        <v>246</v>
      </c>
      <c r="G121" s="8" t="s">
        <v>15</v>
      </c>
      <c r="H121" s="8" t="s">
        <v>21</v>
      </c>
      <c r="I121" s="8" t="s">
        <v>31</v>
      </c>
      <c r="J121" s="8" t="s">
        <v>22</v>
      </c>
      <c r="K121" s="8" t="s">
        <v>16</v>
      </c>
      <c r="L121" s="8" t="s">
        <v>33</v>
      </c>
      <c r="M121" s="9">
        <v>36161</v>
      </c>
      <c r="N121" s="9">
        <v>45627</v>
      </c>
      <c r="O121" s="9">
        <v>36526</v>
      </c>
      <c r="P121" s="8" t="s">
        <v>156</v>
      </c>
    </row>
    <row r="122" spans="1:16" s="11" customFormat="1" ht="14.5" customHeight="1">
      <c r="A122" s="8" t="str">
        <f>settings!$C$2</f>
        <v>Kazakhstan</v>
      </c>
      <c r="B122" s="8" t="s">
        <v>267</v>
      </c>
      <c r="C122" s="8" t="s">
        <v>101</v>
      </c>
      <c r="D122" s="8" t="str">
        <f>CONCATENATE(settings!$C$6,settings!$C$5)</f>
        <v>../Kazakhstan_DB.xlsx</v>
      </c>
      <c r="E122" s="16" t="s">
        <v>33</v>
      </c>
      <c r="F122" s="10" t="s">
        <v>39</v>
      </c>
      <c r="G122" s="8" t="s">
        <v>15</v>
      </c>
      <c r="H122" s="8" t="s">
        <v>21</v>
      </c>
      <c r="I122" s="8" t="s">
        <v>31</v>
      </c>
      <c r="J122" s="8" t="s">
        <v>22</v>
      </c>
      <c r="K122" s="8" t="s">
        <v>16</v>
      </c>
      <c r="L122" s="8" t="s">
        <v>33</v>
      </c>
      <c r="M122" s="9">
        <v>36161</v>
      </c>
      <c r="N122" s="9">
        <v>45627</v>
      </c>
      <c r="O122" s="9">
        <v>36526</v>
      </c>
      <c r="P122" s="8" t="s">
        <v>156</v>
      </c>
    </row>
    <row r="123" spans="1:16" s="11" customFormat="1" ht="14.5" customHeight="1">
      <c r="A123" s="8" t="str">
        <f>settings!$C$2</f>
        <v>Kazakhstan</v>
      </c>
      <c r="B123" s="8" t="s">
        <v>267</v>
      </c>
      <c r="C123" s="8" t="s">
        <v>101</v>
      </c>
      <c r="D123" s="8" t="str">
        <f>CONCATENATE(settings!$C$6,settings!$C$5)</f>
        <v>../Kazakhstan_DB.xlsx</v>
      </c>
      <c r="E123" s="16" t="s">
        <v>33</v>
      </c>
      <c r="F123" s="10" t="s">
        <v>247</v>
      </c>
      <c r="G123" s="8" t="s">
        <v>15</v>
      </c>
      <c r="H123" s="8" t="s">
        <v>21</v>
      </c>
      <c r="I123" s="8" t="s">
        <v>31</v>
      </c>
      <c r="J123" s="8" t="s">
        <v>22</v>
      </c>
      <c r="K123" s="8" t="s">
        <v>16</v>
      </c>
      <c r="L123" s="8" t="s">
        <v>33</v>
      </c>
      <c r="M123" s="9">
        <v>36161</v>
      </c>
      <c r="N123" s="9">
        <v>45627</v>
      </c>
      <c r="O123" s="9">
        <v>36526</v>
      </c>
      <c r="P123" s="8" t="s">
        <v>156</v>
      </c>
    </row>
    <row r="124" spans="1:16" s="11" customFormat="1" ht="14.5" customHeight="1">
      <c r="A124" s="8" t="str">
        <f>settings!$C$2</f>
        <v>Kazakhstan</v>
      </c>
      <c r="B124" s="8" t="s">
        <v>267</v>
      </c>
      <c r="C124" s="8" t="s">
        <v>101</v>
      </c>
      <c r="D124" s="8" t="str">
        <f>CONCATENATE(settings!$C$6,settings!$C$5)</f>
        <v>../Kazakhstan_DB.xlsx</v>
      </c>
      <c r="E124" s="16" t="s">
        <v>33</v>
      </c>
      <c r="F124" s="10" t="s">
        <v>248</v>
      </c>
      <c r="G124" s="8" t="s">
        <v>15</v>
      </c>
      <c r="H124" s="8" t="s">
        <v>21</v>
      </c>
      <c r="I124" s="8" t="s">
        <v>31</v>
      </c>
      <c r="J124" s="8" t="s">
        <v>22</v>
      </c>
      <c r="K124" s="8" t="s">
        <v>16</v>
      </c>
      <c r="L124" s="8" t="s">
        <v>33</v>
      </c>
      <c r="M124" s="9">
        <v>36161</v>
      </c>
      <c r="N124" s="9">
        <v>45627</v>
      </c>
      <c r="O124" s="9">
        <v>36526</v>
      </c>
      <c r="P124" s="8" t="s">
        <v>156</v>
      </c>
    </row>
    <row r="125" spans="1:16" s="11" customFormat="1" ht="14.5" customHeight="1">
      <c r="A125" s="8" t="str">
        <f>settings!$C$2</f>
        <v>Kazakhstan</v>
      </c>
      <c r="B125" s="8" t="s">
        <v>267</v>
      </c>
      <c r="C125" s="8" t="s">
        <v>101</v>
      </c>
      <c r="D125" s="8" t="str">
        <f>CONCATENATE(settings!$C$6,settings!$C$5)</f>
        <v>../Kazakhstan_DB.xlsx</v>
      </c>
      <c r="E125" s="16" t="s">
        <v>33</v>
      </c>
      <c r="F125" s="10" t="s">
        <v>40</v>
      </c>
      <c r="G125" s="8" t="s">
        <v>15</v>
      </c>
      <c r="H125" s="8" t="s">
        <v>21</v>
      </c>
      <c r="I125" s="8" t="s">
        <v>31</v>
      </c>
      <c r="J125" s="8" t="s">
        <v>22</v>
      </c>
      <c r="K125" s="8" t="s">
        <v>16</v>
      </c>
      <c r="L125" s="8" t="s">
        <v>33</v>
      </c>
      <c r="M125" s="9">
        <v>36161</v>
      </c>
      <c r="N125" s="9">
        <v>45627</v>
      </c>
      <c r="O125" s="9">
        <v>36526</v>
      </c>
      <c r="P125" s="8" t="s">
        <v>156</v>
      </c>
    </row>
    <row r="126" spans="1:16" s="11" customFormat="1" ht="14.5" customHeight="1">
      <c r="A126" s="8" t="str">
        <f>settings!$C$2</f>
        <v>Kazakhstan</v>
      </c>
      <c r="B126" s="8" t="s">
        <v>267</v>
      </c>
      <c r="C126" s="8" t="s">
        <v>101</v>
      </c>
      <c r="D126" s="8" t="str">
        <f>CONCATENATE(settings!$C$6,settings!$C$5)</f>
        <v>../Kazakhstan_DB.xlsx</v>
      </c>
      <c r="E126" s="16" t="s">
        <v>33</v>
      </c>
      <c r="F126" s="10" t="s">
        <v>174</v>
      </c>
      <c r="G126" s="8" t="s">
        <v>15</v>
      </c>
      <c r="H126" s="8" t="s">
        <v>21</v>
      </c>
      <c r="I126" s="8" t="s">
        <v>31</v>
      </c>
      <c r="J126" s="8" t="s">
        <v>22</v>
      </c>
      <c r="K126" s="8" t="s">
        <v>16</v>
      </c>
      <c r="L126" s="8" t="s">
        <v>33</v>
      </c>
      <c r="M126" s="9">
        <v>36161</v>
      </c>
      <c r="N126" s="9">
        <v>45627</v>
      </c>
      <c r="O126" s="9">
        <v>36526</v>
      </c>
      <c r="P126" s="8" t="s">
        <v>156</v>
      </c>
    </row>
    <row r="127" spans="1:16" ht="14.5" customHeight="1">
      <c r="A127" s="8" t="str">
        <f>settings!$C$2</f>
        <v>Kazakhstan</v>
      </c>
      <c r="B127" s="8" t="s">
        <v>267</v>
      </c>
      <c r="C127" s="8" t="s">
        <v>101</v>
      </c>
      <c r="D127" s="8" t="str">
        <f>CONCATENATE(settings!$C$6,settings!$C$5)</f>
        <v>../Kazakhstan_DB.xlsx</v>
      </c>
      <c r="E127" s="16" t="s">
        <v>33</v>
      </c>
      <c r="F127" s="10" t="s">
        <v>175</v>
      </c>
      <c r="G127" s="8" t="s">
        <v>15</v>
      </c>
      <c r="H127" s="8" t="s">
        <v>21</v>
      </c>
      <c r="I127" s="8" t="s">
        <v>31</v>
      </c>
      <c r="J127" s="8" t="s">
        <v>22</v>
      </c>
      <c r="K127" s="8" t="s">
        <v>16</v>
      </c>
      <c r="L127" s="8" t="s">
        <v>33</v>
      </c>
      <c r="M127" s="9">
        <v>36161</v>
      </c>
      <c r="N127" s="9">
        <v>45627</v>
      </c>
      <c r="O127" s="9">
        <v>36526</v>
      </c>
      <c r="P127" s="8" t="s">
        <v>156</v>
      </c>
    </row>
    <row r="128" spans="1:16" ht="14.5" customHeight="1">
      <c r="A128" s="8" t="str">
        <f>settings!$C$2</f>
        <v>Kazakhstan</v>
      </c>
      <c r="B128" s="8" t="s">
        <v>267</v>
      </c>
      <c r="C128" s="8" t="s">
        <v>101</v>
      </c>
      <c r="D128" s="8" t="str">
        <f>CONCATENATE(settings!$C$6,settings!$C$5)</f>
        <v>../Kazakhstan_DB.xlsx</v>
      </c>
      <c r="E128" s="16" t="s">
        <v>33</v>
      </c>
      <c r="F128" s="10" t="s">
        <v>238</v>
      </c>
      <c r="G128" s="8" t="s">
        <v>15</v>
      </c>
      <c r="H128" s="8" t="s">
        <v>21</v>
      </c>
      <c r="I128" s="8" t="s">
        <v>31</v>
      </c>
      <c r="J128" s="8" t="s">
        <v>22</v>
      </c>
      <c r="K128" s="8" t="s">
        <v>16</v>
      </c>
      <c r="L128" s="8" t="s">
        <v>33</v>
      </c>
      <c r="M128" s="9">
        <v>36161</v>
      </c>
      <c r="N128" s="9">
        <v>45627</v>
      </c>
      <c r="O128" s="9">
        <v>36526</v>
      </c>
      <c r="P128" s="8" t="s">
        <v>156</v>
      </c>
    </row>
    <row r="129" spans="1:16" ht="14.5" customHeight="1">
      <c r="A129" s="8" t="str">
        <f>settings!$C$2</f>
        <v>Kazakhstan</v>
      </c>
      <c r="B129" s="8" t="s">
        <v>267</v>
      </c>
      <c r="C129" s="8" t="s">
        <v>101</v>
      </c>
      <c r="D129" s="8" t="str">
        <f>CONCATENATE(settings!$C$6,settings!$C$5)</f>
        <v>../Kazakhstan_DB.xlsx</v>
      </c>
      <c r="E129" s="16" t="s">
        <v>33</v>
      </c>
      <c r="F129" s="10" t="s">
        <v>155</v>
      </c>
      <c r="G129" s="8" t="s">
        <v>15</v>
      </c>
      <c r="H129" s="8" t="s">
        <v>21</v>
      </c>
      <c r="I129" s="8" t="s">
        <v>31</v>
      </c>
      <c r="J129" s="8" t="s">
        <v>22</v>
      </c>
      <c r="K129" s="8" t="s">
        <v>16</v>
      </c>
      <c r="L129" s="8" t="s">
        <v>33</v>
      </c>
      <c r="M129" s="9">
        <v>36161</v>
      </c>
      <c r="N129" s="9">
        <v>45627</v>
      </c>
      <c r="O129" s="9">
        <v>36526</v>
      </c>
      <c r="P129" s="8" t="s">
        <v>156</v>
      </c>
    </row>
    <row r="130" spans="1:16" ht="14.5" customHeight="1">
      <c r="A130" s="8" t="str">
        <f>settings!$C$2</f>
        <v>Kazakhstan</v>
      </c>
      <c r="B130" s="8" t="s">
        <v>267</v>
      </c>
      <c r="C130" s="8" t="s">
        <v>101</v>
      </c>
      <c r="D130" s="8" t="str">
        <f>CONCATENATE(settings!$C$6,settings!$C$5)</f>
        <v>../Kazakhstan_DB.xlsx</v>
      </c>
      <c r="E130" s="16" t="s">
        <v>33</v>
      </c>
      <c r="F130" s="10" t="s">
        <v>41</v>
      </c>
      <c r="G130" s="8" t="s">
        <v>15</v>
      </c>
      <c r="H130" s="8" t="s">
        <v>21</v>
      </c>
      <c r="I130" s="8" t="s">
        <v>31</v>
      </c>
      <c r="J130" s="8" t="s">
        <v>22</v>
      </c>
      <c r="K130" s="8" t="s">
        <v>16</v>
      </c>
      <c r="L130" s="8" t="s">
        <v>33</v>
      </c>
      <c r="M130" s="9">
        <v>36161</v>
      </c>
      <c r="N130" s="9">
        <v>45627</v>
      </c>
      <c r="O130" s="9">
        <v>36526</v>
      </c>
      <c r="P130" s="8" t="s">
        <v>156</v>
      </c>
    </row>
    <row r="131" spans="1:16" ht="14.5" customHeight="1">
      <c r="A131" s="8" t="str">
        <f>settings!$C$2</f>
        <v>Kazakhstan</v>
      </c>
      <c r="B131" s="8" t="s">
        <v>267</v>
      </c>
      <c r="C131" s="8" t="s">
        <v>101</v>
      </c>
      <c r="D131" s="8" t="str">
        <f>CONCATENATE(settings!$C$6,settings!$C$5)</f>
        <v>../Kazakhstan_DB.xlsx</v>
      </c>
      <c r="E131" s="16" t="s">
        <v>33</v>
      </c>
      <c r="F131" s="10" t="s">
        <v>42</v>
      </c>
      <c r="G131" s="8" t="s">
        <v>15</v>
      </c>
      <c r="H131" s="8" t="s">
        <v>21</v>
      </c>
      <c r="I131" s="8" t="s">
        <v>31</v>
      </c>
      <c r="J131" s="8" t="s">
        <v>22</v>
      </c>
      <c r="K131" s="8" t="s">
        <v>16</v>
      </c>
      <c r="L131" s="8" t="s">
        <v>33</v>
      </c>
      <c r="M131" s="9">
        <v>36161</v>
      </c>
      <c r="N131" s="9">
        <v>45627</v>
      </c>
      <c r="O131" s="9">
        <v>36526</v>
      </c>
      <c r="P131" s="8" t="s">
        <v>156</v>
      </c>
    </row>
    <row r="132" spans="1:16" ht="14.5" customHeight="1">
      <c r="A132" s="8" t="str">
        <f>settings!$C$2</f>
        <v>Kazakhstan</v>
      </c>
      <c r="B132" s="8" t="s">
        <v>267</v>
      </c>
      <c r="C132" s="8" t="s">
        <v>101</v>
      </c>
      <c r="D132" s="8" t="str">
        <f>CONCATENATE(settings!$C$6,settings!$C$5)</f>
        <v>../Kazakhstan_DB.xlsx</v>
      </c>
      <c r="E132" s="16" t="s">
        <v>33</v>
      </c>
      <c r="F132" s="10" t="s">
        <v>114</v>
      </c>
      <c r="G132" s="8" t="s">
        <v>15</v>
      </c>
      <c r="H132" s="8" t="s">
        <v>21</v>
      </c>
      <c r="I132" s="8" t="s">
        <v>31</v>
      </c>
      <c r="J132" s="8" t="s">
        <v>22</v>
      </c>
      <c r="K132" s="8" t="s">
        <v>16</v>
      </c>
      <c r="L132" s="8" t="s">
        <v>33</v>
      </c>
      <c r="M132" s="9">
        <v>36161</v>
      </c>
      <c r="N132" s="9">
        <v>45627</v>
      </c>
      <c r="O132" s="9">
        <v>36526</v>
      </c>
      <c r="P132" s="8" t="s">
        <v>156</v>
      </c>
    </row>
    <row r="133" spans="1:16" ht="14.5" customHeight="1">
      <c r="A133" s="8" t="str">
        <f>settings!$C$2</f>
        <v>Kazakhstan</v>
      </c>
      <c r="B133" s="8" t="s">
        <v>267</v>
      </c>
      <c r="C133" s="8" t="s">
        <v>101</v>
      </c>
      <c r="D133" s="8" t="str">
        <f>CONCATENATE(settings!$C$6,settings!$C$5)</f>
        <v>../Kazakhstan_DB.xlsx</v>
      </c>
      <c r="E133" s="16" t="s">
        <v>33</v>
      </c>
      <c r="F133" s="10" t="s">
        <v>243</v>
      </c>
      <c r="G133" s="8" t="s">
        <v>15</v>
      </c>
      <c r="H133" s="8" t="s">
        <v>21</v>
      </c>
      <c r="I133" s="8" t="s">
        <v>31</v>
      </c>
      <c r="J133" s="8" t="s">
        <v>22</v>
      </c>
      <c r="K133" s="8" t="s">
        <v>16</v>
      </c>
      <c r="L133" s="8" t="s">
        <v>33</v>
      </c>
      <c r="M133" s="9">
        <v>36161</v>
      </c>
      <c r="N133" s="9">
        <v>45627</v>
      </c>
      <c r="O133" s="9">
        <v>36526</v>
      </c>
      <c r="P133" s="8" t="s">
        <v>156</v>
      </c>
    </row>
    <row r="134" spans="1:16" s="11" customFormat="1" ht="14.5" customHeight="1">
      <c r="A134" s="8" t="str">
        <f>settings!$C$2</f>
        <v>Kazakhstan</v>
      </c>
      <c r="B134" s="8" t="s">
        <v>267</v>
      </c>
      <c r="C134" s="8" t="s">
        <v>101</v>
      </c>
      <c r="D134" s="8" t="str">
        <f>CONCATENATE(settings!$C$6,settings!$C$5)</f>
        <v>../Kazakhstan_DB.xlsx</v>
      </c>
      <c r="E134" s="16" t="s">
        <v>33</v>
      </c>
      <c r="F134" s="10" t="s">
        <v>43</v>
      </c>
      <c r="G134" s="8" t="s">
        <v>15</v>
      </c>
      <c r="H134" s="8" t="s">
        <v>21</v>
      </c>
      <c r="I134" s="8" t="s">
        <v>31</v>
      </c>
      <c r="J134" s="8" t="s">
        <v>22</v>
      </c>
      <c r="K134" s="8" t="s">
        <v>16</v>
      </c>
      <c r="L134" s="8" t="s">
        <v>33</v>
      </c>
      <c r="M134" s="9">
        <v>36161</v>
      </c>
      <c r="N134" s="9">
        <v>45627</v>
      </c>
      <c r="O134" s="9">
        <v>36526</v>
      </c>
      <c r="P134" s="8" t="s">
        <v>156</v>
      </c>
    </row>
    <row r="135" spans="1:16" s="11" customFormat="1" ht="14.5" customHeight="1">
      <c r="A135" s="8" t="str">
        <f>settings!$C$2</f>
        <v>Kazakhstan</v>
      </c>
      <c r="B135" s="8" t="s">
        <v>267</v>
      </c>
      <c r="C135" s="8" t="s">
        <v>101</v>
      </c>
      <c r="D135" s="8" t="str">
        <f>CONCATENATE(settings!$C$6,settings!$C$5)</f>
        <v>../Kazakhstan_DB.xlsx</v>
      </c>
      <c r="E135" s="16" t="s">
        <v>33</v>
      </c>
      <c r="F135" s="10" t="s">
        <v>44</v>
      </c>
      <c r="G135" s="8" t="s">
        <v>15</v>
      </c>
      <c r="H135" s="8" t="s">
        <v>21</v>
      </c>
      <c r="I135" s="8" t="s">
        <v>31</v>
      </c>
      <c r="J135" s="8" t="s">
        <v>22</v>
      </c>
      <c r="K135" s="8" t="s">
        <v>16</v>
      </c>
      <c r="L135" s="8" t="s">
        <v>33</v>
      </c>
      <c r="M135" s="9">
        <v>36161</v>
      </c>
      <c r="N135" s="9">
        <v>45627</v>
      </c>
      <c r="O135" s="9">
        <v>36526</v>
      </c>
      <c r="P135" s="8" t="s">
        <v>156</v>
      </c>
    </row>
    <row r="136" spans="1:16" s="11" customFormat="1" ht="14.5" customHeight="1">
      <c r="A136" s="8" t="str">
        <f>settings!$C$2</f>
        <v>Kazakhstan</v>
      </c>
      <c r="B136" s="8" t="s">
        <v>267</v>
      </c>
      <c r="C136" s="8" t="s">
        <v>101</v>
      </c>
      <c r="D136" s="8" t="str">
        <f>CONCATENATE(settings!$C$6,settings!$C$5)</f>
        <v>../Kazakhstan_DB.xlsx</v>
      </c>
      <c r="E136" s="16" t="s">
        <v>33</v>
      </c>
      <c r="F136" s="10" t="s">
        <v>113</v>
      </c>
      <c r="G136" s="8" t="s">
        <v>15</v>
      </c>
      <c r="H136" s="8" t="s">
        <v>21</v>
      </c>
      <c r="I136" s="8" t="s">
        <v>31</v>
      </c>
      <c r="J136" s="8" t="s">
        <v>22</v>
      </c>
      <c r="K136" s="8" t="s">
        <v>16</v>
      </c>
      <c r="L136" s="8" t="s">
        <v>33</v>
      </c>
      <c r="M136" s="9">
        <v>36161</v>
      </c>
      <c r="N136" s="9">
        <v>45627</v>
      </c>
      <c r="O136" s="9">
        <v>36526</v>
      </c>
      <c r="P136" s="8" t="s">
        <v>156</v>
      </c>
    </row>
    <row r="137" spans="1:16" s="11" customFormat="1" ht="15" customHeight="1">
      <c r="A137" s="8" t="str">
        <f>settings!$C$2</f>
        <v>Kazakhstan</v>
      </c>
      <c r="B137" s="8" t="s">
        <v>267</v>
      </c>
      <c r="C137" s="8" t="s">
        <v>101</v>
      </c>
      <c r="D137" s="8" t="str">
        <f>CONCATENATE(settings!$C$6,settings!$C$5)</f>
        <v>../Kazakhstan_DB.xlsx</v>
      </c>
      <c r="E137" s="16" t="s">
        <v>33</v>
      </c>
      <c r="F137" s="8" t="s">
        <v>244</v>
      </c>
      <c r="G137" s="8" t="s">
        <v>15</v>
      </c>
      <c r="H137" s="8" t="s">
        <v>21</v>
      </c>
      <c r="I137" s="8" t="s">
        <v>31</v>
      </c>
      <c r="J137" s="8" t="s">
        <v>22</v>
      </c>
      <c r="K137" s="8" t="s">
        <v>16</v>
      </c>
      <c r="L137" s="8" t="s">
        <v>33</v>
      </c>
      <c r="M137" s="9">
        <v>36161</v>
      </c>
      <c r="N137" s="9">
        <v>45627</v>
      </c>
      <c r="O137" s="9">
        <v>36526</v>
      </c>
      <c r="P137" s="8" t="s">
        <v>156</v>
      </c>
    </row>
    <row r="138" spans="1:16" s="11" customFormat="1" ht="14.5" customHeight="1">
      <c r="A138" s="8" t="str">
        <f>settings!$C$2</f>
        <v>Kazakhstan</v>
      </c>
      <c r="B138" s="8" t="s">
        <v>267</v>
      </c>
      <c r="C138" s="8" t="s">
        <v>101</v>
      </c>
      <c r="D138" s="8" t="str">
        <f>CONCATENATE(settings!$C$6,settings!$C$5)</f>
        <v>../Kazakhstan_DB.xlsx</v>
      </c>
      <c r="E138" s="16" t="s">
        <v>33</v>
      </c>
      <c r="F138" s="10" t="s">
        <v>7</v>
      </c>
      <c r="G138" s="8" t="s">
        <v>32</v>
      </c>
      <c r="H138" s="8" t="s">
        <v>21</v>
      </c>
      <c r="I138" s="8" t="s">
        <v>31</v>
      </c>
      <c r="J138" s="8" t="s">
        <v>22</v>
      </c>
      <c r="K138" s="8" t="s">
        <v>16</v>
      </c>
      <c r="L138" s="8" t="s">
        <v>33</v>
      </c>
      <c r="M138" s="9">
        <v>36161</v>
      </c>
      <c r="N138" s="9">
        <v>45627</v>
      </c>
      <c r="O138" s="9">
        <v>36526</v>
      </c>
      <c r="P138" s="8" t="s">
        <v>156</v>
      </c>
    </row>
    <row r="139" spans="1:16" s="11" customFormat="1" ht="14.5" customHeight="1">
      <c r="A139" s="8" t="str">
        <f>settings!$C$2</f>
        <v>Kazakhstan</v>
      </c>
      <c r="B139" s="8" t="s">
        <v>267</v>
      </c>
      <c r="C139" s="8" t="s">
        <v>101</v>
      </c>
      <c r="D139" s="8" t="str">
        <f>CONCATENATE(settings!$C$6,settings!$C$5)</f>
        <v>../Kazakhstan_DB.xlsx</v>
      </c>
      <c r="E139" s="16" t="s">
        <v>33</v>
      </c>
      <c r="F139" s="10" t="s">
        <v>36</v>
      </c>
      <c r="G139" s="8" t="s">
        <v>32</v>
      </c>
      <c r="H139" s="8" t="s">
        <v>21</v>
      </c>
      <c r="I139" s="8" t="s">
        <v>31</v>
      </c>
      <c r="J139" s="8" t="s">
        <v>22</v>
      </c>
      <c r="K139" s="8" t="s">
        <v>16</v>
      </c>
      <c r="L139" s="8" t="s">
        <v>33</v>
      </c>
      <c r="M139" s="9">
        <v>36161</v>
      </c>
      <c r="N139" s="9">
        <v>45627</v>
      </c>
      <c r="O139" s="9">
        <v>36526</v>
      </c>
      <c r="P139" s="8" t="s">
        <v>156</v>
      </c>
    </row>
    <row r="140" spans="1:16" s="11" customFormat="1" ht="14.5" customHeight="1">
      <c r="A140" s="8" t="str">
        <f>settings!$C$2</f>
        <v>Kazakhstan</v>
      </c>
      <c r="B140" s="8" t="s">
        <v>267</v>
      </c>
      <c r="C140" s="8" t="s">
        <v>101</v>
      </c>
      <c r="D140" s="8" t="str">
        <f>CONCATENATE(settings!$C$6,settings!$C$5)</f>
        <v>../Kazakhstan_DB.xlsx</v>
      </c>
      <c r="E140" s="16" t="s">
        <v>33</v>
      </c>
      <c r="F140" s="10" t="s">
        <v>2</v>
      </c>
      <c r="G140" s="8" t="s">
        <v>32</v>
      </c>
      <c r="H140" s="8" t="s">
        <v>21</v>
      </c>
      <c r="I140" s="8" t="s">
        <v>31</v>
      </c>
      <c r="J140" s="8" t="s">
        <v>22</v>
      </c>
      <c r="K140" s="8" t="s">
        <v>16</v>
      </c>
      <c r="L140" s="8" t="s">
        <v>33</v>
      </c>
      <c r="M140" s="9">
        <v>36161</v>
      </c>
      <c r="N140" s="9">
        <v>45627</v>
      </c>
      <c r="O140" s="9">
        <v>36526</v>
      </c>
      <c r="P140" s="8" t="s">
        <v>156</v>
      </c>
    </row>
    <row r="141" spans="1:16" s="11" customFormat="1" ht="14.5" customHeight="1">
      <c r="A141" s="8" t="str">
        <f>settings!$C$2</f>
        <v>Kazakhstan</v>
      </c>
      <c r="B141" s="8" t="s">
        <v>267</v>
      </c>
      <c r="C141" s="8" t="s">
        <v>101</v>
      </c>
      <c r="D141" s="8" t="str">
        <f>CONCATENATE(settings!$C$6,settings!$C$5)</f>
        <v>../Kazakhstan_DB.xlsx</v>
      </c>
      <c r="E141" s="16" t="s">
        <v>33</v>
      </c>
      <c r="F141" s="10" t="s">
        <v>10</v>
      </c>
      <c r="G141" s="8" t="s">
        <v>32</v>
      </c>
      <c r="H141" s="8" t="s">
        <v>21</v>
      </c>
      <c r="I141" s="8" t="s">
        <v>31</v>
      </c>
      <c r="J141" s="8" t="s">
        <v>22</v>
      </c>
      <c r="K141" s="8" t="s">
        <v>16</v>
      </c>
      <c r="L141" s="8" t="s">
        <v>33</v>
      </c>
      <c r="M141" s="9">
        <v>36161</v>
      </c>
      <c r="N141" s="9">
        <v>45627</v>
      </c>
      <c r="O141" s="9">
        <v>36526</v>
      </c>
      <c r="P141" s="8" t="s">
        <v>156</v>
      </c>
    </row>
    <row r="142" spans="1:16" s="11" customFormat="1" ht="14.5" customHeight="1">
      <c r="A142" s="8" t="str">
        <f>settings!$C$2</f>
        <v>Kazakhstan</v>
      </c>
      <c r="B142" s="8" t="s">
        <v>267</v>
      </c>
      <c r="C142" s="8" t="s">
        <v>101</v>
      </c>
      <c r="D142" s="8" t="str">
        <f>CONCATENATE(settings!$C$6,settings!$C$5)</f>
        <v>../Kazakhstan_DB.xlsx</v>
      </c>
      <c r="E142" s="16" t="s">
        <v>33</v>
      </c>
      <c r="F142" s="10" t="s">
        <v>8</v>
      </c>
      <c r="G142" s="8" t="s">
        <v>32</v>
      </c>
      <c r="H142" s="8" t="s">
        <v>21</v>
      </c>
      <c r="I142" s="8" t="s">
        <v>31</v>
      </c>
      <c r="J142" s="8" t="s">
        <v>22</v>
      </c>
      <c r="K142" s="8" t="s">
        <v>16</v>
      </c>
      <c r="L142" s="8" t="s">
        <v>33</v>
      </c>
      <c r="M142" s="9">
        <v>36161</v>
      </c>
      <c r="N142" s="9">
        <v>45627</v>
      </c>
      <c r="O142" s="9">
        <v>36526</v>
      </c>
      <c r="P142" s="8" t="s">
        <v>156</v>
      </c>
    </row>
    <row r="143" spans="1:16" s="11" customFormat="1" ht="14.5" customHeight="1">
      <c r="A143" s="8" t="str">
        <f>settings!$C$2</f>
        <v>Kazakhstan</v>
      </c>
      <c r="B143" s="8" t="s">
        <v>267</v>
      </c>
      <c r="C143" s="8" t="s">
        <v>101</v>
      </c>
      <c r="D143" s="8" t="str">
        <f>CONCATENATE(settings!$C$6,settings!$C$5)</f>
        <v>../Kazakhstan_DB.xlsx</v>
      </c>
      <c r="E143" s="16" t="s">
        <v>33</v>
      </c>
      <c r="F143" s="10" t="s">
        <v>9</v>
      </c>
      <c r="G143" s="8" t="s">
        <v>32</v>
      </c>
      <c r="H143" s="8" t="s">
        <v>21</v>
      </c>
      <c r="I143" s="8" t="s">
        <v>31</v>
      </c>
      <c r="J143" s="8" t="s">
        <v>22</v>
      </c>
      <c r="K143" s="8" t="s">
        <v>16</v>
      </c>
      <c r="L143" s="8" t="s">
        <v>33</v>
      </c>
      <c r="M143" s="9">
        <v>36161</v>
      </c>
      <c r="N143" s="9">
        <v>45627</v>
      </c>
      <c r="O143" s="9">
        <v>36526</v>
      </c>
      <c r="P143" s="8" t="s">
        <v>156</v>
      </c>
    </row>
    <row r="144" spans="1:16" s="5" customFormat="1" ht="14.5" customHeight="1">
      <c r="A144" s="18" t="str">
        <f>settings!$C$2</f>
        <v>Kazakhstan</v>
      </c>
      <c r="B144" s="18" t="s">
        <v>267</v>
      </c>
      <c r="C144" s="18" t="s">
        <v>101</v>
      </c>
      <c r="D144" s="18" t="str">
        <f>CONCATENATE(settings!$C$6,settings!$C$5)</f>
        <v>../Kazakhstan_DB.xlsx</v>
      </c>
      <c r="E144" s="19" t="s">
        <v>33</v>
      </c>
      <c r="F144" s="21" t="s">
        <v>4</v>
      </c>
      <c r="G144" s="18" t="s">
        <v>32</v>
      </c>
      <c r="H144" s="18" t="s">
        <v>21</v>
      </c>
      <c r="I144" s="18" t="s">
        <v>31</v>
      </c>
      <c r="J144" s="18" t="s">
        <v>22</v>
      </c>
      <c r="K144" s="18" t="s">
        <v>16</v>
      </c>
      <c r="L144" s="18" t="s">
        <v>33</v>
      </c>
      <c r="M144" s="20">
        <v>36161</v>
      </c>
      <c r="N144" s="9">
        <v>45627</v>
      </c>
      <c r="O144" s="20">
        <v>36526</v>
      </c>
      <c r="P144" s="18" t="s">
        <v>156</v>
      </c>
    </row>
    <row r="145" spans="1:16" s="11" customFormat="1">
      <c r="A145" s="8" t="str">
        <f>settings!$C$2</f>
        <v>Kazakhstan</v>
      </c>
      <c r="B145" s="8" t="s">
        <v>267</v>
      </c>
      <c r="C145" s="8" t="s">
        <v>101</v>
      </c>
      <c r="D145" s="8" t="str">
        <f>CONCATENATE(settings!$C$6,settings!$C$5)</f>
        <v>../Kazakhstan_DB.xlsx</v>
      </c>
      <c r="E145" s="16" t="s">
        <v>66</v>
      </c>
      <c r="F145" s="10" t="s">
        <v>20</v>
      </c>
      <c r="G145" s="8" t="s">
        <v>15</v>
      </c>
      <c r="H145" s="8" t="s">
        <v>21</v>
      </c>
      <c r="I145" s="8" t="s">
        <v>13</v>
      </c>
      <c r="J145" s="8" t="s">
        <v>22</v>
      </c>
      <c r="K145" s="8" t="s">
        <v>16</v>
      </c>
      <c r="L145" s="8" t="s">
        <v>66</v>
      </c>
      <c r="M145" s="9">
        <v>36161</v>
      </c>
      <c r="N145" s="9">
        <v>45627</v>
      </c>
      <c r="O145" s="9">
        <v>36526</v>
      </c>
      <c r="P145" s="8" t="s">
        <v>65</v>
      </c>
    </row>
    <row r="146" spans="1:16" s="11" customFormat="1">
      <c r="A146" s="8" t="str">
        <f>settings!$C$2</f>
        <v>Kazakhstan</v>
      </c>
      <c r="B146" s="8" t="s">
        <v>267</v>
      </c>
      <c r="C146" s="8" t="s">
        <v>101</v>
      </c>
      <c r="D146" s="8" t="str">
        <f>CONCATENATE(settings!$C$6,settings!$C$5)</f>
        <v>../Kazakhstan_DB.xlsx</v>
      </c>
      <c r="E146" s="16" t="s">
        <v>66</v>
      </c>
      <c r="F146" s="10" t="s">
        <v>5</v>
      </c>
      <c r="G146" s="8" t="s">
        <v>15</v>
      </c>
      <c r="H146" s="8" t="s">
        <v>21</v>
      </c>
      <c r="I146" s="8" t="s">
        <v>13</v>
      </c>
      <c r="J146" s="8" t="s">
        <v>22</v>
      </c>
      <c r="K146" s="8" t="s">
        <v>16</v>
      </c>
      <c r="L146" s="8" t="s">
        <v>66</v>
      </c>
      <c r="M146" s="9">
        <v>36161</v>
      </c>
      <c r="N146" s="9">
        <v>45627</v>
      </c>
      <c r="O146" s="9">
        <v>36526</v>
      </c>
      <c r="P146" s="8" t="s">
        <v>65</v>
      </c>
    </row>
    <row r="147" spans="1:16" s="11" customFormat="1">
      <c r="A147" s="8" t="str">
        <f>settings!$C$2</f>
        <v>Kazakhstan</v>
      </c>
      <c r="B147" s="8" t="s">
        <v>267</v>
      </c>
      <c r="C147" s="8" t="s">
        <v>101</v>
      </c>
      <c r="D147" s="8" t="str">
        <f>CONCATENATE(settings!$C$6,settings!$C$5)</f>
        <v>../Kazakhstan_DB.xlsx</v>
      </c>
      <c r="E147" s="16" t="s">
        <v>66</v>
      </c>
      <c r="F147" s="10" t="s">
        <v>6</v>
      </c>
      <c r="G147" s="8" t="s">
        <v>15</v>
      </c>
      <c r="H147" s="8" t="s">
        <v>21</v>
      </c>
      <c r="I147" s="8" t="s">
        <v>13</v>
      </c>
      <c r="J147" s="8" t="s">
        <v>22</v>
      </c>
      <c r="K147" s="8" t="s">
        <v>16</v>
      </c>
      <c r="L147" s="8" t="s">
        <v>66</v>
      </c>
      <c r="M147" s="9">
        <v>36161</v>
      </c>
      <c r="N147" s="9">
        <v>45627</v>
      </c>
      <c r="O147" s="9">
        <v>36526</v>
      </c>
      <c r="P147" s="8" t="s">
        <v>65</v>
      </c>
    </row>
    <row r="148" spans="1:16" s="11" customFormat="1">
      <c r="A148" s="8" t="str">
        <f>settings!$C$2</f>
        <v>Kazakhstan</v>
      </c>
      <c r="B148" s="8" t="s">
        <v>267</v>
      </c>
      <c r="C148" s="8" t="s">
        <v>101</v>
      </c>
      <c r="D148" s="8" t="str">
        <f>CONCATENATE(settings!$C$6,settings!$C$5)</f>
        <v>../Kazakhstan_DB.xlsx</v>
      </c>
      <c r="E148" s="16" t="s">
        <v>66</v>
      </c>
      <c r="F148" s="10" t="s">
        <v>229</v>
      </c>
      <c r="G148" s="8" t="s">
        <v>15</v>
      </c>
      <c r="H148" s="8" t="s">
        <v>21</v>
      </c>
      <c r="I148" s="8" t="s">
        <v>13</v>
      </c>
      <c r="J148" s="8" t="s">
        <v>22</v>
      </c>
      <c r="K148" s="8" t="s">
        <v>16</v>
      </c>
      <c r="L148" s="8" t="s">
        <v>66</v>
      </c>
      <c r="M148" s="9">
        <v>36161</v>
      </c>
      <c r="N148" s="9">
        <v>45627</v>
      </c>
      <c r="O148" s="9">
        <v>36526</v>
      </c>
      <c r="P148" s="8" t="s">
        <v>65</v>
      </c>
    </row>
    <row r="149" spans="1:16" s="11" customFormat="1">
      <c r="A149" s="8" t="str">
        <f>settings!$C$2</f>
        <v>Kazakhstan</v>
      </c>
      <c r="B149" s="8" t="s">
        <v>267</v>
      </c>
      <c r="C149" s="8" t="s">
        <v>101</v>
      </c>
      <c r="D149" s="8" t="str">
        <f>CONCATENATE(settings!$C$6,settings!$C$5)</f>
        <v>../Kazakhstan_DB.xlsx</v>
      </c>
      <c r="E149" s="16" t="s">
        <v>66</v>
      </c>
      <c r="F149" s="10" t="s">
        <v>230</v>
      </c>
      <c r="G149" s="8" t="s">
        <v>15</v>
      </c>
      <c r="H149" s="8" t="s">
        <v>21</v>
      </c>
      <c r="I149" s="8" t="s">
        <v>13</v>
      </c>
      <c r="J149" s="8" t="s">
        <v>22</v>
      </c>
      <c r="K149" s="8" t="s">
        <v>16</v>
      </c>
      <c r="L149" s="8" t="s">
        <v>66</v>
      </c>
      <c r="M149" s="9">
        <v>36161</v>
      </c>
      <c r="N149" s="9">
        <v>45627</v>
      </c>
      <c r="O149" s="9">
        <v>36526</v>
      </c>
      <c r="P149" s="8" t="s">
        <v>65</v>
      </c>
    </row>
    <row r="150" spans="1:16" s="11" customFormat="1">
      <c r="A150" s="8" t="str">
        <f>settings!$C$2</f>
        <v>Kazakhstan</v>
      </c>
      <c r="B150" s="8" t="s">
        <v>267</v>
      </c>
      <c r="C150" s="8" t="s">
        <v>101</v>
      </c>
      <c r="D150" s="8" t="str">
        <f>CONCATENATE(settings!$C$6,settings!$C$5)</f>
        <v>../Kazakhstan_DB.xlsx</v>
      </c>
      <c r="E150" s="16" t="s">
        <v>66</v>
      </c>
      <c r="F150" s="10" t="s">
        <v>231</v>
      </c>
      <c r="G150" s="8" t="s">
        <v>15</v>
      </c>
      <c r="H150" s="8" t="s">
        <v>21</v>
      </c>
      <c r="I150" s="8" t="s">
        <v>13</v>
      </c>
      <c r="J150" s="8" t="s">
        <v>22</v>
      </c>
      <c r="K150" s="8" t="s">
        <v>16</v>
      </c>
      <c r="L150" s="8" t="s">
        <v>66</v>
      </c>
      <c r="M150" s="9">
        <v>36161</v>
      </c>
      <c r="N150" s="9">
        <v>45627</v>
      </c>
      <c r="O150" s="9">
        <v>36526</v>
      </c>
      <c r="P150" s="8" t="s">
        <v>65</v>
      </c>
    </row>
    <row r="151" spans="1:16" s="11" customFormat="1">
      <c r="A151" s="8" t="str">
        <f>settings!$C$2</f>
        <v>Kazakhstan</v>
      </c>
      <c r="B151" s="8" t="s">
        <v>267</v>
      </c>
      <c r="C151" s="8" t="s">
        <v>101</v>
      </c>
      <c r="D151" s="8" t="str">
        <f>CONCATENATE(settings!$C$6,settings!$C$5)</f>
        <v>../Kazakhstan_DB.xlsx</v>
      </c>
      <c r="E151" s="16" t="s">
        <v>66</v>
      </c>
      <c r="F151" s="10" t="s">
        <v>232</v>
      </c>
      <c r="G151" s="8" t="s">
        <v>15</v>
      </c>
      <c r="H151" s="8" t="s">
        <v>21</v>
      </c>
      <c r="I151" s="8" t="s">
        <v>13</v>
      </c>
      <c r="J151" s="8" t="s">
        <v>22</v>
      </c>
      <c r="K151" s="8" t="s">
        <v>16</v>
      </c>
      <c r="L151" s="8" t="s">
        <v>66</v>
      </c>
      <c r="M151" s="9">
        <v>36161</v>
      </c>
      <c r="N151" s="9">
        <v>45627</v>
      </c>
      <c r="O151" s="9">
        <v>36526</v>
      </c>
      <c r="P151" s="8" t="s">
        <v>65</v>
      </c>
    </row>
    <row r="152" spans="1:16" s="13" customFormat="1">
      <c r="A152" s="8" t="str">
        <f>settings!$C$2</f>
        <v>Kazakhstan</v>
      </c>
      <c r="B152" s="8" t="s">
        <v>267</v>
      </c>
      <c r="C152" s="8" t="s">
        <v>101</v>
      </c>
      <c r="D152" s="8" t="str">
        <f>CONCATENATE(settings!$C$6,settings!$C$5)</f>
        <v>../Kazakhstan_DB.xlsx</v>
      </c>
      <c r="E152" s="16" t="s">
        <v>66</v>
      </c>
      <c r="F152" s="10" t="s">
        <v>0</v>
      </c>
      <c r="G152" s="8" t="s">
        <v>15</v>
      </c>
      <c r="H152" s="8" t="s">
        <v>21</v>
      </c>
      <c r="I152" s="8" t="s">
        <v>13</v>
      </c>
      <c r="J152" s="8" t="s">
        <v>22</v>
      </c>
      <c r="K152" s="8" t="s">
        <v>16</v>
      </c>
      <c r="L152" s="8" t="s">
        <v>66</v>
      </c>
      <c r="M152" s="9">
        <v>36161</v>
      </c>
      <c r="N152" s="9">
        <v>45627</v>
      </c>
      <c r="O152" s="9">
        <v>36526</v>
      </c>
      <c r="P152" s="8" t="s">
        <v>65</v>
      </c>
    </row>
    <row r="153" spans="1:16" s="13" customFormat="1">
      <c r="A153" s="8" t="str">
        <f>settings!$C$2</f>
        <v>Kazakhstan</v>
      </c>
      <c r="B153" s="8" t="s">
        <v>267</v>
      </c>
      <c r="C153" s="8" t="s">
        <v>101</v>
      </c>
      <c r="D153" s="8" t="str">
        <f>CONCATENATE(settings!$C$6,settings!$C$5)</f>
        <v>../Kazakhstan_DB.xlsx</v>
      </c>
      <c r="E153" s="16" t="s">
        <v>66</v>
      </c>
      <c r="F153" s="10" t="s">
        <v>76</v>
      </c>
      <c r="G153" s="8" t="s">
        <v>15</v>
      </c>
      <c r="H153" s="8" t="s">
        <v>21</v>
      </c>
      <c r="I153" s="8" t="s">
        <v>13</v>
      </c>
      <c r="J153" s="8" t="s">
        <v>22</v>
      </c>
      <c r="K153" s="8" t="s">
        <v>16</v>
      </c>
      <c r="L153" s="8" t="s">
        <v>66</v>
      </c>
      <c r="M153" s="9">
        <v>36161</v>
      </c>
      <c r="N153" s="9">
        <v>45627</v>
      </c>
      <c r="O153" s="9">
        <v>36526</v>
      </c>
      <c r="P153" s="8" t="s">
        <v>65</v>
      </c>
    </row>
    <row r="154" spans="1:16" s="13" customFormat="1">
      <c r="A154" s="8" t="str">
        <f>settings!$C$2</f>
        <v>Kazakhstan</v>
      </c>
      <c r="B154" s="8" t="s">
        <v>267</v>
      </c>
      <c r="C154" s="8" t="s">
        <v>101</v>
      </c>
      <c r="D154" s="8" t="str">
        <f>CONCATENATE(settings!$C$6,settings!$C$5)</f>
        <v>../Kazakhstan_DB.xlsx</v>
      </c>
      <c r="E154" s="16" t="s">
        <v>66</v>
      </c>
      <c r="F154" s="10" t="s">
        <v>212</v>
      </c>
      <c r="G154" s="8" t="s">
        <v>15</v>
      </c>
      <c r="H154" s="8" t="s">
        <v>21</v>
      </c>
      <c r="I154" s="8" t="s">
        <v>13</v>
      </c>
      <c r="J154" s="8" t="s">
        <v>22</v>
      </c>
      <c r="K154" s="8" t="s">
        <v>16</v>
      </c>
      <c r="L154" s="8" t="s">
        <v>66</v>
      </c>
      <c r="M154" s="9">
        <v>36161</v>
      </c>
      <c r="N154" s="9">
        <v>45627</v>
      </c>
      <c r="O154" s="9">
        <v>36526</v>
      </c>
      <c r="P154" s="8" t="s">
        <v>65</v>
      </c>
    </row>
    <row r="155" spans="1:16" s="13" customFormat="1">
      <c r="A155" s="8" t="str">
        <f>settings!$C$2</f>
        <v>Kazakhstan</v>
      </c>
      <c r="B155" s="8" t="s">
        <v>267</v>
      </c>
      <c r="C155" s="8" t="s">
        <v>101</v>
      </c>
      <c r="D155" s="8" t="str">
        <f>CONCATENATE(settings!$C$6,settings!$C$5)</f>
        <v>../Kazakhstan_DB.xlsx</v>
      </c>
      <c r="E155" s="16" t="s">
        <v>66</v>
      </c>
      <c r="F155" s="10" t="s">
        <v>23</v>
      </c>
      <c r="G155" s="8" t="s">
        <v>15</v>
      </c>
      <c r="H155" s="8" t="s">
        <v>21</v>
      </c>
      <c r="I155" s="8" t="s">
        <v>13</v>
      </c>
      <c r="J155" s="8" t="s">
        <v>22</v>
      </c>
      <c r="K155" s="8" t="s">
        <v>16</v>
      </c>
      <c r="L155" s="8" t="s">
        <v>66</v>
      </c>
      <c r="M155" s="9">
        <v>36161</v>
      </c>
      <c r="N155" s="9">
        <v>45627</v>
      </c>
      <c r="O155" s="9">
        <v>36526</v>
      </c>
      <c r="P155" s="8" t="s">
        <v>65</v>
      </c>
    </row>
    <row r="156" spans="1:16" s="13" customFormat="1">
      <c r="A156" s="8" t="str">
        <f>settings!$C$2</f>
        <v>Kazakhstan</v>
      </c>
      <c r="B156" s="8" t="s">
        <v>267</v>
      </c>
      <c r="C156" s="8" t="s">
        <v>101</v>
      </c>
      <c r="D156" s="8" t="str">
        <f>CONCATENATE(settings!$C$6,settings!$C$5)</f>
        <v>../Kazakhstan_DB.xlsx</v>
      </c>
      <c r="E156" s="16" t="s">
        <v>66</v>
      </c>
      <c r="F156" s="10" t="s">
        <v>141</v>
      </c>
      <c r="G156" s="8" t="s">
        <v>15</v>
      </c>
      <c r="H156" s="8" t="s">
        <v>21</v>
      </c>
      <c r="I156" s="8" t="s">
        <v>13</v>
      </c>
      <c r="J156" s="8" t="s">
        <v>22</v>
      </c>
      <c r="K156" s="8" t="s">
        <v>16</v>
      </c>
      <c r="L156" s="8" t="s">
        <v>66</v>
      </c>
      <c r="M156" s="9">
        <v>36161</v>
      </c>
      <c r="N156" s="9">
        <v>45627</v>
      </c>
      <c r="O156" s="9">
        <v>36526</v>
      </c>
      <c r="P156" s="8" t="s">
        <v>65</v>
      </c>
    </row>
    <row r="157" spans="1:16" s="8" customFormat="1">
      <c r="A157" s="8" t="str">
        <f>settings!$C$2</f>
        <v>Kazakhstan</v>
      </c>
      <c r="B157" s="8" t="s">
        <v>267</v>
      </c>
      <c r="C157" s="8" t="s">
        <v>101</v>
      </c>
      <c r="D157" s="8" t="str">
        <f>CONCATENATE(settings!$C$6,settings!$C$5)</f>
        <v>../Kazakhstan_DB.xlsx</v>
      </c>
      <c r="E157" s="16" t="s">
        <v>66</v>
      </c>
      <c r="F157" s="10" t="s">
        <v>235</v>
      </c>
      <c r="G157" s="8" t="s">
        <v>15</v>
      </c>
      <c r="H157" s="8" t="s">
        <v>21</v>
      </c>
      <c r="I157" s="8" t="s">
        <v>13</v>
      </c>
      <c r="J157" s="8" t="s">
        <v>22</v>
      </c>
      <c r="K157" s="8" t="s">
        <v>16</v>
      </c>
      <c r="L157" s="8" t="s">
        <v>66</v>
      </c>
      <c r="M157" s="9">
        <v>36161</v>
      </c>
      <c r="N157" s="9">
        <v>45627</v>
      </c>
      <c r="O157" s="9">
        <v>36526</v>
      </c>
      <c r="P157" s="8" t="s">
        <v>65</v>
      </c>
    </row>
    <row r="158" spans="1:16" s="13" customFormat="1">
      <c r="A158" s="8" t="str">
        <f>settings!$C$2</f>
        <v>Kazakhstan</v>
      </c>
      <c r="B158" s="8" t="s">
        <v>267</v>
      </c>
      <c r="C158" s="8" t="s">
        <v>101</v>
      </c>
      <c r="D158" s="8" t="str">
        <f>CONCATENATE(settings!$C$6,settings!$C$5)</f>
        <v>../Kazakhstan_DB.xlsx</v>
      </c>
      <c r="E158" s="16" t="s">
        <v>66</v>
      </c>
      <c r="F158" s="10" t="s">
        <v>213</v>
      </c>
      <c r="G158" s="8" t="s">
        <v>15</v>
      </c>
      <c r="H158" s="8" t="s">
        <v>21</v>
      </c>
      <c r="I158" s="8" t="s">
        <v>13</v>
      </c>
      <c r="J158" s="8" t="s">
        <v>22</v>
      </c>
      <c r="K158" s="8" t="s">
        <v>16</v>
      </c>
      <c r="L158" s="8" t="s">
        <v>66</v>
      </c>
      <c r="M158" s="9">
        <v>36161</v>
      </c>
      <c r="N158" s="9">
        <v>45627</v>
      </c>
      <c r="O158" s="9">
        <v>36526</v>
      </c>
      <c r="P158" s="8" t="s">
        <v>65</v>
      </c>
    </row>
    <row r="159" spans="1:16" s="13" customFormat="1">
      <c r="A159" s="8" t="str">
        <f>settings!$C$2</f>
        <v>Kazakhstan</v>
      </c>
      <c r="B159" s="8" t="s">
        <v>267</v>
      </c>
      <c r="C159" s="8" t="s">
        <v>101</v>
      </c>
      <c r="D159" s="8" t="str">
        <f>CONCATENATE(settings!$C$6,settings!$C$5)</f>
        <v>../Kazakhstan_DB.xlsx</v>
      </c>
      <c r="E159" s="16" t="s">
        <v>66</v>
      </c>
      <c r="F159" s="10" t="s">
        <v>151</v>
      </c>
      <c r="G159" s="8" t="s">
        <v>15</v>
      </c>
      <c r="H159" s="8" t="s">
        <v>21</v>
      </c>
      <c r="I159" s="8" t="s">
        <v>13</v>
      </c>
      <c r="J159" s="8" t="s">
        <v>22</v>
      </c>
      <c r="K159" s="8" t="s">
        <v>16</v>
      </c>
      <c r="L159" s="8" t="s">
        <v>66</v>
      </c>
      <c r="M159" s="9">
        <v>36161</v>
      </c>
      <c r="N159" s="9">
        <v>45627</v>
      </c>
      <c r="O159" s="9">
        <v>36526</v>
      </c>
      <c r="P159" s="8" t="s">
        <v>65</v>
      </c>
    </row>
    <row r="160" spans="1:16" s="13" customFormat="1">
      <c r="A160" s="8" t="str">
        <f>settings!$C$2</f>
        <v>Kazakhstan</v>
      </c>
      <c r="B160" s="8" t="s">
        <v>267</v>
      </c>
      <c r="C160" s="8" t="s">
        <v>101</v>
      </c>
      <c r="D160" s="8" t="str">
        <f>CONCATENATE(settings!$C$6,settings!$C$5)</f>
        <v>../Kazakhstan_DB.xlsx</v>
      </c>
      <c r="E160" s="16" t="s">
        <v>66</v>
      </c>
      <c r="F160" s="10" t="s">
        <v>152</v>
      </c>
      <c r="G160" s="8" t="s">
        <v>15</v>
      </c>
      <c r="H160" s="8" t="s">
        <v>21</v>
      </c>
      <c r="I160" s="8" t="s">
        <v>13</v>
      </c>
      <c r="J160" s="8" t="s">
        <v>22</v>
      </c>
      <c r="K160" s="8" t="s">
        <v>16</v>
      </c>
      <c r="L160" s="8" t="s">
        <v>66</v>
      </c>
      <c r="M160" s="9">
        <v>36161</v>
      </c>
      <c r="N160" s="9">
        <v>45627</v>
      </c>
      <c r="O160" s="9">
        <v>36526</v>
      </c>
      <c r="P160" s="8" t="s">
        <v>65</v>
      </c>
    </row>
    <row r="161" spans="1:16" s="13" customFormat="1">
      <c r="A161" s="8" t="str">
        <f>settings!$C$2</f>
        <v>Kazakhstan</v>
      </c>
      <c r="B161" s="8" t="s">
        <v>267</v>
      </c>
      <c r="C161" s="8" t="s">
        <v>101</v>
      </c>
      <c r="D161" s="8" t="str">
        <f>CONCATENATE(settings!$C$6,settings!$C$5)</f>
        <v>../Kazakhstan_DB.xlsx</v>
      </c>
      <c r="E161" s="16" t="s">
        <v>66</v>
      </c>
      <c r="F161" s="8" t="s">
        <v>118</v>
      </c>
      <c r="G161" s="8" t="s">
        <v>32</v>
      </c>
      <c r="H161" s="8" t="s">
        <v>21</v>
      </c>
      <c r="I161" s="8" t="s">
        <v>13</v>
      </c>
      <c r="J161" s="8" t="s">
        <v>22</v>
      </c>
      <c r="K161" s="8" t="s">
        <v>16</v>
      </c>
      <c r="L161" s="8" t="s">
        <v>66</v>
      </c>
      <c r="M161" s="9">
        <v>36161</v>
      </c>
      <c r="N161" s="9">
        <v>45627</v>
      </c>
      <c r="O161" s="9">
        <v>36526</v>
      </c>
      <c r="P161" s="8" t="s">
        <v>65</v>
      </c>
    </row>
    <row r="162" spans="1:16" s="13" customFormat="1">
      <c r="A162" s="8" t="str">
        <f>settings!$C$2</f>
        <v>Kazakhstan</v>
      </c>
      <c r="B162" s="8" t="s">
        <v>267</v>
      </c>
      <c r="C162" s="8" t="s">
        <v>101</v>
      </c>
      <c r="D162" s="8" t="str">
        <f>CONCATENATE(settings!$C$6,settings!$C$5)</f>
        <v>../Kazakhstan_DB.xlsx</v>
      </c>
      <c r="E162" s="16" t="s">
        <v>66</v>
      </c>
      <c r="F162" s="8" t="s">
        <v>118</v>
      </c>
      <c r="G162" s="8" t="s">
        <v>15</v>
      </c>
      <c r="H162" s="8" t="s">
        <v>21</v>
      </c>
      <c r="I162" s="8" t="s">
        <v>13</v>
      </c>
      <c r="J162" s="8" t="s">
        <v>22</v>
      </c>
      <c r="K162" s="8" t="s">
        <v>16</v>
      </c>
      <c r="L162" s="8" t="s">
        <v>66</v>
      </c>
      <c r="M162" s="9">
        <v>36161</v>
      </c>
      <c r="N162" s="9">
        <v>45627</v>
      </c>
      <c r="O162" s="9">
        <v>36526</v>
      </c>
      <c r="P162" s="8" t="s">
        <v>65</v>
      </c>
    </row>
    <row r="163" spans="1:16" s="13" customFormat="1">
      <c r="A163" s="8" t="str">
        <f>settings!$C$2</f>
        <v>Kazakhstan</v>
      </c>
      <c r="B163" s="8" t="s">
        <v>267</v>
      </c>
      <c r="C163" s="8" t="s">
        <v>101</v>
      </c>
      <c r="D163" s="8" t="str">
        <f>CONCATENATE(settings!$C$6,settings!$C$5)</f>
        <v>../Kazakhstan_DB.xlsx</v>
      </c>
      <c r="E163" s="16" t="s">
        <v>66</v>
      </c>
      <c r="F163" s="8" t="s">
        <v>252</v>
      </c>
      <c r="G163" s="8" t="s">
        <v>15</v>
      </c>
      <c r="H163" s="8" t="s">
        <v>21</v>
      </c>
      <c r="I163" s="8" t="s">
        <v>13</v>
      </c>
      <c r="J163" s="8" t="s">
        <v>22</v>
      </c>
      <c r="K163" s="8" t="s">
        <v>16</v>
      </c>
      <c r="L163" s="8" t="s">
        <v>66</v>
      </c>
      <c r="M163" s="9">
        <v>36161</v>
      </c>
      <c r="N163" s="9">
        <v>45627</v>
      </c>
      <c r="O163" s="9">
        <v>36526</v>
      </c>
      <c r="P163" s="8" t="s">
        <v>65</v>
      </c>
    </row>
    <row r="178" spans="6:6" ht="14" customHeight="1"/>
    <row r="179" spans="6:6" ht="14" customHeight="1"/>
    <row r="180" spans="6:6" ht="14" customHeight="1"/>
    <row r="181" spans="6:6" ht="14" customHeight="1"/>
    <row r="182" spans="6:6" ht="14" customHeight="1"/>
    <row r="183" spans="6:6" ht="14" customHeight="1"/>
    <row r="184" spans="6:6" ht="14" customHeight="1"/>
    <row r="185" spans="6:6" ht="14" customHeight="1">
      <c r="F185" s="10"/>
    </row>
    <row r="186" spans="6:6" ht="14" customHeight="1">
      <c r="F186" s="10"/>
    </row>
    <row r="187" spans="6:6" ht="14" customHeight="1">
      <c r="F187" s="10"/>
    </row>
    <row r="188" spans="6:6" ht="14" customHeight="1">
      <c r="F188" s="10"/>
    </row>
    <row r="189" spans="6:6" ht="14" customHeight="1"/>
    <row r="190" spans="6:6" ht="14" customHeight="1"/>
    <row r="191" spans="6:6" ht="14" customHeight="1"/>
    <row r="192" spans="6:6" ht="14" customHeight="1"/>
    <row r="193" ht="14" customHeight="1"/>
    <row r="194" ht="14" customHeight="1"/>
    <row r="195" ht="14" customHeight="1"/>
    <row r="196" ht="14" customHeight="1"/>
    <row r="197" ht="14" customHeight="1"/>
    <row r="198" ht="14" customHeight="1"/>
    <row r="199" ht="14" customHeight="1"/>
    <row r="200" ht="14" customHeight="1"/>
  </sheetData>
  <autoFilter ref="A1:P111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2">
    <tabColor theme="0" tint="-0.499984740745262"/>
  </sheetPr>
  <dimension ref="A1:DD266"/>
  <sheetViews>
    <sheetView workbookViewId="0">
      <pane xSplit="1" ySplit="1" topLeftCell="B225" activePane="bottomRight" state="frozen"/>
      <selection pane="topRight" activeCell="B1" sqref="B1"/>
      <selection pane="bottomLeft" activeCell="A2" sqref="A2"/>
      <selection pane="bottomRight" activeCell="P267" sqref="P267"/>
    </sheetView>
  </sheetViews>
  <sheetFormatPr baseColWidth="10" defaultColWidth="8.83203125" defaultRowHeight="15"/>
  <cols>
    <col min="1" max="1" width="12.33203125" customWidth="1" collapsed="1"/>
    <col min="2" max="2" width="10.6640625" bestFit="1" customWidth="1" collapsed="1"/>
    <col min="20" max="30" width="12.33203125" style="1" customWidth="1" collapsed="1"/>
    <col min="33" max="83" width="12.33203125" style="1" customWidth="1" collapsed="1"/>
  </cols>
  <sheetData>
    <row r="1" spans="1:108" s="2" customFormat="1" ht="67.25" customHeight="1">
      <c r="A1"/>
      <c r="B1" t="s">
        <v>280</v>
      </c>
      <c r="C1" t="s">
        <v>67</v>
      </c>
      <c r="D1" t="s">
        <v>68</v>
      </c>
      <c r="E1" t="s">
        <v>69</v>
      </c>
      <c r="F1" t="s">
        <v>233</v>
      </c>
      <c r="G1" t="s">
        <v>253</v>
      </c>
      <c r="H1" t="s">
        <v>142</v>
      </c>
      <c r="I1" t="s">
        <v>143</v>
      </c>
      <c r="J1" t="s">
        <v>96</v>
      </c>
      <c r="K1" t="s">
        <v>144</v>
      </c>
      <c r="L1" t="s">
        <v>254</v>
      </c>
      <c r="M1" t="s">
        <v>70</v>
      </c>
      <c r="N1" t="s">
        <v>145</v>
      </c>
      <c r="O1" t="s">
        <v>236</v>
      </c>
      <c r="P1" t="s">
        <v>157</v>
      </c>
      <c r="Q1" t="s">
        <v>158</v>
      </c>
      <c r="R1" t="s">
        <v>159</v>
      </c>
      <c r="S1" t="s">
        <v>281</v>
      </c>
      <c r="T1" t="s">
        <v>255</v>
      </c>
      <c r="U1" t="s">
        <v>119</v>
      </c>
      <c r="V1" t="s">
        <v>120</v>
      </c>
      <c r="W1" t="s">
        <v>282</v>
      </c>
      <c r="X1" t="s">
        <v>283</v>
      </c>
      <c r="Y1" t="s">
        <v>284</v>
      </c>
      <c r="Z1" t="s">
        <v>285</v>
      </c>
      <c r="AA1" t="s">
        <v>286</v>
      </c>
      <c r="AB1" t="s">
        <v>287</v>
      </c>
      <c r="AC1" t="s">
        <v>288</v>
      </c>
      <c r="AD1" t="s">
        <v>115</v>
      </c>
      <c r="AE1" t="s">
        <v>116</v>
      </c>
      <c r="AF1" t="s">
        <v>79</v>
      </c>
      <c r="AG1" t="s">
        <v>176</v>
      </c>
      <c r="AH1" t="s">
        <v>177</v>
      </c>
      <c r="AI1" t="s">
        <v>178</v>
      </c>
      <c r="AJ1" t="s">
        <v>211</v>
      </c>
      <c r="AK1" t="s">
        <v>289</v>
      </c>
      <c r="AL1" t="s">
        <v>80</v>
      </c>
      <c r="AM1" t="s">
        <v>81</v>
      </c>
      <c r="AN1" t="s">
        <v>82</v>
      </c>
      <c r="AO1" t="s">
        <v>290</v>
      </c>
      <c r="AP1" t="s">
        <v>179</v>
      </c>
      <c r="AQ1" t="s">
        <v>181</v>
      </c>
      <c r="AR1" t="s">
        <v>180</v>
      </c>
      <c r="AS1" t="s">
        <v>291</v>
      </c>
      <c r="AT1" t="s">
        <v>292</v>
      </c>
      <c r="AU1" t="s">
        <v>293</v>
      </c>
      <c r="AV1" t="s">
        <v>294</v>
      </c>
      <c r="AW1" t="s">
        <v>88</v>
      </c>
      <c r="AX1" t="s">
        <v>89</v>
      </c>
      <c r="AY1" t="s">
        <v>90</v>
      </c>
      <c r="AZ1" t="s">
        <v>91</v>
      </c>
      <c r="BA1" t="s">
        <v>92</v>
      </c>
      <c r="BB1" t="s">
        <v>295</v>
      </c>
      <c r="BC1" t="s">
        <v>296</v>
      </c>
      <c r="BD1" t="s">
        <v>268</v>
      </c>
      <c r="BE1" t="s">
        <v>269</v>
      </c>
      <c r="BF1" t="s">
        <v>265</v>
      </c>
      <c r="BG1" t="s">
        <v>297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</row>
    <row r="2" spans="1:108">
      <c r="A2" s="3">
        <v>36526</v>
      </c>
      <c r="B2" s="3">
        <v>36526</v>
      </c>
      <c r="C2">
        <v>100</v>
      </c>
      <c r="T2"/>
      <c r="U2"/>
      <c r="V2"/>
      <c r="W2"/>
      <c r="X2"/>
      <c r="Y2"/>
      <c r="Z2"/>
      <c r="AA2"/>
      <c r="AB2">
        <v>509</v>
      </c>
      <c r="AC2">
        <v>1937</v>
      </c>
      <c r="AD2">
        <v>573.9</v>
      </c>
      <c r="AE2">
        <v>259.5</v>
      </c>
      <c r="AF2">
        <v>100</v>
      </c>
      <c r="AG2">
        <v>100</v>
      </c>
      <c r="AH2">
        <v>100</v>
      </c>
      <c r="AI2">
        <v>100</v>
      </c>
      <c r="AJ2"/>
      <c r="AK2">
        <v>104724</v>
      </c>
      <c r="AL2">
        <v>139877</v>
      </c>
      <c r="AM2">
        <v>210793</v>
      </c>
      <c r="AN2">
        <v>255838</v>
      </c>
      <c r="AO2"/>
      <c r="AP2">
        <v>18</v>
      </c>
      <c r="AQ2"/>
      <c r="AR2"/>
      <c r="AS2"/>
      <c r="AT2"/>
      <c r="AU2"/>
      <c r="AV2"/>
      <c r="AW2">
        <v>142885</v>
      </c>
      <c r="AX2">
        <v>8198</v>
      </c>
      <c r="AY2">
        <v>21.4</v>
      </c>
      <c r="AZ2">
        <v>3.7</v>
      </c>
      <c r="BA2"/>
      <c r="BB2">
        <v>100</v>
      </c>
      <c r="BC2">
        <v>100</v>
      </c>
      <c r="BD2">
        <v>139.16064516129032</v>
      </c>
      <c r="BE2">
        <v>1.0113096774193548</v>
      </c>
      <c r="BF2">
        <v>25.188709677419354</v>
      </c>
      <c r="BG2">
        <v>85.648387096774201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</row>
    <row r="3" spans="1:108">
      <c r="A3" s="3">
        <v>36557</v>
      </c>
      <c r="B3" s="3">
        <v>36557</v>
      </c>
      <c r="C3">
        <v>100.49999999999999</v>
      </c>
      <c r="T3"/>
      <c r="U3"/>
      <c r="V3"/>
      <c r="W3"/>
      <c r="X3"/>
      <c r="Y3"/>
      <c r="Z3"/>
      <c r="AA3"/>
      <c r="AB3">
        <v>526</v>
      </c>
      <c r="AC3">
        <v>1961</v>
      </c>
      <c r="AD3">
        <v>679</v>
      </c>
      <c r="AE3">
        <v>320.7</v>
      </c>
      <c r="AF3">
        <v>100.1</v>
      </c>
      <c r="AG3">
        <v>100.10000000000001</v>
      </c>
      <c r="AH3">
        <v>100.2</v>
      </c>
      <c r="AI3">
        <v>99.799999999999983</v>
      </c>
      <c r="AJ3"/>
      <c r="AK3">
        <v>103188</v>
      </c>
      <c r="AL3">
        <v>137893</v>
      </c>
      <c r="AM3">
        <v>210716</v>
      </c>
      <c r="AN3">
        <v>261628</v>
      </c>
      <c r="AO3"/>
      <c r="AP3">
        <v>18</v>
      </c>
      <c r="AQ3"/>
      <c r="AR3"/>
      <c r="AS3"/>
      <c r="AT3"/>
      <c r="AU3"/>
      <c r="AV3"/>
      <c r="AW3">
        <v>145824</v>
      </c>
      <c r="AX3">
        <v>8294</v>
      </c>
      <c r="AY3">
        <v>20.8</v>
      </c>
      <c r="AZ3">
        <v>3.4</v>
      </c>
      <c r="BA3"/>
      <c r="BB3">
        <v>100.9081349035929</v>
      </c>
      <c r="BC3">
        <v>101.61869047767875</v>
      </c>
      <c r="BD3">
        <v>139.88275862068966</v>
      </c>
      <c r="BE3">
        <v>0.98373103448275867</v>
      </c>
      <c r="BF3">
        <v>27.061034482758622</v>
      </c>
      <c r="BG3">
        <v>82.772413793103453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</row>
    <row r="4" spans="1:108">
      <c r="A4" s="3">
        <v>36586</v>
      </c>
      <c r="B4" s="3">
        <v>36586</v>
      </c>
      <c r="C4">
        <v>103.71599999999998</v>
      </c>
      <c r="T4"/>
      <c r="U4"/>
      <c r="V4"/>
      <c r="W4"/>
      <c r="X4"/>
      <c r="Y4"/>
      <c r="Z4"/>
      <c r="AA4"/>
      <c r="AB4">
        <v>497</v>
      </c>
      <c r="AC4">
        <v>1873</v>
      </c>
      <c r="AD4">
        <v>664.7</v>
      </c>
      <c r="AE4">
        <v>307.39999999999998</v>
      </c>
      <c r="AF4">
        <v>100.1</v>
      </c>
      <c r="AG4">
        <v>99.999899999999997</v>
      </c>
      <c r="AH4">
        <v>100.0998</v>
      </c>
      <c r="AI4">
        <v>99.899799999999985</v>
      </c>
      <c r="AJ4"/>
      <c r="AK4">
        <v>101583</v>
      </c>
      <c r="AL4">
        <v>137517</v>
      </c>
      <c r="AM4">
        <v>207545</v>
      </c>
      <c r="AN4">
        <v>260340</v>
      </c>
      <c r="AO4"/>
      <c r="AP4">
        <v>16</v>
      </c>
      <c r="AQ4"/>
      <c r="AR4"/>
      <c r="AS4"/>
      <c r="AT4"/>
      <c r="AU4"/>
      <c r="AV4"/>
      <c r="AW4">
        <v>152385</v>
      </c>
      <c r="AX4">
        <v>8599</v>
      </c>
      <c r="AY4">
        <v>21</v>
      </c>
      <c r="AZ4">
        <v>3.6</v>
      </c>
      <c r="BA4"/>
      <c r="BB4">
        <v>99.646308379653604</v>
      </c>
      <c r="BC4">
        <v>100.80656735471661</v>
      </c>
      <c r="BD4">
        <v>141.34064516129033</v>
      </c>
      <c r="BE4">
        <v>0.96555161290322578</v>
      </c>
      <c r="BF4">
        <v>27.357096774193547</v>
      </c>
      <c r="BG4">
        <v>79.650000000000006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</row>
    <row r="5" spans="1:108">
      <c r="A5" s="3">
        <v>36617</v>
      </c>
      <c r="B5" s="3">
        <v>36617</v>
      </c>
      <c r="C5">
        <v>107.44977599999999</v>
      </c>
      <c r="T5"/>
      <c r="U5"/>
      <c r="V5"/>
      <c r="W5"/>
      <c r="X5"/>
      <c r="Y5"/>
      <c r="Z5"/>
      <c r="AA5"/>
      <c r="AB5">
        <v>499</v>
      </c>
      <c r="AC5">
        <v>1981</v>
      </c>
      <c r="AD5">
        <v>865.6</v>
      </c>
      <c r="AE5">
        <v>463.4</v>
      </c>
      <c r="AF5">
        <v>100.50040000000003</v>
      </c>
      <c r="AG5">
        <v>100.2998997</v>
      </c>
      <c r="AH5">
        <v>100.40009939999999</v>
      </c>
      <c r="AI5">
        <v>100.399299</v>
      </c>
      <c r="AJ5"/>
      <c r="AK5">
        <v>105512</v>
      </c>
      <c r="AL5">
        <v>141797</v>
      </c>
      <c r="AM5">
        <v>218498</v>
      </c>
      <c r="AN5">
        <v>270182</v>
      </c>
      <c r="AO5"/>
      <c r="AP5">
        <v>16</v>
      </c>
      <c r="AQ5"/>
      <c r="AR5"/>
      <c r="AS5"/>
      <c r="AT5"/>
      <c r="AU5"/>
      <c r="AV5"/>
      <c r="AW5">
        <v>157074</v>
      </c>
      <c r="AX5">
        <v>9244</v>
      </c>
      <c r="AY5">
        <v>19.2</v>
      </c>
      <c r="AZ5">
        <v>3.5</v>
      </c>
      <c r="BA5"/>
      <c r="BB5">
        <v>99.584573298165807</v>
      </c>
      <c r="BC5">
        <v>100.88102443783693</v>
      </c>
      <c r="BD5">
        <v>142.22800000000001</v>
      </c>
      <c r="BE5">
        <v>0.9450533333333333</v>
      </c>
      <c r="BF5">
        <v>23.302333333333333</v>
      </c>
      <c r="BG5">
        <v>77.554999999999993</v>
      </c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</row>
    <row r="6" spans="1:108">
      <c r="A6" s="3">
        <v>36647</v>
      </c>
      <c r="B6" s="3">
        <v>36647</v>
      </c>
      <c r="C6">
        <v>110.350919952</v>
      </c>
      <c r="T6"/>
      <c r="U6"/>
      <c r="V6"/>
      <c r="W6"/>
      <c r="X6"/>
      <c r="Y6"/>
      <c r="Z6"/>
      <c r="AA6"/>
      <c r="AB6">
        <v>494</v>
      </c>
      <c r="AC6">
        <v>1816</v>
      </c>
      <c r="AD6">
        <v>712.2</v>
      </c>
      <c r="AE6">
        <v>436</v>
      </c>
      <c r="AF6">
        <v>101.20390279999999</v>
      </c>
      <c r="AG6">
        <v>100.9016990982</v>
      </c>
      <c r="AH6">
        <v>101.50450049339999</v>
      </c>
      <c r="AI6">
        <v>100.49969829899999</v>
      </c>
      <c r="AJ6"/>
      <c r="AK6">
        <v>111653</v>
      </c>
      <c r="AL6">
        <v>144728</v>
      </c>
      <c r="AM6">
        <v>228456</v>
      </c>
      <c r="AN6">
        <v>284461</v>
      </c>
      <c r="AO6"/>
      <c r="AP6">
        <v>16</v>
      </c>
      <c r="AQ6"/>
      <c r="AR6"/>
      <c r="AS6"/>
      <c r="AT6"/>
      <c r="AU6"/>
      <c r="AV6"/>
      <c r="AW6">
        <v>158525</v>
      </c>
      <c r="AX6">
        <v>9989</v>
      </c>
      <c r="AY6">
        <v>18.5</v>
      </c>
      <c r="AZ6">
        <v>3.3</v>
      </c>
      <c r="BA6"/>
      <c r="BB6">
        <v>100.94147693376014</v>
      </c>
      <c r="BC6">
        <v>102.31599661706991</v>
      </c>
      <c r="BD6">
        <v>142.27645161290323</v>
      </c>
      <c r="BE6">
        <v>0.90909032258064515</v>
      </c>
      <c r="BF6">
        <v>27.499354838709678</v>
      </c>
      <c r="BG6">
        <v>83.062903225806451</v>
      </c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</row>
    <row r="7" spans="1:108">
      <c r="A7" s="3">
        <v>36678</v>
      </c>
      <c r="B7" s="3">
        <v>36678</v>
      </c>
      <c r="C7">
        <v>100.30898623636799</v>
      </c>
      <c r="T7"/>
      <c r="U7"/>
      <c r="V7"/>
      <c r="W7"/>
      <c r="X7"/>
      <c r="Y7"/>
      <c r="Z7"/>
      <c r="AA7"/>
      <c r="AB7">
        <v>524</v>
      </c>
      <c r="AC7">
        <v>1911</v>
      </c>
      <c r="AD7">
        <v>719.9</v>
      </c>
      <c r="AE7">
        <v>408.6</v>
      </c>
      <c r="AF7">
        <v>101.91233011960001</v>
      </c>
      <c r="AG7">
        <v>101.40620759369099</v>
      </c>
      <c r="AH7">
        <v>102.519545498334</v>
      </c>
      <c r="AI7">
        <v>100.700697695598</v>
      </c>
      <c r="AJ7"/>
      <c r="AK7">
        <v>119107</v>
      </c>
      <c r="AL7">
        <v>156689</v>
      </c>
      <c r="AM7">
        <v>241898</v>
      </c>
      <c r="AN7">
        <v>318284</v>
      </c>
      <c r="AO7"/>
      <c r="AP7">
        <v>14</v>
      </c>
      <c r="AQ7"/>
      <c r="AR7"/>
      <c r="AS7"/>
      <c r="AT7"/>
      <c r="AU7"/>
      <c r="AV7"/>
      <c r="AW7">
        <v>173874</v>
      </c>
      <c r="AX7">
        <v>10422</v>
      </c>
      <c r="AY7">
        <v>18.7</v>
      </c>
      <c r="AZ7">
        <v>3.3</v>
      </c>
      <c r="BA7"/>
      <c r="BB7">
        <v>98.556785578698168</v>
      </c>
      <c r="BC7">
        <v>100.69829987164705</v>
      </c>
      <c r="BD7">
        <v>142.59766666666667</v>
      </c>
      <c r="BE7">
        <v>0.94996999999999998</v>
      </c>
      <c r="BF7">
        <v>29.649333333333335</v>
      </c>
      <c r="BG7">
        <v>80.916666666666671</v>
      </c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</row>
    <row r="8" spans="1:108">
      <c r="A8" s="3">
        <v>36708</v>
      </c>
      <c r="B8" s="3">
        <v>36708</v>
      </c>
      <c r="C8">
        <v>106.32752541055008</v>
      </c>
      <c r="T8"/>
      <c r="U8"/>
      <c r="V8"/>
      <c r="W8"/>
      <c r="X8"/>
      <c r="Y8"/>
      <c r="Z8"/>
      <c r="AA8"/>
      <c r="AB8">
        <v>503</v>
      </c>
      <c r="AC8">
        <v>2032</v>
      </c>
      <c r="AD8">
        <v>780.2</v>
      </c>
      <c r="AE8">
        <v>405.4</v>
      </c>
      <c r="AF8">
        <v>102.31997944007843</v>
      </c>
      <c r="AG8">
        <v>102.52167587722158</v>
      </c>
      <c r="AH8">
        <v>102.62206504383231</v>
      </c>
      <c r="AI8">
        <v>101.00279978868478</v>
      </c>
      <c r="AJ8"/>
      <c r="AK8">
        <v>121549</v>
      </c>
      <c r="AL8">
        <v>167810</v>
      </c>
      <c r="AM8">
        <v>260833</v>
      </c>
      <c r="AN8">
        <v>342088</v>
      </c>
      <c r="AO8"/>
      <c r="AP8">
        <v>14</v>
      </c>
      <c r="AQ8"/>
      <c r="AR8"/>
      <c r="AS8"/>
      <c r="AT8"/>
      <c r="AU8"/>
      <c r="AV8"/>
      <c r="AW8">
        <v>186819</v>
      </c>
      <c r="AX8">
        <v>11228</v>
      </c>
      <c r="AY8">
        <v>18.5</v>
      </c>
      <c r="AZ8">
        <v>3.8</v>
      </c>
      <c r="BA8"/>
      <c r="BB8">
        <v>97.971056308899023</v>
      </c>
      <c r="BC8">
        <v>100.40190293940663</v>
      </c>
      <c r="BD8">
        <v>142.75354838709677</v>
      </c>
      <c r="BE8">
        <v>0.93968064516129035</v>
      </c>
      <c r="BF8">
        <v>28.775806451612905</v>
      </c>
      <c r="BG8">
        <v>83.662903225806446</v>
      </c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</row>
    <row r="9" spans="1:108">
      <c r="A9" s="3">
        <v>36739</v>
      </c>
      <c r="B9" s="3">
        <v>36739</v>
      </c>
      <c r="C9">
        <v>108.66673096958218</v>
      </c>
      <c r="T9"/>
      <c r="U9"/>
      <c r="V9"/>
      <c r="W9"/>
      <c r="X9"/>
      <c r="Y9"/>
      <c r="Z9"/>
      <c r="AA9"/>
      <c r="AB9">
        <v>502</v>
      </c>
      <c r="AC9">
        <v>2106</v>
      </c>
      <c r="AD9">
        <v>680.1</v>
      </c>
      <c r="AE9">
        <v>454.8</v>
      </c>
      <c r="AF9">
        <v>102.52461939895858</v>
      </c>
      <c r="AG9">
        <v>103.03428425660771</v>
      </c>
      <c r="AH9">
        <v>102.62206504383231</v>
      </c>
      <c r="AI9">
        <v>101.30580818805083</v>
      </c>
      <c r="AJ9"/>
      <c r="AK9">
        <v>124415</v>
      </c>
      <c r="AL9">
        <v>174309</v>
      </c>
      <c r="AM9">
        <v>263580</v>
      </c>
      <c r="AN9">
        <v>347456</v>
      </c>
      <c r="AO9"/>
      <c r="AP9">
        <v>14</v>
      </c>
      <c r="AQ9"/>
      <c r="AR9"/>
      <c r="AS9"/>
      <c r="AT9"/>
      <c r="AU9"/>
      <c r="AV9"/>
      <c r="AW9">
        <v>194856</v>
      </c>
      <c r="AX9">
        <v>11870</v>
      </c>
      <c r="AY9">
        <v>19.100000000000001</v>
      </c>
      <c r="AZ9">
        <v>3.7</v>
      </c>
      <c r="BA9"/>
      <c r="BB9">
        <v>98.970227112880593</v>
      </c>
      <c r="BC9">
        <v>101.61398539566737</v>
      </c>
      <c r="BD9">
        <v>142.63935483870966</v>
      </c>
      <c r="BE9">
        <v>0.90445806451612898</v>
      </c>
      <c r="BF9">
        <v>30.222258064516129</v>
      </c>
      <c r="BG9">
        <v>86.693548387096769</v>
      </c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</row>
    <row r="10" spans="1:108">
      <c r="A10" s="3">
        <v>36770</v>
      </c>
      <c r="B10" s="3">
        <v>36770</v>
      </c>
      <c r="C10">
        <v>112.90473347739589</v>
      </c>
      <c r="T10"/>
      <c r="U10"/>
      <c r="V10"/>
      <c r="W10"/>
      <c r="X10"/>
      <c r="Y10"/>
      <c r="Z10"/>
      <c r="AA10"/>
      <c r="AB10">
        <v>504</v>
      </c>
      <c r="AC10">
        <v>2190</v>
      </c>
      <c r="AD10">
        <v>723.9</v>
      </c>
      <c r="AE10">
        <v>453.3</v>
      </c>
      <c r="AF10">
        <v>103.03724249595338</v>
      </c>
      <c r="AG10">
        <v>103.44642139363414</v>
      </c>
      <c r="AH10">
        <v>102.82730917391999</v>
      </c>
      <c r="AI10">
        <v>102.52147788630745</v>
      </c>
      <c r="AJ10"/>
      <c r="AK10">
        <v>135418</v>
      </c>
      <c r="AL10">
        <v>186625</v>
      </c>
      <c r="AM10">
        <v>278501</v>
      </c>
      <c r="AN10">
        <v>359759</v>
      </c>
      <c r="AO10"/>
      <c r="AP10">
        <v>14</v>
      </c>
      <c r="AQ10"/>
      <c r="AR10"/>
      <c r="AS10"/>
      <c r="AT10"/>
      <c r="AU10"/>
      <c r="AV10"/>
      <c r="AW10">
        <v>206229</v>
      </c>
      <c r="AX10">
        <v>12541</v>
      </c>
      <c r="AY10">
        <v>19.600000000000001</v>
      </c>
      <c r="AZ10">
        <v>3.5</v>
      </c>
      <c r="BA10"/>
      <c r="BB10">
        <v>99.898676672703871</v>
      </c>
      <c r="BC10">
        <v>103.10918677983329</v>
      </c>
      <c r="BD10">
        <v>142.72466666666668</v>
      </c>
      <c r="BE10">
        <v>0.87225666666666668</v>
      </c>
      <c r="BF10">
        <v>32.283333333333331</v>
      </c>
      <c r="BG10">
        <v>91.338333333333338</v>
      </c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</row>
    <row r="11" spans="1:108">
      <c r="A11" s="3">
        <v>36800</v>
      </c>
      <c r="B11" s="3">
        <v>36800</v>
      </c>
      <c r="C11">
        <v>120.24354115342663</v>
      </c>
      <c r="T11"/>
      <c r="U11"/>
      <c r="V11"/>
      <c r="W11"/>
      <c r="X11"/>
      <c r="Y11"/>
      <c r="Z11"/>
      <c r="AA11"/>
      <c r="AB11">
        <v>483</v>
      </c>
      <c r="AC11">
        <v>2297</v>
      </c>
      <c r="AD11">
        <v>831.8</v>
      </c>
      <c r="AE11">
        <v>478.9</v>
      </c>
      <c r="AF11">
        <v>104.27368940590482</v>
      </c>
      <c r="AG11">
        <v>104.17054634338957</v>
      </c>
      <c r="AH11">
        <v>104.47254612070267</v>
      </c>
      <c r="AI11">
        <v>103.44417118728424</v>
      </c>
      <c r="AJ11"/>
      <c r="AK11">
        <v>152358</v>
      </c>
      <c r="AL11">
        <v>191640</v>
      </c>
      <c r="AM11">
        <v>294928</v>
      </c>
      <c r="AN11">
        <v>386547</v>
      </c>
      <c r="AO11"/>
      <c r="AP11">
        <v>14</v>
      </c>
      <c r="AQ11"/>
      <c r="AR11"/>
      <c r="AS11"/>
      <c r="AT11"/>
      <c r="AU11"/>
      <c r="AV11"/>
      <c r="AW11">
        <v>220102</v>
      </c>
      <c r="AX11">
        <v>13086</v>
      </c>
      <c r="AY11">
        <v>17.3</v>
      </c>
      <c r="AZ11">
        <v>4.0999999999999996</v>
      </c>
      <c r="BA11"/>
      <c r="BB11">
        <v>100.88602872224864</v>
      </c>
      <c r="BC11">
        <v>103.90520221372429</v>
      </c>
      <c r="BD11">
        <v>142.60580645161292</v>
      </c>
      <c r="BE11">
        <v>0.85399677419354836</v>
      </c>
      <c r="BF11">
        <v>31.313225806451612</v>
      </c>
      <c r="BG11">
        <v>87.946774193548393</v>
      </c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</row>
    <row r="12" spans="1:108">
      <c r="A12" s="3">
        <v>36831</v>
      </c>
      <c r="B12" s="3">
        <v>36831</v>
      </c>
      <c r="C12">
        <v>117.47793970689781</v>
      </c>
      <c r="T12"/>
      <c r="U12"/>
      <c r="V12"/>
      <c r="W12"/>
      <c r="X12"/>
      <c r="Y12"/>
      <c r="Z12"/>
      <c r="AA12"/>
      <c r="AB12">
        <v>490</v>
      </c>
      <c r="AC12">
        <v>2229</v>
      </c>
      <c r="AD12">
        <v>948.3</v>
      </c>
      <c r="AE12">
        <v>463.4</v>
      </c>
      <c r="AF12">
        <v>105.83779474699338</v>
      </c>
      <c r="AG12">
        <v>105.21225180682347</v>
      </c>
      <c r="AH12">
        <v>106.66646958923742</v>
      </c>
      <c r="AI12">
        <v>103.96139204322066</v>
      </c>
      <c r="AJ12"/>
      <c r="AK12">
        <v>131252</v>
      </c>
      <c r="AL12">
        <v>179668</v>
      </c>
      <c r="AM12">
        <v>283324</v>
      </c>
      <c r="AN12">
        <v>384154</v>
      </c>
      <c r="AO12"/>
      <c r="AP12">
        <v>14</v>
      </c>
      <c r="AQ12"/>
      <c r="AR12"/>
      <c r="AS12"/>
      <c r="AT12"/>
      <c r="AU12"/>
      <c r="AV12"/>
      <c r="AW12">
        <v>237898</v>
      </c>
      <c r="AX12">
        <v>13776</v>
      </c>
      <c r="AY12">
        <v>18.8</v>
      </c>
      <c r="AZ12">
        <v>3.7</v>
      </c>
      <c r="BA12"/>
      <c r="BB12">
        <v>100.97987229163319</v>
      </c>
      <c r="BC12">
        <v>103.39294211913355</v>
      </c>
      <c r="BD12">
        <v>143.52633333333333</v>
      </c>
      <c r="BE12">
        <v>0.85485</v>
      </c>
      <c r="BF12">
        <v>32.351666666666667</v>
      </c>
      <c r="BG12">
        <v>83.178333333333327</v>
      </c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</row>
    <row r="13" spans="1:108">
      <c r="A13" s="3">
        <v>36861</v>
      </c>
      <c r="B13" s="3">
        <v>36861</v>
      </c>
      <c r="C13">
        <v>123.35183669224273</v>
      </c>
      <c r="T13"/>
      <c r="U13"/>
      <c r="V13"/>
      <c r="W13"/>
      <c r="X13"/>
      <c r="Y13"/>
      <c r="Z13"/>
      <c r="AA13"/>
      <c r="AB13">
        <v>502</v>
      </c>
      <c r="AC13">
        <v>2096</v>
      </c>
      <c r="AD13">
        <v>959.9</v>
      </c>
      <c r="AE13">
        <v>600.70000000000005</v>
      </c>
      <c r="AF13">
        <v>107.2136860787043</v>
      </c>
      <c r="AG13">
        <v>105.94873756947125</v>
      </c>
      <c r="AH13">
        <v>108.79979898102216</v>
      </c>
      <c r="AI13">
        <v>104.16931482730709</v>
      </c>
      <c r="AJ13"/>
      <c r="AK13">
        <v>134416</v>
      </c>
      <c r="AL13">
        <v>195442</v>
      </c>
      <c r="AM13">
        <v>290643</v>
      </c>
      <c r="AN13">
        <v>397015</v>
      </c>
      <c r="AO13"/>
      <c r="AP13">
        <v>14</v>
      </c>
      <c r="AQ13"/>
      <c r="AR13"/>
      <c r="AS13"/>
      <c r="AT13"/>
      <c r="AU13"/>
      <c r="AV13"/>
      <c r="AW13">
        <v>261570</v>
      </c>
      <c r="AX13">
        <v>14647</v>
      </c>
      <c r="AY13">
        <v>18.100000000000001</v>
      </c>
      <c r="AZ13">
        <v>3.2</v>
      </c>
      <c r="BA13"/>
      <c r="BB13">
        <v>99.532647111229025</v>
      </c>
      <c r="BC13">
        <v>101.7223158547902</v>
      </c>
      <c r="BD13">
        <v>144.45064516129034</v>
      </c>
      <c r="BE13">
        <v>0.90324838709677424</v>
      </c>
      <c r="BF13">
        <v>25.840322580645161</v>
      </c>
      <c r="BG13">
        <v>86.719354838709677</v>
      </c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</row>
    <row r="14" spans="1:108">
      <c r="A14" s="3">
        <v>36892</v>
      </c>
      <c r="B14" s="3">
        <v>36892</v>
      </c>
      <c r="C14">
        <v>118.41776322455301</v>
      </c>
      <c r="T14"/>
      <c r="U14"/>
      <c r="V14"/>
      <c r="W14"/>
      <c r="X14"/>
      <c r="Y14"/>
      <c r="Z14"/>
      <c r="AA14"/>
      <c r="AB14">
        <v>491</v>
      </c>
      <c r="AC14">
        <v>2318</v>
      </c>
      <c r="AD14">
        <v>680.2</v>
      </c>
      <c r="AE14">
        <v>424.5</v>
      </c>
      <c r="AF14">
        <v>108.39303662557003</v>
      </c>
      <c r="AG14">
        <v>106.16063504461017</v>
      </c>
      <c r="AH14">
        <v>110.10539656879443</v>
      </c>
      <c r="AI14">
        <v>105.7318545497167</v>
      </c>
      <c r="AJ14"/>
      <c r="AK14">
        <v>125033</v>
      </c>
      <c r="AL14">
        <v>174647</v>
      </c>
      <c r="AM14">
        <v>271849</v>
      </c>
      <c r="AN14">
        <v>380659</v>
      </c>
      <c r="AO14"/>
      <c r="AP14">
        <v>14</v>
      </c>
      <c r="AQ14"/>
      <c r="AR14"/>
      <c r="AS14"/>
      <c r="AT14"/>
      <c r="AU14"/>
      <c r="AV14"/>
      <c r="AW14">
        <v>271366</v>
      </c>
      <c r="AX14">
        <v>15024</v>
      </c>
      <c r="AY14">
        <v>17.5</v>
      </c>
      <c r="AZ14">
        <v>3.8</v>
      </c>
      <c r="BA14"/>
      <c r="BB14">
        <v>97.670669490633458</v>
      </c>
      <c r="BC14">
        <v>100.27246824825475</v>
      </c>
      <c r="BD14">
        <v>145.11516129032259</v>
      </c>
      <c r="BE14">
        <v>0.93928387096774191</v>
      </c>
      <c r="BF14">
        <v>25.878387096774194</v>
      </c>
      <c r="BG14">
        <v>83.527419354838713</v>
      </c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</row>
    <row r="15" spans="1:108">
      <c r="A15" s="3">
        <v>36923</v>
      </c>
      <c r="B15" s="3">
        <v>36923</v>
      </c>
      <c r="C15">
        <v>114.27314151169365</v>
      </c>
      <c r="T15"/>
      <c r="U15"/>
      <c r="V15"/>
      <c r="W15"/>
      <c r="X15"/>
      <c r="Y15"/>
      <c r="Z15"/>
      <c r="AA15"/>
      <c r="AB15">
        <v>488</v>
      </c>
      <c r="AC15">
        <v>2417</v>
      </c>
      <c r="AD15">
        <v>730.3</v>
      </c>
      <c r="AE15">
        <v>483.9</v>
      </c>
      <c r="AF15">
        <v>109.15178788194902</v>
      </c>
      <c r="AG15">
        <v>106.37295631469938</v>
      </c>
      <c r="AH15">
        <v>111.64687212075756</v>
      </c>
      <c r="AI15">
        <v>105.41465898606756</v>
      </c>
      <c r="AJ15"/>
      <c r="AK15">
        <v>132690</v>
      </c>
      <c r="AL15">
        <v>186169</v>
      </c>
      <c r="AM15">
        <v>290975</v>
      </c>
      <c r="AN15">
        <v>401351</v>
      </c>
      <c r="AO15"/>
      <c r="AP15">
        <v>12.5</v>
      </c>
      <c r="AQ15"/>
      <c r="AR15"/>
      <c r="AS15"/>
      <c r="AT15"/>
      <c r="AU15"/>
      <c r="AV15"/>
      <c r="AW15">
        <v>287383</v>
      </c>
      <c r="AX15">
        <v>15853</v>
      </c>
      <c r="AY15">
        <v>18.7</v>
      </c>
      <c r="AZ15">
        <v>2.9</v>
      </c>
      <c r="BA15"/>
      <c r="BB15">
        <v>98.497967643942985</v>
      </c>
      <c r="BC15">
        <v>101.46684899610439</v>
      </c>
      <c r="BD15">
        <v>145.28821428571428</v>
      </c>
      <c r="BE15">
        <v>0.92171785714285714</v>
      </c>
      <c r="BF15">
        <v>27.728214285714287</v>
      </c>
      <c r="BG15">
        <v>82.008928571428569</v>
      </c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</row>
    <row r="16" spans="1:108">
      <c r="A16" s="3">
        <v>36951</v>
      </c>
      <c r="B16" s="3">
        <v>36951</v>
      </c>
      <c r="C16">
        <v>124.90054367228116</v>
      </c>
      <c r="T16"/>
      <c r="U16"/>
      <c r="V16"/>
      <c r="W16"/>
      <c r="X16"/>
      <c r="Y16"/>
      <c r="Z16"/>
      <c r="AA16"/>
      <c r="AB16">
        <v>476</v>
      </c>
      <c r="AC16">
        <v>2454</v>
      </c>
      <c r="AD16">
        <v>695</v>
      </c>
      <c r="AE16">
        <v>512.70000000000005</v>
      </c>
      <c r="AF16">
        <v>109.91585039712265</v>
      </c>
      <c r="AG16">
        <v>106.5857022273288</v>
      </c>
      <c r="AH16">
        <v>113.09828145832739</v>
      </c>
      <c r="AI16">
        <v>105.62548830403968</v>
      </c>
      <c r="AJ16"/>
      <c r="AK16">
        <v>130765</v>
      </c>
      <c r="AL16">
        <v>194454</v>
      </c>
      <c r="AM16">
        <v>311455</v>
      </c>
      <c r="AN16">
        <v>418733</v>
      </c>
      <c r="AO16"/>
      <c r="AP16">
        <v>12.5</v>
      </c>
      <c r="AQ16"/>
      <c r="AR16"/>
      <c r="AS16"/>
      <c r="AT16"/>
      <c r="AU16"/>
      <c r="AV16"/>
      <c r="AW16">
        <v>295524</v>
      </c>
      <c r="AX16">
        <v>17034</v>
      </c>
      <c r="AY16">
        <v>18.7</v>
      </c>
      <c r="AZ16">
        <v>2.5</v>
      </c>
      <c r="BA16"/>
      <c r="BB16">
        <v>99.397132628150359</v>
      </c>
      <c r="BC16">
        <v>102.62265187942651</v>
      </c>
      <c r="BD16">
        <v>145.4583870967742</v>
      </c>
      <c r="BE16">
        <v>0.90918064516129038</v>
      </c>
      <c r="BF16">
        <v>25.488064516129032</v>
      </c>
      <c r="BG16">
        <v>80.061290322580646</v>
      </c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</row>
    <row r="17" spans="1:83">
      <c r="A17" s="3">
        <v>36982</v>
      </c>
      <c r="B17" s="3">
        <v>36982</v>
      </c>
      <c r="C17">
        <v>126.27444965267625</v>
      </c>
      <c r="T17"/>
      <c r="U17"/>
      <c r="V17"/>
      <c r="W17"/>
      <c r="X17"/>
      <c r="Y17"/>
      <c r="Z17"/>
      <c r="AA17"/>
      <c r="AB17">
        <v>486</v>
      </c>
      <c r="AC17">
        <v>2607</v>
      </c>
      <c r="AD17">
        <v>745</v>
      </c>
      <c r="AE17">
        <v>563.29999999999995</v>
      </c>
      <c r="AF17">
        <v>110.6852613499025</v>
      </c>
      <c r="AG17">
        <v>106.69228792955612</v>
      </c>
      <c r="AH17">
        <v>114.45546083582731</v>
      </c>
      <c r="AI17">
        <v>105.9423647689518</v>
      </c>
      <c r="AJ17"/>
      <c r="AK17">
        <v>130960</v>
      </c>
      <c r="AL17">
        <v>182772</v>
      </c>
      <c r="AM17">
        <v>295745</v>
      </c>
      <c r="AN17">
        <v>408343</v>
      </c>
      <c r="AO17"/>
      <c r="AP17">
        <v>12.5</v>
      </c>
      <c r="AQ17"/>
      <c r="AR17"/>
      <c r="AS17"/>
      <c r="AT17"/>
      <c r="AU17"/>
      <c r="AV17"/>
      <c r="AW17">
        <v>307356</v>
      </c>
      <c r="AX17">
        <v>18072</v>
      </c>
      <c r="AY17">
        <v>19.3</v>
      </c>
      <c r="AZ17">
        <v>2.5</v>
      </c>
      <c r="BA17"/>
      <c r="BB17">
        <v>100.37911039018243</v>
      </c>
      <c r="BC17">
        <v>104.06502127423545</v>
      </c>
      <c r="BD17">
        <v>145.49933333333334</v>
      </c>
      <c r="BE17">
        <v>0.89368666666666663</v>
      </c>
      <c r="BF17">
        <v>26.481333333333332</v>
      </c>
      <c r="BG17">
        <v>76.48</v>
      </c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</row>
    <row r="18" spans="1:83">
      <c r="A18" s="3">
        <v>37012</v>
      </c>
      <c r="B18" s="3">
        <v>37012</v>
      </c>
      <c r="C18">
        <v>130.44150649121457</v>
      </c>
      <c r="T18"/>
      <c r="U18"/>
      <c r="V18"/>
      <c r="W18"/>
      <c r="X18"/>
      <c r="Y18"/>
      <c r="Z18"/>
      <c r="AA18"/>
      <c r="AB18">
        <v>490</v>
      </c>
      <c r="AC18">
        <v>2395</v>
      </c>
      <c r="AD18">
        <v>816.6</v>
      </c>
      <c r="AE18">
        <v>562.1</v>
      </c>
      <c r="AF18">
        <v>111.12800239530213</v>
      </c>
      <c r="AG18">
        <v>106.90567250541525</v>
      </c>
      <c r="AH18">
        <v>115.25664906167812</v>
      </c>
      <c r="AI18">
        <v>106.04830713372073</v>
      </c>
      <c r="AJ18"/>
      <c r="AK18">
        <v>134393</v>
      </c>
      <c r="AL18">
        <v>188735</v>
      </c>
      <c r="AM18">
        <v>306972</v>
      </c>
      <c r="AN18">
        <v>412231</v>
      </c>
      <c r="AO18"/>
      <c r="AP18">
        <v>12.5</v>
      </c>
      <c r="AQ18"/>
      <c r="AR18"/>
      <c r="AS18"/>
      <c r="AT18"/>
      <c r="AU18"/>
      <c r="AV18"/>
      <c r="AW18">
        <v>319988</v>
      </c>
      <c r="AX18">
        <v>19872</v>
      </c>
      <c r="AY18">
        <v>17.3</v>
      </c>
      <c r="AZ18">
        <v>2.6</v>
      </c>
      <c r="BA18"/>
      <c r="BB18">
        <v>100.37321288973295</v>
      </c>
      <c r="BC18">
        <v>104.49057586838546</v>
      </c>
      <c r="BD18">
        <v>146.13612903225805</v>
      </c>
      <c r="BE18">
        <v>0.87555806451612905</v>
      </c>
      <c r="BF18">
        <v>28.561290322580646</v>
      </c>
      <c r="BG18">
        <v>77.08709677419354</v>
      </c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</row>
    <row r="19" spans="1:83">
      <c r="A19" s="3">
        <v>37043</v>
      </c>
      <c r="B19" s="3">
        <v>37043</v>
      </c>
      <c r="C19">
        <v>131.22415553016185</v>
      </c>
      <c r="T19"/>
      <c r="U19"/>
      <c r="V19"/>
      <c r="W19"/>
      <c r="X19"/>
      <c r="Y19"/>
      <c r="Z19"/>
      <c r="AA19"/>
      <c r="AB19">
        <v>498</v>
      </c>
      <c r="AC19">
        <v>2298</v>
      </c>
      <c r="AD19">
        <v>794.4</v>
      </c>
      <c r="AE19">
        <v>651.1</v>
      </c>
      <c r="AF19">
        <v>111.23913039769742</v>
      </c>
      <c r="AG19">
        <v>107.33329519543693</v>
      </c>
      <c r="AH19">
        <v>115.25664906167812</v>
      </c>
      <c r="AI19">
        <v>106.04830713372073</v>
      </c>
      <c r="AJ19"/>
      <c r="AK19">
        <v>142827</v>
      </c>
      <c r="AL19">
        <v>206902</v>
      </c>
      <c r="AM19">
        <v>347105</v>
      </c>
      <c r="AN19">
        <v>468080</v>
      </c>
      <c r="AO19"/>
      <c r="AP19">
        <v>12</v>
      </c>
      <c r="AQ19"/>
      <c r="AR19"/>
      <c r="AS19"/>
      <c r="AT19"/>
      <c r="AU19"/>
      <c r="AV19"/>
      <c r="AW19">
        <v>360705</v>
      </c>
      <c r="AX19">
        <v>21680</v>
      </c>
      <c r="AY19">
        <v>16.5</v>
      </c>
      <c r="AZ19">
        <v>2.1</v>
      </c>
      <c r="BA19"/>
      <c r="BB19">
        <v>100.68891091879225</v>
      </c>
      <c r="BC19">
        <v>105.30580708368147</v>
      </c>
      <c r="BD19">
        <v>146.54033333333334</v>
      </c>
      <c r="BE19">
        <v>0.85367999999999999</v>
      </c>
      <c r="BF19">
        <v>27.922666666666668</v>
      </c>
      <c r="BG19">
        <v>72.77</v>
      </c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</row>
    <row r="20" spans="1:83">
      <c r="A20" s="3">
        <v>37073</v>
      </c>
      <c r="B20" s="3">
        <v>37073</v>
      </c>
      <c r="C20">
        <v>134.50475941841589</v>
      </c>
      <c r="T20"/>
      <c r="U20"/>
      <c r="V20"/>
      <c r="W20"/>
      <c r="X20"/>
      <c r="Y20"/>
      <c r="Z20"/>
      <c r="AA20"/>
      <c r="AB20">
        <v>490</v>
      </c>
      <c r="AC20">
        <v>2377</v>
      </c>
      <c r="AD20">
        <v>734.2</v>
      </c>
      <c r="AE20">
        <v>544.29999999999995</v>
      </c>
      <c r="AF20">
        <v>111.12789126729974</v>
      </c>
      <c r="AG20">
        <v>107.97729496660952</v>
      </c>
      <c r="AH20">
        <v>114.79562246543142</v>
      </c>
      <c r="AI20">
        <v>105.83621051945329</v>
      </c>
      <c r="AJ20"/>
      <c r="AK20">
        <v>145887</v>
      </c>
      <c r="AL20">
        <v>206182</v>
      </c>
      <c r="AM20">
        <v>353279</v>
      </c>
      <c r="AN20">
        <v>507000</v>
      </c>
      <c r="AO20"/>
      <c r="AP20">
        <v>12</v>
      </c>
      <c r="AQ20"/>
      <c r="AR20"/>
      <c r="AS20"/>
      <c r="AT20"/>
      <c r="AU20"/>
      <c r="AV20"/>
      <c r="AW20">
        <v>371626</v>
      </c>
      <c r="AX20">
        <v>25259</v>
      </c>
      <c r="AY20">
        <v>17.100000000000001</v>
      </c>
      <c r="AZ20">
        <v>2.5</v>
      </c>
      <c r="BA20"/>
      <c r="BB20">
        <v>100.33940966005241</v>
      </c>
      <c r="BC20">
        <v>105.20226695026977</v>
      </c>
      <c r="BD20">
        <v>146.72999999999999</v>
      </c>
      <c r="BE20">
        <v>0.86149032258064517</v>
      </c>
      <c r="BF20">
        <v>25.293225806451613</v>
      </c>
      <c r="BG20">
        <v>69.49677419354839</v>
      </c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</row>
    <row r="21" spans="1:83">
      <c r="A21" s="3">
        <v>37104</v>
      </c>
      <c r="B21" s="3">
        <v>37104</v>
      </c>
      <c r="C21">
        <v>132.62169278655807</v>
      </c>
      <c r="T21"/>
      <c r="U21"/>
      <c r="V21"/>
      <c r="W21"/>
      <c r="X21"/>
      <c r="Y21"/>
      <c r="Z21"/>
      <c r="AA21"/>
      <c r="AB21">
        <v>505</v>
      </c>
      <c r="AC21">
        <v>2435</v>
      </c>
      <c r="AD21">
        <v>634.5</v>
      </c>
      <c r="AE21">
        <v>491.5</v>
      </c>
      <c r="AF21">
        <v>111.12789126729974</v>
      </c>
      <c r="AG21">
        <v>108.62515873640919</v>
      </c>
      <c r="AH21">
        <v>114.10684873063883</v>
      </c>
      <c r="AI21">
        <v>106.36539157205054</v>
      </c>
      <c r="AJ21"/>
      <c r="AK21">
        <v>146532</v>
      </c>
      <c r="AL21">
        <v>209814</v>
      </c>
      <c r="AM21">
        <v>338510</v>
      </c>
      <c r="AN21">
        <v>508342</v>
      </c>
      <c r="AO21"/>
      <c r="AP21">
        <v>12</v>
      </c>
      <c r="AQ21"/>
      <c r="AR21"/>
      <c r="AS21"/>
      <c r="AT21"/>
      <c r="AU21"/>
      <c r="AV21"/>
      <c r="AW21">
        <v>385543</v>
      </c>
      <c r="AX21">
        <v>26980</v>
      </c>
      <c r="AY21">
        <v>17.8</v>
      </c>
      <c r="AZ21">
        <v>2.5</v>
      </c>
      <c r="BA21"/>
      <c r="BB21">
        <v>98.497638100042835</v>
      </c>
      <c r="BC21">
        <v>103.70785728142798</v>
      </c>
      <c r="BD21">
        <v>147.07709677419356</v>
      </c>
      <c r="BE21">
        <v>0.90244838709677422</v>
      </c>
      <c r="BF21">
        <v>25.72032258064516</v>
      </c>
      <c r="BG21">
        <v>67.614516129032253</v>
      </c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</row>
    <row r="22" spans="1:83">
      <c r="A22" s="3">
        <v>37135</v>
      </c>
      <c r="B22" s="3">
        <v>37135</v>
      </c>
      <c r="C22">
        <v>136.20247849179515</v>
      </c>
      <c r="T22"/>
      <c r="U22"/>
      <c r="V22"/>
      <c r="W22"/>
      <c r="X22"/>
      <c r="Y22"/>
      <c r="Z22"/>
      <c r="AA22"/>
      <c r="AB22">
        <v>537</v>
      </c>
      <c r="AC22">
        <v>2458</v>
      </c>
      <c r="AD22">
        <v>742.5</v>
      </c>
      <c r="AE22">
        <v>499.3</v>
      </c>
      <c r="AF22">
        <v>111.35014704983432</v>
      </c>
      <c r="AG22">
        <v>109.16828453009121</v>
      </c>
      <c r="AH22">
        <v>114.22095557936946</v>
      </c>
      <c r="AI22">
        <v>106.57812235519464</v>
      </c>
      <c r="AJ22"/>
      <c r="AK22">
        <v>157996</v>
      </c>
      <c r="AL22">
        <v>227332</v>
      </c>
      <c r="AM22">
        <v>355646</v>
      </c>
      <c r="AN22">
        <v>533824</v>
      </c>
      <c r="AO22"/>
      <c r="AP22">
        <v>11</v>
      </c>
      <c r="AQ22"/>
      <c r="AR22"/>
      <c r="AS22"/>
      <c r="AT22"/>
      <c r="AU22"/>
      <c r="AV22"/>
      <c r="AW22">
        <v>396401</v>
      </c>
      <c r="AX22">
        <v>28290</v>
      </c>
      <c r="AY22">
        <v>17.7</v>
      </c>
      <c r="AZ22">
        <v>2.6</v>
      </c>
      <c r="BA22"/>
      <c r="BB22">
        <v>97.45556138837685</v>
      </c>
      <c r="BC22">
        <v>103.0862922241181</v>
      </c>
      <c r="BD22">
        <v>147.50833333333333</v>
      </c>
      <c r="BE22">
        <v>0.91276333333333337</v>
      </c>
      <c r="BF22">
        <v>26.235666666666667</v>
      </c>
      <c r="BG22">
        <v>65.765000000000001</v>
      </c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</row>
    <row r="23" spans="1:83">
      <c r="A23" s="3">
        <v>37165</v>
      </c>
      <c r="B23" s="3">
        <v>37165</v>
      </c>
      <c r="C23">
        <v>142.60399498090953</v>
      </c>
      <c r="T23"/>
      <c r="U23"/>
      <c r="V23"/>
      <c r="W23"/>
      <c r="X23"/>
      <c r="Y23"/>
      <c r="Z23"/>
      <c r="AA23"/>
      <c r="AB23">
        <v>517</v>
      </c>
      <c r="AC23">
        <v>2604</v>
      </c>
      <c r="AD23">
        <v>771.3</v>
      </c>
      <c r="AE23">
        <v>492.8</v>
      </c>
      <c r="AF23">
        <v>112.1295980791832</v>
      </c>
      <c r="AG23">
        <v>109.93246252180188</v>
      </c>
      <c r="AH23">
        <v>114.90628131284568</v>
      </c>
      <c r="AI23">
        <v>107.324169211681</v>
      </c>
      <c r="AJ23"/>
      <c r="AK23">
        <v>154221</v>
      </c>
      <c r="AL23">
        <v>218044</v>
      </c>
      <c r="AM23">
        <v>346173</v>
      </c>
      <c r="AN23">
        <v>523677</v>
      </c>
      <c r="AO23"/>
      <c r="AP23">
        <v>11</v>
      </c>
      <c r="AQ23"/>
      <c r="AR23"/>
      <c r="AS23"/>
      <c r="AT23"/>
      <c r="AU23"/>
      <c r="AV23"/>
      <c r="AW23">
        <v>404805</v>
      </c>
      <c r="AX23">
        <v>28775</v>
      </c>
      <c r="AY23">
        <v>16.3</v>
      </c>
      <c r="AZ23">
        <v>2.6</v>
      </c>
      <c r="BA23"/>
      <c r="BB23">
        <v>97.826399196562846</v>
      </c>
      <c r="BC23">
        <v>103.34162054864487</v>
      </c>
      <c r="BD23">
        <v>147.93903225806451</v>
      </c>
      <c r="BE23">
        <v>0.90599032258064516</v>
      </c>
      <c r="BF23">
        <v>21.462903225806453</v>
      </c>
      <c r="BG23">
        <v>63.625806451612902</v>
      </c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</row>
    <row r="24" spans="1:83">
      <c r="A24" s="3">
        <v>37196</v>
      </c>
      <c r="B24" s="3">
        <v>37196</v>
      </c>
      <c r="C24">
        <v>147.59513480524134</v>
      </c>
      <c r="T24"/>
      <c r="U24"/>
      <c r="V24"/>
      <c r="W24"/>
      <c r="X24"/>
      <c r="Y24"/>
      <c r="Z24"/>
      <c r="AA24"/>
      <c r="AB24">
        <v>505</v>
      </c>
      <c r="AC24">
        <v>2575</v>
      </c>
      <c r="AD24">
        <v>631.6</v>
      </c>
      <c r="AE24">
        <v>561.9</v>
      </c>
      <c r="AF24">
        <v>113.13876446189583</v>
      </c>
      <c r="AG24">
        <v>110.70198975945449</v>
      </c>
      <c r="AH24">
        <v>116.40006296991268</v>
      </c>
      <c r="AI24">
        <v>107.64614171931606</v>
      </c>
      <c r="AJ24"/>
      <c r="AK24">
        <v>157182</v>
      </c>
      <c r="AL24">
        <v>213537</v>
      </c>
      <c r="AM24">
        <v>326428</v>
      </c>
      <c r="AN24">
        <v>522239</v>
      </c>
      <c r="AO24"/>
      <c r="AP24">
        <v>9</v>
      </c>
      <c r="AQ24"/>
      <c r="AR24"/>
      <c r="AS24"/>
      <c r="AT24"/>
      <c r="AU24"/>
      <c r="AV24"/>
      <c r="AW24">
        <v>429294</v>
      </c>
      <c r="AX24">
        <v>30222</v>
      </c>
      <c r="AY24">
        <v>15.3</v>
      </c>
      <c r="AZ24">
        <v>2.7</v>
      </c>
      <c r="BA24"/>
      <c r="BB24">
        <v>98.768768354714297</v>
      </c>
      <c r="BC24">
        <v>103.83426371366423</v>
      </c>
      <c r="BD24">
        <v>148.417</v>
      </c>
      <c r="BE24">
        <v>0.88847999999999994</v>
      </c>
      <c r="BF24">
        <v>19.297333333333334</v>
      </c>
      <c r="BG24">
        <v>66.12166666666667</v>
      </c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</row>
    <row r="25" spans="1:83">
      <c r="A25" s="3">
        <v>37226</v>
      </c>
      <c r="B25" s="3">
        <v>37226</v>
      </c>
      <c r="C25">
        <v>154.08932073667199</v>
      </c>
      <c r="T25"/>
      <c r="U25"/>
      <c r="V25"/>
      <c r="W25"/>
      <c r="X25"/>
      <c r="Y25"/>
      <c r="Z25"/>
      <c r="AA25"/>
      <c r="AB25">
        <v>511</v>
      </c>
      <c r="AC25">
        <v>2508</v>
      </c>
      <c r="AD25">
        <v>671.3</v>
      </c>
      <c r="AE25">
        <v>575.6</v>
      </c>
      <c r="AF25">
        <v>114.27015210651481</v>
      </c>
      <c r="AG25">
        <v>110.9233937389734</v>
      </c>
      <c r="AH25">
        <v>118.37886404040118</v>
      </c>
      <c r="AI25">
        <v>107.86143400275468</v>
      </c>
      <c r="AJ25"/>
      <c r="AK25">
        <v>174959</v>
      </c>
      <c r="AL25">
        <v>224234</v>
      </c>
      <c r="AM25">
        <v>337980</v>
      </c>
      <c r="AN25">
        <v>576023</v>
      </c>
      <c r="AO25"/>
      <c r="AP25">
        <v>9</v>
      </c>
      <c r="AQ25"/>
      <c r="AR25"/>
      <c r="AS25"/>
      <c r="AT25"/>
      <c r="AU25"/>
      <c r="AV25"/>
      <c r="AW25">
        <v>459002</v>
      </c>
      <c r="AX25">
        <v>30815</v>
      </c>
      <c r="AY25">
        <v>14.4</v>
      </c>
      <c r="AZ25">
        <v>2.4</v>
      </c>
      <c r="BA25"/>
      <c r="BB25">
        <v>98.106306292001221</v>
      </c>
      <c r="BC25">
        <v>103.22293341488135</v>
      </c>
      <c r="BD25">
        <v>149.52096774193549</v>
      </c>
      <c r="BE25">
        <v>0.89209354838709676</v>
      </c>
      <c r="BF25">
        <v>19.138064516129031</v>
      </c>
      <c r="BG25">
        <v>68.066129032258061</v>
      </c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</row>
    <row r="26" spans="1:83">
      <c r="A26" s="3">
        <v>37257</v>
      </c>
      <c r="B26" s="3">
        <v>37257</v>
      </c>
      <c r="C26">
        <v>150.08299839751851</v>
      </c>
      <c r="T26"/>
      <c r="U26"/>
      <c r="V26"/>
      <c r="W26"/>
      <c r="X26"/>
      <c r="Y26"/>
      <c r="Z26"/>
      <c r="AA26"/>
      <c r="AB26">
        <v>519</v>
      </c>
      <c r="AC26">
        <v>2564</v>
      </c>
      <c r="AD26">
        <v>674.1</v>
      </c>
      <c r="AE26">
        <v>521.79999999999995</v>
      </c>
      <c r="AF26">
        <v>115.07004317126042</v>
      </c>
      <c r="AG26">
        <v>110.36877677027852</v>
      </c>
      <c r="AH26">
        <v>119.68103154484562</v>
      </c>
      <c r="AI26">
        <v>108.83218690877949</v>
      </c>
      <c r="AJ26"/>
      <c r="AK26">
        <v>159646</v>
      </c>
      <c r="AL26">
        <v>193220</v>
      </c>
      <c r="AM26">
        <v>315711</v>
      </c>
      <c r="AN26">
        <v>536985</v>
      </c>
      <c r="AO26"/>
      <c r="AP26">
        <v>9</v>
      </c>
      <c r="AQ26"/>
      <c r="AR26"/>
      <c r="AS26"/>
      <c r="AT26"/>
      <c r="AU26"/>
      <c r="AV26"/>
      <c r="AW26">
        <v>458634</v>
      </c>
      <c r="AX26">
        <v>30476</v>
      </c>
      <c r="AY26">
        <v>15.6</v>
      </c>
      <c r="AZ26">
        <v>3.4</v>
      </c>
      <c r="BA26"/>
      <c r="BB26">
        <v>97.325911859713898</v>
      </c>
      <c r="BC26">
        <v>103.02906154803155</v>
      </c>
      <c r="BD26">
        <v>151.05967741935484</v>
      </c>
      <c r="BE26">
        <v>0.8835354838709677</v>
      </c>
      <c r="BF26">
        <v>20.003870967741936</v>
      </c>
      <c r="BG26">
        <v>69.953225806451613</v>
      </c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</row>
    <row r="27" spans="1:83">
      <c r="A27" s="3">
        <v>37288</v>
      </c>
      <c r="B27" s="3">
        <v>37288</v>
      </c>
      <c r="C27">
        <v>139.57718850969221</v>
      </c>
      <c r="T27"/>
      <c r="U27"/>
      <c r="V27"/>
      <c r="W27"/>
      <c r="X27"/>
      <c r="Y27"/>
      <c r="Z27"/>
      <c r="AA27"/>
      <c r="AB27">
        <v>522</v>
      </c>
      <c r="AC27">
        <v>2579</v>
      </c>
      <c r="AD27">
        <v>589.5</v>
      </c>
      <c r="AE27">
        <v>420.3</v>
      </c>
      <c r="AF27">
        <v>115.41525330077418</v>
      </c>
      <c r="AG27">
        <v>110.03767043996771</v>
      </c>
      <c r="AH27">
        <v>120.27943670256984</v>
      </c>
      <c r="AI27">
        <v>109.3763478433234</v>
      </c>
      <c r="AJ27"/>
      <c r="AK27">
        <v>153877</v>
      </c>
      <c r="AL27">
        <v>193349</v>
      </c>
      <c r="AM27">
        <v>309127</v>
      </c>
      <c r="AN27">
        <v>537735</v>
      </c>
      <c r="AO27"/>
      <c r="AP27">
        <v>9</v>
      </c>
      <c r="AQ27"/>
      <c r="AR27"/>
      <c r="AS27"/>
      <c r="AT27"/>
      <c r="AU27"/>
      <c r="AV27"/>
      <c r="AW27">
        <v>463500</v>
      </c>
      <c r="AX27">
        <v>31005</v>
      </c>
      <c r="AY27">
        <v>15.7</v>
      </c>
      <c r="AZ27">
        <v>2.6</v>
      </c>
      <c r="BA27"/>
      <c r="BB27">
        <v>97.683306333256866</v>
      </c>
      <c r="BC27">
        <v>103.6283557415105</v>
      </c>
      <c r="BD27">
        <v>151.72321428571428</v>
      </c>
      <c r="BE27">
        <v>0.87061428571428567</v>
      </c>
      <c r="BF27">
        <v>20.293928571428573</v>
      </c>
      <c r="BG27">
        <v>72.482142857142861</v>
      </c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</row>
    <row r="28" spans="1:83">
      <c r="A28" s="3">
        <v>37316</v>
      </c>
      <c r="B28" s="3">
        <v>37316</v>
      </c>
      <c r="C28">
        <v>148.09139700878342</v>
      </c>
      <c r="T28"/>
      <c r="U28"/>
      <c r="V28"/>
      <c r="W28"/>
      <c r="X28"/>
      <c r="Y28"/>
      <c r="Z28"/>
      <c r="AA28"/>
      <c r="AB28">
        <v>534</v>
      </c>
      <c r="AC28">
        <v>2628</v>
      </c>
      <c r="AD28">
        <v>722.8</v>
      </c>
      <c r="AE28">
        <v>477.7</v>
      </c>
      <c r="AF28">
        <v>115.64608380737573</v>
      </c>
      <c r="AG28">
        <v>109.92763276952775</v>
      </c>
      <c r="AH28">
        <v>120.51999557597497</v>
      </c>
      <c r="AI28">
        <v>109.59510053901002</v>
      </c>
      <c r="AJ28"/>
      <c r="AK28">
        <v>154932</v>
      </c>
      <c r="AL28">
        <v>207635</v>
      </c>
      <c r="AM28">
        <v>328982</v>
      </c>
      <c r="AN28">
        <v>557682</v>
      </c>
      <c r="AO28"/>
      <c r="AP28">
        <v>8</v>
      </c>
      <c r="AQ28"/>
      <c r="AR28"/>
      <c r="AS28"/>
      <c r="AT28"/>
      <c r="AU28"/>
      <c r="AV28"/>
      <c r="AW28">
        <v>474593</v>
      </c>
      <c r="AX28">
        <v>32168</v>
      </c>
      <c r="AY28">
        <v>15</v>
      </c>
      <c r="AZ28">
        <v>2.6</v>
      </c>
      <c r="BA28"/>
      <c r="BB28">
        <v>97.062005708495704</v>
      </c>
      <c r="BC28">
        <v>103.43738327351537</v>
      </c>
      <c r="BD28">
        <v>152.1032258064516</v>
      </c>
      <c r="BE28">
        <v>0.87606129032258062</v>
      </c>
      <c r="BF28">
        <v>24.235483870967741</v>
      </c>
      <c r="BG28">
        <v>74.616129032258058</v>
      </c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</row>
    <row r="29" spans="1:83">
      <c r="A29" s="3">
        <v>37347</v>
      </c>
      <c r="B29" s="3">
        <v>37347</v>
      </c>
      <c r="C29">
        <v>145.12956906860774</v>
      </c>
      <c r="T29"/>
      <c r="U29"/>
      <c r="V29"/>
      <c r="W29"/>
      <c r="X29"/>
      <c r="Y29"/>
      <c r="Z29"/>
      <c r="AA29"/>
      <c r="AB29">
        <v>541</v>
      </c>
      <c r="AC29">
        <v>2686</v>
      </c>
      <c r="AD29">
        <v>561.9</v>
      </c>
      <c r="AE29">
        <v>479.8</v>
      </c>
      <c r="AF29">
        <v>116.22431422641259</v>
      </c>
      <c r="AG29">
        <v>110.36734330060585</v>
      </c>
      <c r="AH29">
        <v>121.00207555827889</v>
      </c>
      <c r="AI29">
        <v>110.4718613433221</v>
      </c>
      <c r="AJ29"/>
      <c r="AK29">
        <v>154834</v>
      </c>
      <c r="AL29">
        <v>208469</v>
      </c>
      <c r="AM29">
        <v>344634</v>
      </c>
      <c r="AN29">
        <v>580237</v>
      </c>
      <c r="AO29"/>
      <c r="AP29">
        <v>8</v>
      </c>
      <c r="AQ29"/>
      <c r="AR29"/>
      <c r="AS29"/>
      <c r="AT29"/>
      <c r="AU29"/>
      <c r="AV29"/>
      <c r="AW29">
        <v>492969</v>
      </c>
      <c r="AX29">
        <v>35373</v>
      </c>
      <c r="AY29">
        <v>15.2</v>
      </c>
      <c r="AZ29">
        <v>2.9</v>
      </c>
      <c r="BA29"/>
      <c r="BB29">
        <v>96.211763812212368</v>
      </c>
      <c r="BC29">
        <v>102.80354413469314</v>
      </c>
      <c r="BD29">
        <v>152.53166666666667</v>
      </c>
      <c r="BE29">
        <v>0.88702999999999999</v>
      </c>
      <c r="BF29">
        <v>25.881</v>
      </c>
      <c r="BG29">
        <v>73.131666666666661</v>
      </c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</row>
    <row r="30" spans="1:83">
      <c r="A30" s="3">
        <v>37377</v>
      </c>
      <c r="B30" s="3">
        <v>37377</v>
      </c>
      <c r="C30">
        <v>141.93671854909837</v>
      </c>
      <c r="T30"/>
      <c r="U30"/>
      <c r="V30"/>
      <c r="W30"/>
      <c r="X30"/>
      <c r="Y30"/>
      <c r="Z30"/>
      <c r="AA30"/>
      <c r="AB30">
        <v>570</v>
      </c>
      <c r="AC30">
        <v>2792</v>
      </c>
      <c r="AD30">
        <v>855.5</v>
      </c>
      <c r="AE30">
        <v>590.29999999999995</v>
      </c>
      <c r="AF30">
        <v>117.27033305445033</v>
      </c>
      <c r="AG30">
        <v>112.9057921965198</v>
      </c>
      <c r="AH30">
        <v>121.84909008718682</v>
      </c>
      <c r="AI30">
        <v>110.58233320466542</v>
      </c>
      <c r="AJ30"/>
      <c r="AK30">
        <v>156787</v>
      </c>
      <c r="AL30">
        <v>212694</v>
      </c>
      <c r="AM30">
        <v>350423</v>
      </c>
      <c r="AN30">
        <v>602079</v>
      </c>
      <c r="AO30"/>
      <c r="AP30">
        <v>8</v>
      </c>
      <c r="AQ30"/>
      <c r="AR30"/>
      <c r="AS30"/>
      <c r="AT30"/>
      <c r="AU30"/>
      <c r="AV30"/>
      <c r="AW30">
        <v>510143</v>
      </c>
      <c r="AX30">
        <v>37669</v>
      </c>
      <c r="AY30">
        <v>14.6</v>
      </c>
      <c r="AZ30">
        <v>2.7</v>
      </c>
      <c r="BA30"/>
      <c r="BB30">
        <v>94.854203107842636</v>
      </c>
      <c r="BC30">
        <v>101.50659912045793</v>
      </c>
      <c r="BD30">
        <v>152.89741935483872</v>
      </c>
      <c r="BE30">
        <v>0.91790322580645167</v>
      </c>
      <c r="BF30">
        <v>25.739032258064515</v>
      </c>
      <c r="BG30">
        <v>73.132258064516137</v>
      </c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</row>
    <row r="31" spans="1:83">
      <c r="A31" s="3">
        <v>37408</v>
      </c>
      <c r="B31" s="3">
        <v>37408</v>
      </c>
      <c r="C31">
        <v>141.65284511200016</v>
      </c>
      <c r="T31"/>
      <c r="U31"/>
      <c r="V31"/>
      <c r="W31"/>
      <c r="X31"/>
      <c r="Y31"/>
      <c r="Z31"/>
      <c r="AA31"/>
      <c r="AB31">
        <v>556</v>
      </c>
      <c r="AC31">
        <v>2836</v>
      </c>
      <c r="AD31">
        <v>650.20000000000005</v>
      </c>
      <c r="AE31">
        <v>608.5</v>
      </c>
      <c r="AF31">
        <v>117.85668471972257</v>
      </c>
      <c r="AG31">
        <v>114.26066170287802</v>
      </c>
      <c r="AH31">
        <v>122.09278826736119</v>
      </c>
      <c r="AI31">
        <v>110.9140802042794</v>
      </c>
      <c r="AJ31"/>
      <c r="AK31">
        <v>174258</v>
      </c>
      <c r="AL31">
        <v>221339</v>
      </c>
      <c r="AM31">
        <v>364286</v>
      </c>
      <c r="AN31">
        <v>615729</v>
      </c>
      <c r="AO31"/>
      <c r="AP31">
        <v>8</v>
      </c>
      <c r="AQ31"/>
      <c r="AR31"/>
      <c r="AS31"/>
      <c r="AT31"/>
      <c r="AU31"/>
      <c r="AV31"/>
      <c r="AW31">
        <v>512008</v>
      </c>
      <c r="AX31">
        <v>40114</v>
      </c>
      <c r="AY31">
        <v>15.2</v>
      </c>
      <c r="AZ31">
        <v>2.5</v>
      </c>
      <c r="BA31"/>
      <c r="BB31">
        <v>93.745140987957697</v>
      </c>
      <c r="BC31">
        <v>100.33403186306829</v>
      </c>
      <c r="BD31">
        <v>153.08666666666667</v>
      </c>
      <c r="BE31">
        <v>0.95706333333333338</v>
      </c>
      <c r="BF31">
        <v>24.649000000000001</v>
      </c>
      <c r="BG31">
        <v>76.391666666666666</v>
      </c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</row>
    <row r="32" spans="1:83">
      <c r="A32" s="3">
        <v>37438</v>
      </c>
      <c r="B32" s="3">
        <v>37438</v>
      </c>
      <c r="C32">
        <v>148.45218167737616</v>
      </c>
      <c r="T32"/>
      <c r="U32"/>
      <c r="V32"/>
      <c r="W32"/>
      <c r="X32"/>
      <c r="Y32"/>
      <c r="Z32"/>
      <c r="AA32"/>
      <c r="AB32">
        <v>538</v>
      </c>
      <c r="AC32">
        <v>2881</v>
      </c>
      <c r="AD32">
        <v>1003.1</v>
      </c>
      <c r="AE32">
        <v>586.1</v>
      </c>
      <c r="AF32">
        <v>118.56382482804091</v>
      </c>
      <c r="AG32">
        <v>114.4891830262838</v>
      </c>
      <c r="AH32">
        <v>122.82534499696536</v>
      </c>
      <c r="AI32">
        <v>111.80139284591361</v>
      </c>
      <c r="AJ32"/>
      <c r="AK32">
        <v>173083</v>
      </c>
      <c r="AL32">
        <v>226896</v>
      </c>
      <c r="AM32">
        <v>389855</v>
      </c>
      <c r="AN32">
        <v>634204</v>
      </c>
      <c r="AO32"/>
      <c r="AP32">
        <v>8</v>
      </c>
      <c r="AQ32"/>
      <c r="AR32"/>
      <c r="AS32"/>
      <c r="AT32"/>
      <c r="AU32"/>
      <c r="AV32"/>
      <c r="AW32">
        <v>521040</v>
      </c>
      <c r="AX32">
        <v>43158</v>
      </c>
      <c r="AY32">
        <v>20.2</v>
      </c>
      <c r="AZ32">
        <v>2.5</v>
      </c>
      <c r="BA32"/>
      <c r="BB32">
        <v>92.453126271315256</v>
      </c>
      <c r="BC32">
        <v>98.894212939263767</v>
      </c>
      <c r="BD32">
        <v>153.50322580645161</v>
      </c>
      <c r="BE32">
        <v>0.99220645161290322</v>
      </c>
      <c r="BF32">
        <v>25.731612903225805</v>
      </c>
      <c r="BG32">
        <v>72.490322580645156</v>
      </c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</row>
    <row r="33" spans="1:83">
      <c r="A33" s="3">
        <v>37469</v>
      </c>
      <c r="B33" s="3">
        <v>37469</v>
      </c>
      <c r="C33">
        <v>152.16348621931056</v>
      </c>
      <c r="T33"/>
      <c r="U33"/>
      <c r="V33"/>
      <c r="W33"/>
      <c r="X33"/>
      <c r="Y33"/>
      <c r="Z33"/>
      <c r="AA33"/>
      <c r="AB33">
        <v>547</v>
      </c>
      <c r="AC33">
        <v>3054</v>
      </c>
      <c r="AD33">
        <v>723</v>
      </c>
      <c r="AE33">
        <v>581.70000000000005</v>
      </c>
      <c r="AF33">
        <v>118.2081333535568</v>
      </c>
      <c r="AG33">
        <v>114.60367220931008</v>
      </c>
      <c r="AH33">
        <v>122.08839292698357</v>
      </c>
      <c r="AI33">
        <v>111.91319423875954</v>
      </c>
      <c r="AJ33"/>
      <c r="AK33">
        <v>179166</v>
      </c>
      <c r="AL33">
        <v>239041</v>
      </c>
      <c r="AM33">
        <v>395426</v>
      </c>
      <c r="AN33">
        <v>639726</v>
      </c>
      <c r="AO33"/>
      <c r="AP33">
        <v>8</v>
      </c>
      <c r="AQ33"/>
      <c r="AR33"/>
      <c r="AS33"/>
      <c r="AT33"/>
      <c r="AU33"/>
      <c r="AV33"/>
      <c r="AW33">
        <v>530870</v>
      </c>
      <c r="AX33">
        <v>46085</v>
      </c>
      <c r="AY33">
        <v>15.3</v>
      </c>
      <c r="AZ33">
        <v>2.4</v>
      </c>
      <c r="BA33"/>
      <c r="BB33">
        <v>92.44518591695639</v>
      </c>
      <c r="BC33">
        <v>99.12961170735133</v>
      </c>
      <c r="BD33">
        <v>154.06612903225806</v>
      </c>
      <c r="BE33">
        <v>0.97821612903225807</v>
      </c>
      <c r="BF33">
        <v>26.360967741935482</v>
      </c>
      <c r="BG33">
        <v>68.014516129032259</v>
      </c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</row>
    <row r="34" spans="1:83">
      <c r="A34" s="3">
        <v>37500</v>
      </c>
      <c r="B34" s="3">
        <v>37500</v>
      </c>
      <c r="C34">
        <v>152.46781319174914</v>
      </c>
      <c r="T34"/>
      <c r="U34"/>
      <c r="V34"/>
      <c r="W34"/>
      <c r="X34"/>
      <c r="Y34"/>
      <c r="Z34"/>
      <c r="AA34"/>
      <c r="AB34">
        <v>562</v>
      </c>
      <c r="AC34">
        <v>3133</v>
      </c>
      <c r="AD34">
        <v>1038.5</v>
      </c>
      <c r="AE34">
        <v>532.29999999999995</v>
      </c>
      <c r="AF34">
        <v>118.32634148691035</v>
      </c>
      <c r="AG34">
        <v>114.8328795537287</v>
      </c>
      <c r="AH34">
        <v>121.96630453405662</v>
      </c>
      <c r="AI34">
        <v>112.2489338214758</v>
      </c>
      <c r="AJ34"/>
      <c r="AK34">
        <v>183732</v>
      </c>
      <c r="AL34">
        <v>243626</v>
      </c>
      <c r="AM34">
        <v>419268</v>
      </c>
      <c r="AN34">
        <v>671735</v>
      </c>
      <c r="AO34"/>
      <c r="AP34">
        <v>8</v>
      </c>
      <c r="AQ34"/>
      <c r="AR34"/>
      <c r="AS34"/>
      <c r="AT34"/>
      <c r="AU34"/>
      <c r="AV34"/>
      <c r="AW34">
        <v>539590</v>
      </c>
      <c r="AX34">
        <v>49151</v>
      </c>
      <c r="AY34">
        <v>15.5</v>
      </c>
      <c r="AZ34">
        <v>2.1</v>
      </c>
      <c r="BA34"/>
      <c r="BB34">
        <v>91.872392405955566</v>
      </c>
      <c r="BC34">
        <v>98.877473714508753</v>
      </c>
      <c r="BD34">
        <v>154.44799999999998</v>
      </c>
      <c r="BE34">
        <v>0.98064666666666667</v>
      </c>
      <c r="BF34">
        <v>28.312999999999999</v>
      </c>
      <c r="BG34">
        <v>67.811666666666667</v>
      </c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</row>
    <row r="35" spans="1:83">
      <c r="A35" s="3">
        <v>37530</v>
      </c>
      <c r="B35" s="3">
        <v>37530</v>
      </c>
      <c r="C35">
        <v>163.44549574155511</v>
      </c>
      <c r="T35"/>
      <c r="U35"/>
      <c r="V35"/>
      <c r="W35"/>
      <c r="X35"/>
      <c r="Y35"/>
      <c r="Z35"/>
      <c r="AA35"/>
      <c r="AB35">
        <v>554</v>
      </c>
      <c r="AC35">
        <v>3086</v>
      </c>
      <c r="AD35">
        <v>853.6</v>
      </c>
      <c r="AE35">
        <v>504.6</v>
      </c>
      <c r="AF35">
        <v>119.03629953583179</v>
      </c>
      <c r="AG35">
        <v>115.86637546971225</v>
      </c>
      <c r="AH35">
        <v>122.33220344765878</v>
      </c>
      <c r="AI35">
        <v>113.14692529204761</v>
      </c>
      <c r="AJ35"/>
      <c r="AK35">
        <v>192015</v>
      </c>
      <c r="AL35">
        <v>252715</v>
      </c>
      <c r="AM35">
        <v>446155</v>
      </c>
      <c r="AN35">
        <v>705723</v>
      </c>
      <c r="AO35"/>
      <c r="AP35">
        <v>8</v>
      </c>
      <c r="AQ35"/>
      <c r="AR35"/>
      <c r="AS35"/>
      <c r="AT35"/>
      <c r="AU35"/>
      <c r="AV35"/>
      <c r="AW35">
        <v>568440</v>
      </c>
      <c r="AX35">
        <v>52208</v>
      </c>
      <c r="AY35">
        <v>16.2</v>
      </c>
      <c r="AZ35">
        <v>2.2000000000000002</v>
      </c>
      <c r="BA35"/>
      <c r="BB35">
        <v>92.024752959372776</v>
      </c>
      <c r="BC35">
        <v>99.022539470074577</v>
      </c>
      <c r="BD35">
        <v>154.4</v>
      </c>
      <c r="BE35">
        <v>0.98072580645161289</v>
      </c>
      <c r="BF35">
        <v>27.356774193548386</v>
      </c>
      <c r="BG35">
        <v>68.685483870967744</v>
      </c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</row>
    <row r="36" spans="1:83">
      <c r="A36" s="3">
        <v>37561</v>
      </c>
      <c r="B36" s="3">
        <v>37561</v>
      </c>
      <c r="C36">
        <v>164.09927772452136</v>
      </c>
      <c r="T36"/>
      <c r="U36"/>
      <c r="V36"/>
      <c r="W36"/>
      <c r="X36"/>
      <c r="Y36"/>
      <c r="Z36"/>
      <c r="AA36"/>
      <c r="AB36">
        <v>558</v>
      </c>
      <c r="AC36">
        <v>3006</v>
      </c>
      <c r="AD36">
        <v>1058.5</v>
      </c>
      <c r="AE36">
        <v>630.79999999999995</v>
      </c>
      <c r="AF36">
        <v>120.2266625311901</v>
      </c>
      <c r="AG36">
        <v>116.90917284893968</v>
      </c>
      <c r="AH36">
        <v>123.8001898890307</v>
      </c>
      <c r="AI36">
        <v>113.71265991850785</v>
      </c>
      <c r="AJ36"/>
      <c r="AK36">
        <v>187461</v>
      </c>
      <c r="AL36">
        <v>253642</v>
      </c>
      <c r="AM36">
        <v>442830</v>
      </c>
      <c r="AN36">
        <v>694716</v>
      </c>
      <c r="AO36"/>
      <c r="AP36">
        <v>7.5</v>
      </c>
      <c r="AQ36"/>
      <c r="AR36"/>
      <c r="AS36"/>
      <c r="AT36"/>
      <c r="AU36"/>
      <c r="AV36"/>
      <c r="AW36">
        <v>604339</v>
      </c>
      <c r="AX36">
        <v>54938</v>
      </c>
      <c r="AY36">
        <v>14.1</v>
      </c>
      <c r="AZ36">
        <v>3.5</v>
      </c>
      <c r="BA36"/>
      <c r="BB36">
        <v>91.57196508083841</v>
      </c>
      <c r="BC36">
        <v>98.406442706911818</v>
      </c>
      <c r="BD36">
        <v>154.30833333333334</v>
      </c>
      <c r="BE36">
        <v>1.0023633333333333</v>
      </c>
      <c r="BF36">
        <v>24.327000000000002</v>
      </c>
      <c r="BG36">
        <v>72.861666666666665</v>
      </c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</row>
    <row r="37" spans="1:83">
      <c r="A37" s="3">
        <v>37591</v>
      </c>
      <c r="B37" s="3">
        <v>37591</v>
      </c>
      <c r="C37">
        <v>174.27343294344169</v>
      </c>
      <c r="T37"/>
      <c r="U37"/>
      <c r="V37"/>
      <c r="W37"/>
      <c r="X37"/>
      <c r="Y37"/>
      <c r="Z37"/>
      <c r="AA37"/>
      <c r="AB37">
        <v>586</v>
      </c>
      <c r="AC37">
        <v>3141</v>
      </c>
      <c r="AD37">
        <v>978.4</v>
      </c>
      <c r="AE37">
        <v>556.6</v>
      </c>
      <c r="AF37">
        <v>121.90983580662676</v>
      </c>
      <c r="AG37">
        <v>117.84444623173118</v>
      </c>
      <c r="AH37">
        <v>126.6475942564784</v>
      </c>
      <c r="AI37">
        <v>114.05379789826335</v>
      </c>
      <c r="AJ37"/>
      <c r="AK37">
        <v>208171</v>
      </c>
      <c r="AL37">
        <v>287293</v>
      </c>
      <c r="AM37">
        <v>498071</v>
      </c>
      <c r="AN37">
        <v>764954</v>
      </c>
      <c r="AO37"/>
      <c r="AP37">
        <v>7.5</v>
      </c>
      <c r="AQ37"/>
      <c r="AR37"/>
      <c r="AS37"/>
      <c r="AT37"/>
      <c r="AU37"/>
      <c r="AV37"/>
      <c r="AW37">
        <v>613793</v>
      </c>
      <c r="AX37">
        <v>58614</v>
      </c>
      <c r="AY37">
        <v>14.4</v>
      </c>
      <c r="AZ37">
        <v>3.6</v>
      </c>
      <c r="BA37"/>
      <c r="BB37">
        <v>91.025718381557098</v>
      </c>
      <c r="BC37">
        <v>97.361104631591189</v>
      </c>
      <c r="BD37">
        <v>155.08064516129033</v>
      </c>
      <c r="BE37">
        <v>1.021925806451613</v>
      </c>
      <c r="BF37">
        <v>27.622580645161289</v>
      </c>
      <c r="BG37">
        <v>72.298387096774192</v>
      </c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</row>
    <row r="38" spans="1:83">
      <c r="A38" s="3">
        <v>37622</v>
      </c>
      <c r="B38" s="3">
        <v>37622</v>
      </c>
      <c r="C38">
        <v>161.20292547268355</v>
      </c>
      <c r="T38"/>
      <c r="U38"/>
      <c r="V38"/>
      <c r="W38"/>
      <c r="X38"/>
      <c r="Y38"/>
      <c r="Z38"/>
      <c r="AA38"/>
      <c r="AB38">
        <v>627</v>
      </c>
      <c r="AC38">
        <v>3579</v>
      </c>
      <c r="AD38">
        <v>966</v>
      </c>
      <c r="AE38">
        <v>549.5</v>
      </c>
      <c r="AF38">
        <v>123.12893416469302</v>
      </c>
      <c r="AG38">
        <v>118.31582401665813</v>
      </c>
      <c r="AH38">
        <v>128.42066057606908</v>
      </c>
      <c r="AI38">
        <v>114.73812068565292</v>
      </c>
      <c r="AJ38">
        <v>100</v>
      </c>
      <c r="AK38">
        <v>186926</v>
      </c>
      <c r="AL38">
        <v>255430</v>
      </c>
      <c r="AM38">
        <v>441962</v>
      </c>
      <c r="AN38">
        <v>725019</v>
      </c>
      <c r="AO38"/>
      <c r="AP38">
        <v>7.5</v>
      </c>
      <c r="AQ38"/>
      <c r="AR38"/>
      <c r="AS38"/>
      <c r="AT38"/>
      <c r="AU38"/>
      <c r="AV38"/>
      <c r="AW38">
        <v>636786</v>
      </c>
      <c r="AX38">
        <v>59495</v>
      </c>
      <c r="AY38">
        <v>15.8</v>
      </c>
      <c r="AZ38">
        <v>5.5</v>
      </c>
      <c r="BA38"/>
      <c r="BB38">
        <v>89.060128285047966</v>
      </c>
      <c r="BC38">
        <v>95.741651242858097</v>
      </c>
      <c r="BD38">
        <v>155.50290322580645</v>
      </c>
      <c r="BE38">
        <v>1.0628451612903227</v>
      </c>
      <c r="BF38">
        <v>30.29225806451613</v>
      </c>
      <c r="BG38">
        <v>75.404838709677421</v>
      </c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</row>
    <row r="39" spans="1:83">
      <c r="A39" s="3">
        <v>37653</v>
      </c>
      <c r="B39" s="3">
        <v>37653</v>
      </c>
      <c r="C39">
        <v>153.62638797546742</v>
      </c>
      <c r="T39"/>
      <c r="U39"/>
      <c r="V39"/>
      <c r="W39"/>
      <c r="X39"/>
      <c r="Y39"/>
      <c r="Z39"/>
      <c r="AA39"/>
      <c r="AB39">
        <v>583</v>
      </c>
      <c r="AC39">
        <v>3881</v>
      </c>
      <c r="AD39">
        <v>1129.7</v>
      </c>
      <c r="AE39">
        <v>482.9</v>
      </c>
      <c r="AF39">
        <v>123.74457883551648</v>
      </c>
      <c r="AG39">
        <v>118.55245566469144</v>
      </c>
      <c r="AH39">
        <v>129.44802586067763</v>
      </c>
      <c r="AI39">
        <v>114.96759692702423</v>
      </c>
      <c r="AJ39">
        <v>100.2</v>
      </c>
      <c r="AK39">
        <v>200380</v>
      </c>
      <c r="AL39">
        <v>276729</v>
      </c>
      <c r="AM39">
        <v>484256</v>
      </c>
      <c r="AN39">
        <v>772479</v>
      </c>
      <c r="AO39"/>
      <c r="AP39">
        <v>7.5</v>
      </c>
      <c r="AQ39"/>
      <c r="AR39"/>
      <c r="AS39"/>
      <c r="AT39"/>
      <c r="AU39"/>
      <c r="AV39"/>
      <c r="AW39">
        <v>643876</v>
      </c>
      <c r="AX39">
        <v>60790</v>
      </c>
      <c r="AY39">
        <v>15.7</v>
      </c>
      <c r="AZ39">
        <v>5.4</v>
      </c>
      <c r="BA39"/>
      <c r="BB39">
        <v>88.991831668685094</v>
      </c>
      <c r="BC39">
        <v>96.198070900717653</v>
      </c>
      <c r="BD39">
        <v>152.91535714285715</v>
      </c>
      <c r="BE39">
        <v>1.0781035714285714</v>
      </c>
      <c r="BF39">
        <v>32.141785714285717</v>
      </c>
      <c r="BG39">
        <v>77.087500000000006</v>
      </c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</row>
    <row r="40" spans="1:83">
      <c r="A40" s="3">
        <v>37681</v>
      </c>
      <c r="B40" s="3">
        <v>37681</v>
      </c>
      <c r="C40">
        <v>164.22660874577468</v>
      </c>
      <c r="T40"/>
      <c r="U40"/>
      <c r="V40"/>
      <c r="W40"/>
      <c r="X40"/>
      <c r="Y40"/>
      <c r="Z40"/>
      <c r="AA40"/>
      <c r="AB40">
        <v>568</v>
      </c>
      <c r="AC40">
        <v>3923</v>
      </c>
      <c r="AD40">
        <v>1026.7</v>
      </c>
      <c r="AE40">
        <v>632.4</v>
      </c>
      <c r="AF40">
        <v>124.11581257202305</v>
      </c>
      <c r="AG40">
        <v>119.1452179430149</v>
      </c>
      <c r="AH40">
        <v>129.706921912399</v>
      </c>
      <c r="AI40">
        <v>115.19753212087829</v>
      </c>
      <c r="AJ40">
        <v>100.30019999999999</v>
      </c>
      <c r="AK40">
        <v>205995</v>
      </c>
      <c r="AL40">
        <v>294907</v>
      </c>
      <c r="AM40">
        <v>524631</v>
      </c>
      <c r="AN40">
        <v>793018</v>
      </c>
      <c r="AO40"/>
      <c r="AP40">
        <v>7.5</v>
      </c>
      <c r="AQ40"/>
      <c r="AR40"/>
      <c r="AS40"/>
      <c r="AT40"/>
      <c r="AU40"/>
      <c r="AV40"/>
      <c r="AW40">
        <v>632166</v>
      </c>
      <c r="AX40">
        <v>64487</v>
      </c>
      <c r="AY40">
        <v>16.899999999999999</v>
      </c>
      <c r="AZ40">
        <v>5</v>
      </c>
      <c r="BA40"/>
      <c r="BB40">
        <v>89.945202924418737</v>
      </c>
      <c r="BC40">
        <v>97.590742629979559</v>
      </c>
      <c r="BD40">
        <v>150.71935483870968</v>
      </c>
      <c r="BE40">
        <v>1.0789387096774194</v>
      </c>
      <c r="BF40">
        <v>29.635806451612904</v>
      </c>
      <c r="BG40">
        <v>75.793548387096777</v>
      </c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</row>
    <row r="41" spans="1:83">
      <c r="A41" s="3">
        <v>37712</v>
      </c>
      <c r="B41" s="3">
        <v>37712</v>
      </c>
      <c r="C41">
        <v>158.3144508309268</v>
      </c>
      <c r="T41"/>
      <c r="U41"/>
      <c r="V41"/>
      <c r="W41"/>
      <c r="X41"/>
      <c r="Y41"/>
      <c r="Z41"/>
      <c r="AA41"/>
      <c r="AB41">
        <v>570</v>
      </c>
      <c r="AC41">
        <v>4069</v>
      </c>
      <c r="AD41">
        <v>813.6</v>
      </c>
      <c r="AE41">
        <v>643.5</v>
      </c>
      <c r="AF41">
        <v>124.61227582231116</v>
      </c>
      <c r="AG41">
        <v>119.2643631609579</v>
      </c>
      <c r="AH41">
        <v>130.2257496000486</v>
      </c>
      <c r="AI41">
        <v>116.00391484572445</v>
      </c>
      <c r="AJ41">
        <v>100.50080039999999</v>
      </c>
      <c r="AK41">
        <v>214458</v>
      </c>
      <c r="AL41">
        <v>307294</v>
      </c>
      <c r="AM41">
        <v>533893</v>
      </c>
      <c r="AN41">
        <v>816507</v>
      </c>
      <c r="AO41"/>
      <c r="AP41">
        <v>7.5</v>
      </c>
      <c r="AQ41"/>
      <c r="AR41"/>
      <c r="AS41"/>
      <c r="AT41"/>
      <c r="AU41"/>
      <c r="AV41"/>
      <c r="AW41">
        <v>666167</v>
      </c>
      <c r="AX41">
        <v>70610</v>
      </c>
      <c r="AY41">
        <v>15</v>
      </c>
      <c r="AZ41">
        <v>4.7</v>
      </c>
      <c r="BA41"/>
      <c r="BB41">
        <v>89.385629972294097</v>
      </c>
      <c r="BC41">
        <v>97.080622563668513</v>
      </c>
      <c r="BD41">
        <v>151.20033333333333</v>
      </c>
      <c r="BE41">
        <v>1.0869766666666667</v>
      </c>
      <c r="BF41">
        <v>24.854333333333333</v>
      </c>
      <c r="BG41">
        <v>72.36666666666666</v>
      </c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</row>
    <row r="42" spans="1:83">
      <c r="A42" s="3">
        <v>37742</v>
      </c>
      <c r="B42" s="3">
        <v>37742</v>
      </c>
      <c r="C42">
        <v>158.7893941834196</v>
      </c>
      <c r="T42"/>
      <c r="U42"/>
      <c r="V42"/>
      <c r="W42"/>
      <c r="X42"/>
      <c r="Y42"/>
      <c r="Z42"/>
      <c r="AA42"/>
      <c r="AB42">
        <v>623</v>
      </c>
      <c r="AC42">
        <v>4457</v>
      </c>
      <c r="AD42">
        <v>1018.2</v>
      </c>
      <c r="AE42">
        <v>762.9</v>
      </c>
      <c r="AF42">
        <v>124.73688809813346</v>
      </c>
      <c r="AG42">
        <v>119.14509879779693</v>
      </c>
      <c r="AH42">
        <v>130.35597534964865</v>
      </c>
      <c r="AI42">
        <v>116.23592267541592</v>
      </c>
      <c r="AJ42">
        <v>100.60130120039997</v>
      </c>
      <c r="AK42">
        <v>218828</v>
      </c>
      <c r="AL42">
        <v>325559</v>
      </c>
      <c r="AM42">
        <v>568857</v>
      </c>
      <c r="AN42">
        <v>853347</v>
      </c>
      <c r="AO42"/>
      <c r="AP42">
        <v>7.5</v>
      </c>
      <c r="AQ42"/>
      <c r="AR42"/>
      <c r="AS42"/>
      <c r="AT42"/>
      <c r="AU42"/>
      <c r="AV42"/>
      <c r="AW42">
        <v>694102</v>
      </c>
      <c r="AX42">
        <v>76093</v>
      </c>
      <c r="AY42">
        <v>15.4</v>
      </c>
      <c r="AZ42">
        <v>4.9000000000000004</v>
      </c>
      <c r="BA42"/>
      <c r="BB42">
        <v>86.738115231567804</v>
      </c>
      <c r="BC42">
        <v>94.812949289544505</v>
      </c>
      <c r="BD42">
        <v>150.4548387096774</v>
      </c>
      <c r="BE42">
        <v>1.1575774193548387</v>
      </c>
      <c r="BF42">
        <v>25.390322580645162</v>
      </c>
      <c r="BG42">
        <v>75.006451612903234</v>
      </c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</row>
    <row r="43" spans="1:83">
      <c r="A43" s="3">
        <v>37773</v>
      </c>
      <c r="B43" s="3">
        <v>37773</v>
      </c>
      <c r="C43">
        <v>157.83665781831905</v>
      </c>
      <c r="T43"/>
      <c r="U43"/>
      <c r="V43"/>
      <c r="W43"/>
      <c r="X43"/>
      <c r="Y43"/>
      <c r="Z43"/>
      <c r="AA43"/>
      <c r="AB43">
        <v>790</v>
      </c>
      <c r="AC43">
        <v>4494</v>
      </c>
      <c r="AD43">
        <v>1133</v>
      </c>
      <c r="AE43">
        <v>611</v>
      </c>
      <c r="AF43">
        <v>124.86162498623156</v>
      </c>
      <c r="AG43">
        <v>119.38338899539254</v>
      </c>
      <c r="AH43">
        <v>130.35597534964865</v>
      </c>
      <c r="AI43">
        <v>116.46839452076676</v>
      </c>
      <c r="AJ43">
        <v>100.80250380280077</v>
      </c>
      <c r="AK43">
        <v>254077</v>
      </c>
      <c r="AL43">
        <v>362465</v>
      </c>
      <c r="AM43">
        <v>620186</v>
      </c>
      <c r="AN43">
        <v>892320</v>
      </c>
      <c r="AO43"/>
      <c r="AP43">
        <v>7.5</v>
      </c>
      <c r="AQ43"/>
      <c r="AR43"/>
      <c r="AS43"/>
      <c r="AT43"/>
      <c r="AU43"/>
      <c r="AV43"/>
      <c r="AW43">
        <v>700114</v>
      </c>
      <c r="AX43">
        <v>81691</v>
      </c>
      <c r="AY43">
        <v>16.100000000000001</v>
      </c>
      <c r="AZ43">
        <v>5.8</v>
      </c>
      <c r="BA43"/>
      <c r="BB43">
        <v>87.062936269007935</v>
      </c>
      <c r="BC43">
        <v>95.297905456161089</v>
      </c>
      <c r="BD43">
        <v>148.74633333333333</v>
      </c>
      <c r="BE43">
        <v>1.1669100000000001</v>
      </c>
      <c r="BF43">
        <v>27.283333333333335</v>
      </c>
      <c r="BG43">
        <v>77.053333333333327</v>
      </c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</row>
    <row r="44" spans="1:83">
      <c r="A44" s="3">
        <v>37803</v>
      </c>
      <c r="B44" s="3">
        <v>37803</v>
      </c>
      <c r="C44">
        <v>157.04747452922746</v>
      </c>
      <c r="T44"/>
      <c r="U44"/>
      <c r="V44"/>
      <c r="W44"/>
      <c r="X44"/>
      <c r="Y44"/>
      <c r="Z44"/>
      <c r="AA44"/>
      <c r="AB44">
        <v>604</v>
      </c>
      <c r="AC44">
        <v>4701</v>
      </c>
      <c r="AD44">
        <v>1020.5</v>
      </c>
      <c r="AE44">
        <v>643.70000000000005</v>
      </c>
      <c r="AF44">
        <v>124.86162498623156</v>
      </c>
      <c r="AG44">
        <v>120.33845610735567</v>
      </c>
      <c r="AH44">
        <v>129.70419547290041</v>
      </c>
      <c r="AI44">
        <v>116.58486291528752</v>
      </c>
      <c r="AJ44">
        <v>100.90330630660357</v>
      </c>
      <c r="AK44">
        <v>257220</v>
      </c>
      <c r="AL44">
        <v>370584</v>
      </c>
      <c r="AM44">
        <v>640074</v>
      </c>
      <c r="AN44">
        <v>906156</v>
      </c>
      <c r="AO44"/>
      <c r="AP44">
        <v>7</v>
      </c>
      <c r="AQ44"/>
      <c r="AR44"/>
      <c r="AS44"/>
      <c r="AT44"/>
      <c r="AU44"/>
      <c r="AV44"/>
      <c r="AW44">
        <v>708882</v>
      </c>
      <c r="AX44">
        <v>88340</v>
      </c>
      <c r="AY44">
        <v>15.8</v>
      </c>
      <c r="AZ44">
        <v>5.4</v>
      </c>
      <c r="BA44"/>
      <c r="BB44">
        <v>89.175549630675107</v>
      </c>
      <c r="BC44">
        <v>97.49658547510343</v>
      </c>
      <c r="BD44">
        <v>146.79483870967744</v>
      </c>
      <c r="BE44">
        <v>1.1377290322580644</v>
      </c>
      <c r="BF44">
        <v>28.394838709677419</v>
      </c>
      <c r="BG44">
        <v>77.817741935483866</v>
      </c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</row>
    <row r="45" spans="1:83">
      <c r="A45" s="3">
        <v>37834</v>
      </c>
      <c r="B45" s="3">
        <v>37834</v>
      </c>
      <c r="C45">
        <v>160.0313765452828</v>
      </c>
      <c r="T45"/>
      <c r="U45"/>
      <c r="V45"/>
      <c r="W45"/>
      <c r="X45"/>
      <c r="Y45"/>
      <c r="Z45"/>
      <c r="AA45"/>
      <c r="AB45">
        <v>633</v>
      </c>
      <c r="AC45">
        <v>4579</v>
      </c>
      <c r="AD45">
        <v>963.6</v>
      </c>
      <c r="AE45">
        <v>697.9</v>
      </c>
      <c r="AF45">
        <v>125.11134823620405</v>
      </c>
      <c r="AG45">
        <v>122.143532948966</v>
      </c>
      <c r="AH45">
        <v>129.0556744955359</v>
      </c>
      <c r="AI45">
        <v>116.93461750403335</v>
      </c>
      <c r="AJ45">
        <v>101.10511291921678</v>
      </c>
      <c r="AK45">
        <v>259970</v>
      </c>
      <c r="AL45">
        <v>375752</v>
      </c>
      <c r="AM45">
        <v>637244</v>
      </c>
      <c r="AN45">
        <v>911109</v>
      </c>
      <c r="AO45"/>
      <c r="AP45">
        <v>7</v>
      </c>
      <c r="AQ45"/>
      <c r="AR45"/>
      <c r="AS45"/>
      <c r="AT45"/>
      <c r="AU45"/>
      <c r="AV45"/>
      <c r="AW45">
        <v>729060</v>
      </c>
      <c r="AX45">
        <v>96652</v>
      </c>
      <c r="AY45">
        <v>15.5</v>
      </c>
      <c r="AZ45">
        <v>3</v>
      </c>
      <c r="BA45"/>
      <c r="BB45">
        <v>90.259540382844932</v>
      </c>
      <c r="BC45">
        <v>98.308184698316552</v>
      </c>
      <c r="BD45">
        <v>146.77516129032259</v>
      </c>
      <c r="BE45">
        <v>1.1150129032258065</v>
      </c>
      <c r="BF45">
        <v>29.500645161290322</v>
      </c>
      <c r="BG45">
        <v>80.193548387096769</v>
      </c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</row>
    <row r="46" spans="1:83">
      <c r="A46" s="3">
        <v>37865</v>
      </c>
      <c r="B46" s="3">
        <v>37865</v>
      </c>
      <c r="C46">
        <v>160.35143929837338</v>
      </c>
      <c r="T46"/>
      <c r="U46"/>
      <c r="V46"/>
      <c r="W46"/>
      <c r="X46"/>
      <c r="Y46"/>
      <c r="Z46"/>
      <c r="AA46"/>
      <c r="AB46">
        <v>660</v>
      </c>
      <c r="AC46">
        <v>4930</v>
      </c>
      <c r="AD46">
        <v>1308.5</v>
      </c>
      <c r="AE46">
        <v>752.6</v>
      </c>
      <c r="AF46">
        <v>125.61179362914888</v>
      </c>
      <c r="AG46">
        <v>123.36496827845565</v>
      </c>
      <c r="AH46">
        <v>129.0556744955359</v>
      </c>
      <c r="AI46">
        <v>117.63622520905754</v>
      </c>
      <c r="AJ46">
        <v>101.71174359673208</v>
      </c>
      <c r="AK46">
        <v>294449</v>
      </c>
      <c r="AL46">
        <v>407353</v>
      </c>
      <c r="AM46">
        <v>683429</v>
      </c>
      <c r="AN46">
        <v>984875</v>
      </c>
      <c r="AO46"/>
      <c r="AP46">
        <v>7</v>
      </c>
      <c r="AQ46"/>
      <c r="AR46"/>
      <c r="AS46"/>
      <c r="AT46"/>
      <c r="AU46"/>
      <c r="AV46"/>
      <c r="AW46">
        <v>775267</v>
      </c>
      <c r="AX46">
        <v>104128</v>
      </c>
      <c r="AY46">
        <v>15.1</v>
      </c>
      <c r="AZ46">
        <v>4.5</v>
      </c>
      <c r="BA46"/>
      <c r="BB46">
        <v>89.476949829604294</v>
      </c>
      <c r="BC46">
        <v>97.569411023782536</v>
      </c>
      <c r="BD46">
        <v>148.02066666666667</v>
      </c>
      <c r="BE46">
        <v>1.1270733333333334</v>
      </c>
      <c r="BF46">
        <v>26.721333333333334</v>
      </c>
      <c r="BG46">
        <v>81.856666666666669</v>
      </c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</row>
    <row r="47" spans="1:83">
      <c r="A47" s="3">
        <v>37895</v>
      </c>
      <c r="B47" s="3">
        <v>37895</v>
      </c>
      <c r="C47">
        <v>177.18834042470257</v>
      </c>
      <c r="T47"/>
      <c r="U47"/>
      <c r="V47"/>
      <c r="W47"/>
      <c r="X47"/>
      <c r="Y47"/>
      <c r="Z47"/>
      <c r="AA47"/>
      <c r="AB47">
        <v>663</v>
      </c>
      <c r="AC47">
        <v>4753</v>
      </c>
      <c r="AD47">
        <v>1173.5</v>
      </c>
      <c r="AE47">
        <v>788.2</v>
      </c>
      <c r="AF47">
        <v>127.24474694632779</v>
      </c>
      <c r="AG47">
        <v>124.22852305640484</v>
      </c>
      <c r="AH47">
        <v>131.24962096196001</v>
      </c>
      <c r="AI47">
        <v>119.16549613677529</v>
      </c>
      <c r="AJ47">
        <v>103.03399626348958</v>
      </c>
      <c r="AK47">
        <v>294114</v>
      </c>
      <c r="AL47">
        <v>422702</v>
      </c>
      <c r="AM47">
        <v>705866</v>
      </c>
      <c r="AN47">
        <v>991048</v>
      </c>
      <c r="AO47"/>
      <c r="AP47">
        <v>7</v>
      </c>
      <c r="AQ47"/>
      <c r="AR47"/>
      <c r="AS47"/>
      <c r="AT47"/>
      <c r="AU47"/>
      <c r="AV47"/>
      <c r="AW47">
        <v>814493</v>
      </c>
      <c r="AX47">
        <v>109791</v>
      </c>
      <c r="AY47">
        <v>15.2</v>
      </c>
      <c r="AZ47">
        <v>4.5999999999999996</v>
      </c>
      <c r="BA47"/>
      <c r="BB47">
        <v>88.107309778318637</v>
      </c>
      <c r="BC47">
        <v>95.640103206485861</v>
      </c>
      <c r="BD47">
        <v>147.84677419354838</v>
      </c>
      <c r="BE47">
        <v>1.1703419354838709</v>
      </c>
      <c r="BF47">
        <v>29.05709677419355</v>
      </c>
      <c r="BG47">
        <v>88.085483870967735</v>
      </c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</row>
    <row r="48" spans="1:83">
      <c r="A48" s="3">
        <v>37926</v>
      </c>
      <c r="B48" s="3">
        <v>37926</v>
      </c>
      <c r="C48">
        <v>179.31460050979899</v>
      </c>
      <c r="T48"/>
      <c r="U48"/>
      <c r="V48"/>
      <c r="W48"/>
      <c r="X48"/>
      <c r="Y48"/>
      <c r="Z48"/>
      <c r="AA48"/>
      <c r="AB48">
        <v>689</v>
      </c>
      <c r="AC48">
        <v>4662</v>
      </c>
      <c r="AD48">
        <v>1039.2</v>
      </c>
      <c r="AE48">
        <v>838.2</v>
      </c>
      <c r="AF48">
        <v>129.28066289746903</v>
      </c>
      <c r="AG48">
        <v>125.71926533308171</v>
      </c>
      <c r="AH48">
        <v>133.74336376023726</v>
      </c>
      <c r="AI48">
        <v>120.5954820904166</v>
      </c>
      <c r="AJ48">
        <v>104.27040421865146</v>
      </c>
      <c r="AK48">
        <v>292333</v>
      </c>
      <c r="AL48">
        <v>420972</v>
      </c>
      <c r="AM48">
        <v>701251</v>
      </c>
      <c r="AN48">
        <v>985804</v>
      </c>
      <c r="AO48"/>
      <c r="AP48">
        <v>7</v>
      </c>
      <c r="AQ48"/>
      <c r="AR48"/>
      <c r="AS48"/>
      <c r="AT48"/>
      <c r="AU48"/>
      <c r="AV48"/>
      <c r="AW48">
        <v>833444</v>
      </c>
      <c r="AX48">
        <v>116099</v>
      </c>
      <c r="AY48">
        <v>14.9</v>
      </c>
      <c r="AZ48">
        <v>5.2</v>
      </c>
      <c r="BA48"/>
      <c r="BB48">
        <v>89.254164972968994</v>
      </c>
      <c r="BC48">
        <v>95.903128372379783</v>
      </c>
      <c r="BD48">
        <v>147.01166666666666</v>
      </c>
      <c r="BE48">
        <v>1.1731066666666667</v>
      </c>
      <c r="BF48">
        <v>28.803000000000001</v>
      </c>
      <c r="BG48">
        <v>92.588333333333338</v>
      </c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</row>
    <row r="49" spans="1:83">
      <c r="A49" s="3">
        <v>37956</v>
      </c>
      <c r="B49" s="3">
        <v>37956</v>
      </c>
      <c r="C49">
        <v>192.04593714599471</v>
      </c>
      <c r="T49"/>
      <c r="U49"/>
      <c r="V49"/>
      <c r="W49"/>
      <c r="X49"/>
      <c r="Y49"/>
      <c r="Z49"/>
      <c r="AA49"/>
      <c r="AB49">
        <v>726</v>
      </c>
      <c r="AC49">
        <v>4962</v>
      </c>
      <c r="AD49">
        <v>1308.4000000000001</v>
      </c>
      <c r="AE49">
        <v>924.6</v>
      </c>
      <c r="AF49">
        <v>130.44418886354626</v>
      </c>
      <c r="AG49">
        <v>126.09642312908093</v>
      </c>
      <c r="AH49">
        <v>135.74951421664082</v>
      </c>
      <c r="AI49">
        <v>121.07786401877827</v>
      </c>
      <c r="AJ49">
        <v>105.10456745240067</v>
      </c>
      <c r="AK49">
        <v>316962</v>
      </c>
      <c r="AL49">
        <v>412139</v>
      </c>
      <c r="AM49">
        <v>693381</v>
      </c>
      <c r="AN49">
        <v>971749</v>
      </c>
      <c r="AO49"/>
      <c r="AP49">
        <v>7</v>
      </c>
      <c r="AQ49"/>
      <c r="AR49"/>
      <c r="AS49"/>
      <c r="AT49"/>
      <c r="AU49"/>
      <c r="AV49"/>
      <c r="AW49">
        <v>856345</v>
      </c>
      <c r="AX49">
        <v>121783</v>
      </c>
      <c r="AY49">
        <v>15</v>
      </c>
      <c r="AZ49">
        <v>5.6</v>
      </c>
      <c r="BA49"/>
      <c r="BB49">
        <v>88.381008002828153</v>
      </c>
      <c r="BC49">
        <v>95.079543593749122</v>
      </c>
      <c r="BD49">
        <v>144.87741935483871</v>
      </c>
      <c r="BE49">
        <v>1.2314451612903226</v>
      </c>
      <c r="BF49">
        <v>29.565161290322582</v>
      </c>
      <c r="BG49">
        <v>100.05806451612904</v>
      </c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</row>
    <row r="50" spans="1:83">
      <c r="A50" s="3">
        <v>37987</v>
      </c>
      <c r="B50" s="3">
        <v>37987</v>
      </c>
      <c r="C50">
        <v>179.94704310579704</v>
      </c>
      <c r="T50"/>
      <c r="U50"/>
      <c r="V50"/>
      <c r="W50"/>
      <c r="X50"/>
      <c r="Y50"/>
      <c r="Z50"/>
      <c r="AA50"/>
      <c r="AB50">
        <v>701</v>
      </c>
      <c r="AC50">
        <v>5439</v>
      </c>
      <c r="AD50">
        <v>1402.3</v>
      </c>
      <c r="AE50">
        <v>783</v>
      </c>
      <c r="AF50">
        <v>131.35729818559108</v>
      </c>
      <c r="AG50">
        <v>126.22251955221</v>
      </c>
      <c r="AH50">
        <v>137.37850838724052</v>
      </c>
      <c r="AI50">
        <v>121.32001974681583</v>
      </c>
      <c r="AJ50">
        <v>105.73519485711508</v>
      </c>
      <c r="AK50">
        <v>298521</v>
      </c>
      <c r="AL50">
        <v>403279</v>
      </c>
      <c r="AM50">
        <v>700991</v>
      </c>
      <c r="AN50">
        <v>970542</v>
      </c>
      <c r="AO50"/>
      <c r="AP50">
        <v>7</v>
      </c>
      <c r="AQ50"/>
      <c r="AR50"/>
      <c r="AS50"/>
      <c r="AT50"/>
      <c r="AU50"/>
      <c r="AV50"/>
      <c r="AW50">
        <v>850629</v>
      </c>
      <c r="AX50">
        <v>123992</v>
      </c>
      <c r="AY50">
        <v>14.8</v>
      </c>
      <c r="AZ50">
        <v>6.3</v>
      </c>
      <c r="BA50"/>
      <c r="BB50">
        <v>89.084622247447612</v>
      </c>
      <c r="BC50">
        <v>96.042400835395085</v>
      </c>
      <c r="BD50">
        <v>141.29225806451612</v>
      </c>
      <c r="BE50">
        <v>1.2595967741935483</v>
      </c>
      <c r="BF50">
        <v>30.564838709677421</v>
      </c>
      <c r="BG50">
        <v>109.84354838709677</v>
      </c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</row>
    <row r="51" spans="1:83">
      <c r="A51" s="3">
        <v>38018</v>
      </c>
      <c r="B51" s="3">
        <v>38018</v>
      </c>
      <c r="C51">
        <v>170.94969095050718</v>
      </c>
      <c r="T51"/>
      <c r="U51"/>
      <c r="V51"/>
      <c r="W51"/>
      <c r="X51"/>
      <c r="Y51"/>
      <c r="Z51"/>
      <c r="AA51"/>
      <c r="AB51">
        <v>687</v>
      </c>
      <c r="AC51">
        <v>5545</v>
      </c>
      <c r="AD51">
        <v>1185.5</v>
      </c>
      <c r="AE51">
        <v>771.8</v>
      </c>
      <c r="AF51">
        <v>132.01408467651902</v>
      </c>
      <c r="AG51">
        <v>126.34874207176222</v>
      </c>
      <c r="AH51">
        <v>138.3401579459512</v>
      </c>
      <c r="AI51">
        <v>121.68397980605627</v>
      </c>
      <c r="AJ51">
        <v>106.15813563654353</v>
      </c>
      <c r="AK51">
        <v>307820</v>
      </c>
      <c r="AL51">
        <v>427520</v>
      </c>
      <c r="AM51">
        <v>733245</v>
      </c>
      <c r="AN51">
        <v>1017163</v>
      </c>
      <c r="AO51"/>
      <c r="AP51">
        <v>7</v>
      </c>
      <c r="AQ51"/>
      <c r="AR51"/>
      <c r="AS51"/>
      <c r="AT51"/>
      <c r="AU51"/>
      <c r="AV51"/>
      <c r="AW51">
        <v>881034</v>
      </c>
      <c r="AX51">
        <v>132158</v>
      </c>
      <c r="AY51">
        <v>14.9</v>
      </c>
      <c r="AZ51">
        <v>4.0999999999999996</v>
      </c>
      <c r="BA51"/>
      <c r="BB51">
        <v>89.9179721449797</v>
      </c>
      <c r="BC51">
        <v>96.875893570501688</v>
      </c>
      <c r="BD51">
        <v>139.12758620689655</v>
      </c>
      <c r="BE51">
        <v>1.2626310344827587</v>
      </c>
      <c r="BF51">
        <v>30.36862068965517</v>
      </c>
      <c r="BG51">
        <v>125.2551724137931</v>
      </c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</row>
    <row r="52" spans="1:83">
      <c r="A52" s="3">
        <v>38047</v>
      </c>
      <c r="B52" s="3">
        <v>38047</v>
      </c>
      <c r="C52">
        <v>184.62566622654774</v>
      </c>
      <c r="T52"/>
      <c r="U52"/>
      <c r="V52"/>
      <c r="W52"/>
      <c r="X52"/>
      <c r="Y52"/>
      <c r="Z52"/>
      <c r="AA52"/>
      <c r="AB52">
        <v>744</v>
      </c>
      <c r="AC52">
        <v>5688</v>
      </c>
      <c r="AD52">
        <v>1413.9</v>
      </c>
      <c r="AE52">
        <v>878.1</v>
      </c>
      <c r="AF52">
        <v>132.5421410152251</v>
      </c>
      <c r="AG52">
        <v>126.47509081383397</v>
      </c>
      <c r="AH52">
        <v>139.17019889362692</v>
      </c>
      <c r="AI52">
        <v>121.92734776566839</v>
      </c>
      <c r="AJ52">
        <v>106.58276817908971</v>
      </c>
      <c r="AK52">
        <v>325590</v>
      </c>
      <c r="AL52">
        <v>443087</v>
      </c>
      <c r="AM52">
        <v>770676</v>
      </c>
      <c r="AN52">
        <v>1054109</v>
      </c>
      <c r="AO52"/>
      <c r="AP52">
        <v>7</v>
      </c>
      <c r="AQ52"/>
      <c r="AR52"/>
      <c r="AS52"/>
      <c r="AT52"/>
      <c r="AU52"/>
      <c r="AV52"/>
      <c r="AW52">
        <v>896188</v>
      </c>
      <c r="AX52">
        <v>140449</v>
      </c>
      <c r="AY52">
        <v>15</v>
      </c>
      <c r="AZ52">
        <v>4.2</v>
      </c>
      <c r="BA52"/>
      <c r="BB52">
        <v>91.088212283589215</v>
      </c>
      <c r="BC52">
        <v>98.05275964822971</v>
      </c>
      <c r="BD52">
        <v>139.01064516129031</v>
      </c>
      <c r="BE52">
        <v>1.2262838709677419</v>
      </c>
      <c r="BF52">
        <v>32.726129032258065</v>
      </c>
      <c r="BG52">
        <v>134.21935483870968</v>
      </c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</row>
    <row r="53" spans="1:83">
      <c r="A53" s="3">
        <v>38078</v>
      </c>
      <c r="B53" s="3">
        <v>38078</v>
      </c>
      <c r="C53">
        <v>177.24063957748584</v>
      </c>
      <c r="T53"/>
      <c r="U53"/>
      <c r="V53"/>
      <c r="W53"/>
      <c r="X53"/>
      <c r="Y53"/>
      <c r="Z53"/>
      <c r="AA53"/>
      <c r="AB53">
        <v>685</v>
      </c>
      <c r="AC53">
        <v>6199</v>
      </c>
      <c r="AD53">
        <v>1629.4</v>
      </c>
      <c r="AE53">
        <v>1071.9000000000001</v>
      </c>
      <c r="AF53">
        <v>133.07230957928601</v>
      </c>
      <c r="AG53">
        <v>126.72804099546164</v>
      </c>
      <c r="AH53">
        <v>139.72687968920144</v>
      </c>
      <c r="AI53">
        <v>122.41505715673104</v>
      </c>
      <c r="AJ53">
        <v>107.00909925180608</v>
      </c>
      <c r="AK53">
        <v>316252</v>
      </c>
      <c r="AL53">
        <v>453475</v>
      </c>
      <c r="AM53">
        <v>784654</v>
      </c>
      <c r="AN53">
        <v>1090911</v>
      </c>
      <c r="AO53"/>
      <c r="AP53">
        <v>7</v>
      </c>
      <c r="AQ53"/>
      <c r="AR53"/>
      <c r="AS53"/>
      <c r="AT53"/>
      <c r="AU53"/>
      <c r="AV53"/>
      <c r="AW53">
        <v>939261</v>
      </c>
      <c r="AX53">
        <v>155404</v>
      </c>
      <c r="AY53">
        <v>14.3</v>
      </c>
      <c r="AZ53">
        <v>4.3</v>
      </c>
      <c r="BA53"/>
      <c r="BB53">
        <v>92.40829176493682</v>
      </c>
      <c r="BC53">
        <v>99.627744479594512</v>
      </c>
      <c r="BD53">
        <v>138.15633333333332</v>
      </c>
      <c r="BE53">
        <v>1.2004766666666666</v>
      </c>
      <c r="BF53">
        <v>32.892333333333333</v>
      </c>
      <c r="BG53">
        <v>128.85166666666666</v>
      </c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</row>
    <row r="54" spans="1:83">
      <c r="A54" s="3">
        <v>38108</v>
      </c>
      <c r="B54" s="3">
        <v>38108</v>
      </c>
      <c r="C54">
        <v>176.88615829833088</v>
      </c>
      <c r="T54"/>
      <c r="U54"/>
      <c r="V54"/>
      <c r="W54"/>
      <c r="X54"/>
      <c r="Y54"/>
      <c r="Z54"/>
      <c r="AA54"/>
      <c r="AB54">
        <v>700</v>
      </c>
      <c r="AC54">
        <v>6551</v>
      </c>
      <c r="AD54">
        <v>1408.7</v>
      </c>
      <c r="AE54">
        <v>1003.1</v>
      </c>
      <c r="AF54">
        <v>133.33845419844459</v>
      </c>
      <c r="AG54">
        <v>127.10822511844803</v>
      </c>
      <c r="AH54">
        <v>139.86660656889063</v>
      </c>
      <c r="AI54">
        <v>122.65988727104451</v>
      </c>
      <c r="AJ54">
        <v>107.33012654956148</v>
      </c>
      <c r="AK54">
        <v>360360</v>
      </c>
      <c r="AL54">
        <v>483869</v>
      </c>
      <c r="AM54">
        <v>852629</v>
      </c>
      <c r="AN54">
        <v>1147810</v>
      </c>
      <c r="AO54"/>
      <c r="AP54">
        <v>7</v>
      </c>
      <c r="AQ54"/>
      <c r="AR54"/>
      <c r="AS54"/>
      <c r="AT54"/>
      <c r="AU54"/>
      <c r="AV54"/>
      <c r="AW54">
        <v>988463</v>
      </c>
      <c r="AX54">
        <v>168120</v>
      </c>
      <c r="AY54">
        <v>14.3</v>
      </c>
      <c r="AZ54">
        <v>4.3</v>
      </c>
      <c r="BA54"/>
      <c r="BB54">
        <v>93.329142162133422</v>
      </c>
      <c r="BC54">
        <v>100.9959350699565</v>
      </c>
      <c r="BD54">
        <v>137.16709677419354</v>
      </c>
      <c r="BE54">
        <v>1.2008322580645161</v>
      </c>
      <c r="BF54">
        <v>36.918709677419351</v>
      </c>
      <c r="BG54">
        <v>121.35967741935484</v>
      </c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</row>
    <row r="55" spans="1:83">
      <c r="A55" s="3">
        <v>38139</v>
      </c>
      <c r="B55" s="3">
        <v>38139</v>
      </c>
      <c r="C55">
        <v>179.36256451450748</v>
      </c>
      <c r="D55">
        <v>73.700313262311028</v>
      </c>
      <c r="E55">
        <v>100.24235939273038</v>
      </c>
      <c r="F55">
        <v>40.613387944343614</v>
      </c>
      <c r="T55"/>
      <c r="U55"/>
      <c r="V55"/>
      <c r="W55"/>
      <c r="X55"/>
      <c r="Y55"/>
      <c r="Z55"/>
      <c r="AA55"/>
      <c r="AB55">
        <v>701</v>
      </c>
      <c r="AC55">
        <v>6635</v>
      </c>
      <c r="AD55">
        <v>1500.2</v>
      </c>
      <c r="AE55">
        <v>1161.8</v>
      </c>
      <c r="AF55">
        <v>133.73846956103992</v>
      </c>
      <c r="AG55">
        <v>128.37930736963253</v>
      </c>
      <c r="AH55">
        <v>139.86660656889063</v>
      </c>
      <c r="AI55">
        <v>123.02786693285763</v>
      </c>
      <c r="AJ55">
        <v>107.54478680266061</v>
      </c>
      <c r="AK55">
        <v>388535</v>
      </c>
      <c r="AL55">
        <v>515381</v>
      </c>
      <c r="AM55">
        <v>891766</v>
      </c>
      <c r="AN55">
        <v>1220688</v>
      </c>
      <c r="AO55"/>
      <c r="AP55">
        <v>7</v>
      </c>
      <c r="AQ55"/>
      <c r="AR55"/>
      <c r="AS55"/>
      <c r="AT55"/>
      <c r="AU55"/>
      <c r="AV55"/>
      <c r="AW55">
        <v>996967</v>
      </c>
      <c r="AX55">
        <v>186566</v>
      </c>
      <c r="AY55">
        <v>14.3</v>
      </c>
      <c r="AZ55">
        <v>4.4000000000000004</v>
      </c>
      <c r="BA55"/>
      <c r="BB55">
        <v>93.207715287667057</v>
      </c>
      <c r="BC55">
        <v>100.88447485575904</v>
      </c>
      <c r="BD55">
        <v>136.32566666666668</v>
      </c>
      <c r="BE55">
        <v>1.2149533333333333</v>
      </c>
      <c r="BF55">
        <v>35.527333333333331</v>
      </c>
      <c r="BG55">
        <v>120.43</v>
      </c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</row>
    <row r="56" spans="1:83">
      <c r="A56" s="3">
        <v>38169</v>
      </c>
      <c r="B56" s="3">
        <v>38169</v>
      </c>
      <c r="C56">
        <v>182.23236554673963</v>
      </c>
      <c r="D56">
        <v>75.763922033655746</v>
      </c>
      <c r="E56">
        <v>99.440420517588549</v>
      </c>
      <c r="F56">
        <v>41.181975375564427</v>
      </c>
      <c r="T56"/>
      <c r="U56"/>
      <c r="V56"/>
      <c r="W56"/>
      <c r="X56"/>
      <c r="Y56"/>
      <c r="Z56"/>
      <c r="AA56"/>
      <c r="AB56">
        <v>697</v>
      </c>
      <c r="AC56">
        <v>6658</v>
      </c>
      <c r="AD56">
        <v>1598.2</v>
      </c>
      <c r="AE56">
        <v>1105.2</v>
      </c>
      <c r="AF56">
        <v>134.005946500162</v>
      </c>
      <c r="AG56">
        <v>129.40634182858958</v>
      </c>
      <c r="AH56">
        <v>139.86660656889063</v>
      </c>
      <c r="AI56">
        <v>123.15089479979049</v>
      </c>
      <c r="AJ56">
        <v>107.86742116306858</v>
      </c>
      <c r="AK56">
        <v>380291</v>
      </c>
      <c r="AL56">
        <v>534930</v>
      </c>
      <c r="AM56">
        <v>896585</v>
      </c>
      <c r="AN56">
        <v>1231690</v>
      </c>
      <c r="AO56"/>
      <c r="AP56">
        <v>7</v>
      </c>
      <c r="AQ56"/>
      <c r="AR56"/>
      <c r="AS56"/>
      <c r="AT56"/>
      <c r="AU56"/>
      <c r="AV56"/>
      <c r="AW56">
        <v>1023882</v>
      </c>
      <c r="AX56">
        <v>209254</v>
      </c>
      <c r="AY56">
        <v>14.1</v>
      </c>
      <c r="AZ56">
        <v>4.3</v>
      </c>
      <c r="BA56"/>
      <c r="BB56">
        <v>93.298622033130954</v>
      </c>
      <c r="BC56">
        <v>101.06282832126409</v>
      </c>
      <c r="BD56">
        <v>135.60838709677421</v>
      </c>
      <c r="BE56">
        <v>1.2271516129032258</v>
      </c>
      <c r="BF56">
        <v>37.651290322580643</v>
      </c>
      <c r="BG56">
        <v>126.72096774193548</v>
      </c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</row>
    <row r="57" spans="1:83">
      <c r="A57" s="3">
        <v>38200</v>
      </c>
      <c r="B57" s="3">
        <v>38200</v>
      </c>
      <c r="C57">
        <v>189.70389253415593</v>
      </c>
      <c r="D57">
        <v>76.673089098059606</v>
      </c>
      <c r="E57">
        <v>106.40124995381974</v>
      </c>
      <c r="F57">
        <v>42.335070686080229</v>
      </c>
      <c r="T57"/>
      <c r="U57"/>
      <c r="V57"/>
      <c r="W57"/>
      <c r="X57"/>
      <c r="Y57"/>
      <c r="Z57"/>
      <c r="AA57"/>
      <c r="AB57">
        <v>734</v>
      </c>
      <c r="AC57">
        <v>6678</v>
      </c>
      <c r="AD57">
        <v>1684.9</v>
      </c>
      <c r="AE57">
        <v>1194.3</v>
      </c>
      <c r="AF57">
        <v>134.54197028616264</v>
      </c>
      <c r="AG57">
        <v>130.44159256321828</v>
      </c>
      <c r="AH57">
        <v>140.00647317545952</v>
      </c>
      <c r="AI57">
        <v>123.76664927378944</v>
      </c>
      <c r="AJ57">
        <v>108.40675826888392</v>
      </c>
      <c r="AK57">
        <v>386031</v>
      </c>
      <c r="AL57">
        <v>557706</v>
      </c>
      <c r="AM57">
        <v>932505</v>
      </c>
      <c r="AN57">
        <v>1280031</v>
      </c>
      <c r="AO57"/>
      <c r="AP57">
        <v>7</v>
      </c>
      <c r="AQ57"/>
      <c r="AR57"/>
      <c r="AS57"/>
      <c r="AT57"/>
      <c r="AU57"/>
      <c r="AV57"/>
      <c r="AW57">
        <v>1055343</v>
      </c>
      <c r="AX57">
        <v>231210</v>
      </c>
      <c r="AY57">
        <v>14.4</v>
      </c>
      <c r="AZ57">
        <v>4.3</v>
      </c>
      <c r="BA57"/>
      <c r="BB57">
        <v>93.515162615729039</v>
      </c>
      <c r="BC57">
        <v>101.16707752403313</v>
      </c>
      <c r="BD57">
        <v>136.17322580645163</v>
      </c>
      <c r="BE57">
        <v>1.2200129032258065</v>
      </c>
      <c r="BF57">
        <v>41.769677419354842</v>
      </c>
      <c r="BG57">
        <v>127.73709677419355</v>
      </c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</row>
    <row r="58" spans="1:83">
      <c r="A58" s="3">
        <v>38231</v>
      </c>
      <c r="B58" s="3">
        <v>38231</v>
      </c>
      <c r="C58">
        <v>187.42744582374607</v>
      </c>
      <c r="D58">
        <v>74.526242603313946</v>
      </c>
      <c r="E58">
        <v>106.50765120377356</v>
      </c>
      <c r="F58">
        <v>41.488369272358625</v>
      </c>
      <c r="T58"/>
      <c r="U58"/>
      <c r="V58"/>
      <c r="W58"/>
      <c r="X58"/>
      <c r="Y58"/>
      <c r="Z58"/>
      <c r="AA58"/>
      <c r="AB58">
        <v>746</v>
      </c>
      <c r="AC58">
        <v>6828</v>
      </c>
      <c r="AD58">
        <v>2266.8000000000002</v>
      </c>
      <c r="AE58">
        <v>1146.5</v>
      </c>
      <c r="AF58">
        <v>135.61830604845193</v>
      </c>
      <c r="AG58">
        <v>131.485125303724</v>
      </c>
      <c r="AH58">
        <v>141.12652496086321</v>
      </c>
      <c r="AI58">
        <v>124.63301581870596</v>
      </c>
      <c r="AJ58">
        <v>109.274012335035</v>
      </c>
      <c r="AK58">
        <v>404209</v>
      </c>
      <c r="AL58">
        <v>566350</v>
      </c>
      <c r="AM58">
        <v>974227</v>
      </c>
      <c r="AN58">
        <v>1329156</v>
      </c>
      <c r="AO58"/>
      <c r="AP58">
        <v>7</v>
      </c>
      <c r="AQ58"/>
      <c r="AR58"/>
      <c r="AS58"/>
      <c r="AT58"/>
      <c r="AU58"/>
      <c r="AV58"/>
      <c r="AW58">
        <v>1078464</v>
      </c>
      <c r="AX58">
        <v>250388</v>
      </c>
      <c r="AY58">
        <v>14.5</v>
      </c>
      <c r="AZ58">
        <v>4</v>
      </c>
      <c r="BA58"/>
      <c r="BB58">
        <v>94.291871591154802</v>
      </c>
      <c r="BC58">
        <v>101.63761621708589</v>
      </c>
      <c r="BD58">
        <v>135.32266666666666</v>
      </c>
      <c r="BE58">
        <v>1.2219066666666667</v>
      </c>
      <c r="BF58">
        <v>42.708333333333336</v>
      </c>
      <c r="BG58">
        <v>130.68166666666667</v>
      </c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</row>
    <row r="59" spans="1:83">
      <c r="A59" s="3">
        <v>38261</v>
      </c>
      <c r="B59" s="3">
        <v>38261</v>
      </c>
      <c r="C59">
        <v>200.54736703140833</v>
      </c>
      <c r="D59">
        <v>78.774238431702841</v>
      </c>
      <c r="E59">
        <v>108.95732718146036</v>
      </c>
      <c r="F59">
        <v>58.747530889659814</v>
      </c>
      <c r="T59"/>
      <c r="U59"/>
      <c r="V59"/>
      <c r="W59"/>
      <c r="X59"/>
      <c r="Y59"/>
      <c r="Z59"/>
      <c r="AA59"/>
      <c r="AB59">
        <v>774</v>
      </c>
      <c r="AC59">
        <v>7070</v>
      </c>
      <c r="AD59">
        <v>1596</v>
      </c>
      <c r="AE59">
        <v>1129.0999999999999</v>
      </c>
      <c r="AF59">
        <v>137.1101074149849</v>
      </c>
      <c r="AG59">
        <v>132.53700630615381</v>
      </c>
      <c r="AH59">
        <v>142.67891673543267</v>
      </c>
      <c r="AI59">
        <v>126.25324502434914</v>
      </c>
      <c r="AJ59">
        <v>110.36675245838535</v>
      </c>
      <c r="AK59">
        <v>445005</v>
      </c>
      <c r="AL59">
        <v>597639</v>
      </c>
      <c r="AM59">
        <v>1003156</v>
      </c>
      <c r="AN59">
        <v>1376670</v>
      </c>
      <c r="AO59"/>
      <c r="AP59">
        <v>7</v>
      </c>
      <c r="AQ59"/>
      <c r="AR59"/>
      <c r="AS59"/>
      <c r="AT59"/>
      <c r="AU59"/>
      <c r="AV59"/>
      <c r="AW59">
        <v>1108234</v>
      </c>
      <c r="AX59">
        <v>264654</v>
      </c>
      <c r="AY59">
        <v>14.5</v>
      </c>
      <c r="AZ59">
        <v>4.5</v>
      </c>
      <c r="BA59"/>
      <c r="BB59">
        <v>95.024749350235155</v>
      </c>
      <c r="BC59">
        <v>102.19247441163103</v>
      </c>
      <c r="BD59">
        <v>133.11387096774195</v>
      </c>
      <c r="BE59">
        <v>1.2522677419354837</v>
      </c>
      <c r="BF59">
        <v>49.349032258064518</v>
      </c>
      <c r="BG59">
        <v>135.14516129032259</v>
      </c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</row>
    <row r="60" spans="1:83">
      <c r="A60" s="3">
        <v>38292</v>
      </c>
      <c r="B60" s="3">
        <v>38292</v>
      </c>
      <c r="C60">
        <v>205.56105120719349</v>
      </c>
      <c r="D60">
        <v>78.222818762680916</v>
      </c>
      <c r="E60">
        <v>110.26481510763789</v>
      </c>
      <c r="F60">
        <v>72.55320064872987</v>
      </c>
      <c r="T60"/>
      <c r="U60"/>
      <c r="V60"/>
      <c r="W60"/>
      <c r="X60"/>
      <c r="Y60"/>
      <c r="Z60"/>
      <c r="AA60"/>
      <c r="AB60">
        <v>826</v>
      </c>
      <c r="AC60">
        <v>8332</v>
      </c>
      <c r="AD60">
        <v>2300.9</v>
      </c>
      <c r="AE60">
        <v>1304.8</v>
      </c>
      <c r="AF60">
        <v>138.34409838171976</v>
      </c>
      <c r="AG60">
        <v>133.72983936290919</v>
      </c>
      <c r="AH60">
        <v>144.10570590278701</v>
      </c>
      <c r="AI60">
        <v>127.26327098454391</v>
      </c>
      <c r="AJ60">
        <v>111.24968647805244</v>
      </c>
      <c r="AK60">
        <v>489453</v>
      </c>
      <c r="AL60">
        <v>633280</v>
      </c>
      <c r="AM60">
        <v>1173890</v>
      </c>
      <c r="AN60">
        <v>1532934</v>
      </c>
      <c r="AO60"/>
      <c r="AP60">
        <v>7</v>
      </c>
      <c r="AQ60"/>
      <c r="AR60"/>
      <c r="AS60"/>
      <c r="AT60"/>
      <c r="AU60"/>
      <c r="AV60"/>
      <c r="AW60">
        <v>1147646</v>
      </c>
      <c r="AX60">
        <v>280426</v>
      </c>
      <c r="AY60">
        <v>13.7</v>
      </c>
      <c r="AZ60">
        <v>4.8</v>
      </c>
      <c r="BA60"/>
      <c r="BB60">
        <v>94.893696583503996</v>
      </c>
      <c r="BC60">
        <v>101.72897288404175</v>
      </c>
      <c r="BD60">
        <v>130.62833333333333</v>
      </c>
      <c r="BE60">
        <v>1.3021033333333334</v>
      </c>
      <c r="BF60">
        <v>44.561</v>
      </c>
      <c r="BG60">
        <v>139.49</v>
      </c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</row>
    <row r="61" spans="1:83">
      <c r="A61" s="3">
        <v>38322</v>
      </c>
      <c r="B61" s="3">
        <v>38322</v>
      </c>
      <c r="C61">
        <v>222.21149635497616</v>
      </c>
      <c r="D61">
        <v>79.865497956697212</v>
      </c>
      <c r="E61">
        <v>120.29891328243292</v>
      </c>
      <c r="F61">
        <v>83.581287147336823</v>
      </c>
      <c r="T61"/>
      <c r="U61"/>
      <c r="V61"/>
      <c r="W61"/>
      <c r="X61"/>
      <c r="Y61"/>
      <c r="Z61"/>
      <c r="AA61"/>
      <c r="AB61">
        <v>804</v>
      </c>
      <c r="AC61">
        <v>9277</v>
      </c>
      <c r="AD61">
        <v>2106.3000000000002</v>
      </c>
      <c r="AE61">
        <v>1231.5999999999999</v>
      </c>
      <c r="AF61">
        <v>139.58919526715525</v>
      </c>
      <c r="AG61">
        <v>134.13102888099792</v>
      </c>
      <c r="AH61">
        <v>145.83497437362044</v>
      </c>
      <c r="AI61">
        <v>128.15411388143573</v>
      </c>
      <c r="AJ61">
        <v>112.13968396987686</v>
      </c>
      <c r="AK61">
        <v>577841</v>
      </c>
      <c r="AL61">
        <v>680632</v>
      </c>
      <c r="AM61">
        <v>1175491</v>
      </c>
      <c r="AN61">
        <v>1650115</v>
      </c>
      <c r="AO61"/>
      <c r="AP61">
        <v>7</v>
      </c>
      <c r="AQ61"/>
      <c r="AR61"/>
      <c r="AS61"/>
      <c r="AT61"/>
      <c r="AU61"/>
      <c r="AV61"/>
      <c r="AW61">
        <v>1179969</v>
      </c>
      <c r="AX61">
        <v>304041</v>
      </c>
      <c r="AY61">
        <v>14</v>
      </c>
      <c r="AZ61">
        <v>5.0999999999999996</v>
      </c>
      <c r="BA61"/>
      <c r="BB61">
        <v>93.690360559062611</v>
      </c>
      <c r="BC61">
        <v>100.16996583408203</v>
      </c>
      <c r="BD61">
        <v>129.99387096774194</v>
      </c>
      <c r="BE61">
        <v>1.340616129032258</v>
      </c>
      <c r="BF61">
        <v>40.206129032258062</v>
      </c>
      <c r="BG61">
        <v>145.25806451612902</v>
      </c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</row>
    <row r="62" spans="1:83">
      <c r="A62" s="3">
        <v>38353</v>
      </c>
      <c r="B62" s="3">
        <v>38353</v>
      </c>
      <c r="C62">
        <v>201.99025018667331</v>
      </c>
      <c r="D62">
        <v>77.948726005736475</v>
      </c>
      <c r="E62">
        <v>98.645108891594987</v>
      </c>
      <c r="F62">
        <v>84.751425167399546</v>
      </c>
      <c r="M62">
        <v>74.270800609980654</v>
      </c>
      <c r="O62">
        <v>82.440230832646336</v>
      </c>
      <c r="T62">
        <v>69.40973957465711</v>
      </c>
      <c r="U62"/>
      <c r="V62"/>
      <c r="W62"/>
      <c r="X62"/>
      <c r="Y62"/>
      <c r="Z62"/>
      <c r="AA62"/>
      <c r="AB62">
        <v>782</v>
      </c>
      <c r="AC62">
        <v>9292</v>
      </c>
      <c r="AD62">
        <v>1789</v>
      </c>
      <c r="AE62">
        <v>1068.7</v>
      </c>
      <c r="AF62">
        <v>140.7059088292925</v>
      </c>
      <c r="AG62">
        <v>134.13102888099792</v>
      </c>
      <c r="AH62">
        <v>147.29332411735666</v>
      </c>
      <c r="AI62">
        <v>129.4356550202501</v>
      </c>
      <c r="AJ62">
        <v>112.92466175766599</v>
      </c>
      <c r="AK62">
        <v>485842</v>
      </c>
      <c r="AL62">
        <v>616318</v>
      </c>
      <c r="AM62">
        <v>1108353</v>
      </c>
      <c r="AN62">
        <v>1564903</v>
      </c>
      <c r="AO62"/>
      <c r="AP62">
        <v>7</v>
      </c>
      <c r="AQ62"/>
      <c r="AR62"/>
      <c r="AS62"/>
      <c r="AT62"/>
      <c r="AU62">
        <v>153.63890000000001</v>
      </c>
      <c r="AV62">
        <v>35.515699999999995</v>
      </c>
      <c r="AW62">
        <v>1192508</v>
      </c>
      <c r="AX62">
        <v>309910</v>
      </c>
      <c r="AY62">
        <v>14</v>
      </c>
      <c r="AZ62">
        <v>5.5</v>
      </c>
      <c r="BA62"/>
      <c r="BB62">
        <v>94.44825497654179</v>
      </c>
      <c r="BC62">
        <v>101.04810184555902</v>
      </c>
      <c r="BD62">
        <v>130.08000000000001</v>
      </c>
      <c r="BE62">
        <v>1.3126677419354837</v>
      </c>
      <c r="BF62">
        <v>44.162258064516131</v>
      </c>
      <c r="BG62">
        <v>141.03225806451613</v>
      </c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</row>
    <row r="63" spans="1:83">
      <c r="A63" s="3">
        <v>38384</v>
      </c>
      <c r="B63" s="3">
        <v>38384</v>
      </c>
      <c r="C63">
        <v>182.19520566837934</v>
      </c>
      <c r="D63">
        <v>72.024622829300512</v>
      </c>
      <c r="E63">
        <v>87.498211586844761</v>
      </c>
      <c r="F63">
        <v>80.174848208359975</v>
      </c>
      <c r="M63">
        <v>75.787832364144876</v>
      </c>
      <c r="O63">
        <v>78.338068181818173</v>
      </c>
      <c r="T63">
        <v>71.159052483330925</v>
      </c>
      <c r="U63"/>
      <c r="V63"/>
      <c r="W63"/>
      <c r="X63"/>
      <c r="Y63"/>
      <c r="Z63"/>
      <c r="AA63"/>
      <c r="AB63">
        <v>809</v>
      </c>
      <c r="AC63">
        <v>9440</v>
      </c>
      <c r="AD63">
        <v>1861.2</v>
      </c>
      <c r="AE63">
        <v>1058.7</v>
      </c>
      <c r="AF63">
        <v>141.55014428226823</v>
      </c>
      <c r="AG63">
        <v>134.26515990987892</v>
      </c>
      <c r="AH63">
        <v>148.61896403441287</v>
      </c>
      <c r="AI63">
        <v>129.9533976403311</v>
      </c>
      <c r="AJ63">
        <v>113.37636040469665</v>
      </c>
      <c r="AK63">
        <v>528484</v>
      </c>
      <c r="AL63">
        <v>657619</v>
      </c>
      <c r="AM63">
        <v>1167898</v>
      </c>
      <c r="AN63">
        <v>1638876</v>
      </c>
      <c r="AO63"/>
      <c r="AP63">
        <v>7.5</v>
      </c>
      <c r="AQ63"/>
      <c r="AR63"/>
      <c r="AS63"/>
      <c r="AT63"/>
      <c r="AU63">
        <v>126.42499000000002</v>
      </c>
      <c r="AV63">
        <v>105.38249</v>
      </c>
      <c r="AW63">
        <v>1227034</v>
      </c>
      <c r="AX63">
        <v>324658</v>
      </c>
      <c r="AY63">
        <v>14.1</v>
      </c>
      <c r="AZ63">
        <v>5.0999999999999996</v>
      </c>
      <c r="BA63"/>
      <c r="BB63">
        <v>94.527756321842219</v>
      </c>
      <c r="BC63">
        <v>101.31604699264582</v>
      </c>
      <c r="BD63">
        <v>130.14357142857142</v>
      </c>
      <c r="BE63">
        <v>1.3017000000000001</v>
      </c>
      <c r="BF63">
        <v>45.948928571428574</v>
      </c>
      <c r="BG63">
        <v>144.38392857142858</v>
      </c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</row>
    <row r="64" spans="1:83">
      <c r="A64" s="3">
        <v>38412</v>
      </c>
      <c r="B64" s="3">
        <v>38412</v>
      </c>
      <c r="C64">
        <v>195.67765088783941</v>
      </c>
      <c r="D64">
        <v>80.163405209011472</v>
      </c>
      <c r="E64">
        <v>93.885581032684414</v>
      </c>
      <c r="F64">
        <v>73.600510655274448</v>
      </c>
      <c r="M64">
        <v>78.171423908252592</v>
      </c>
      <c r="O64">
        <v>106.5068778280543</v>
      </c>
      <c r="T64">
        <v>74.95866372350531</v>
      </c>
      <c r="U64"/>
      <c r="V64"/>
      <c r="W64"/>
      <c r="X64"/>
      <c r="Y64"/>
      <c r="Z64"/>
      <c r="AA64"/>
      <c r="AB64">
        <v>794</v>
      </c>
      <c r="AC64">
        <v>9272</v>
      </c>
      <c r="AD64">
        <v>2005.9</v>
      </c>
      <c r="AE64">
        <v>1226.4000000000001</v>
      </c>
      <c r="AF64">
        <v>142.39944514796184</v>
      </c>
      <c r="AG64">
        <v>134.66795538960855</v>
      </c>
      <c r="AH64">
        <v>149.80791574668814</v>
      </c>
      <c r="AI64">
        <v>130.60316462853271</v>
      </c>
      <c r="AJ64">
        <v>113.82986584631544</v>
      </c>
      <c r="AK64">
        <v>546087</v>
      </c>
      <c r="AL64">
        <v>687233</v>
      </c>
      <c r="AM64">
        <v>1263662</v>
      </c>
      <c r="AN64">
        <v>1746058</v>
      </c>
      <c r="AO64"/>
      <c r="AP64">
        <v>7.5</v>
      </c>
      <c r="AQ64"/>
      <c r="AR64"/>
      <c r="AS64"/>
      <c r="AT64"/>
      <c r="AU64">
        <v>115.92591999999999</v>
      </c>
      <c r="AV64">
        <v>138.57640999999998</v>
      </c>
      <c r="AW64">
        <v>1272230</v>
      </c>
      <c r="AX64">
        <v>351127</v>
      </c>
      <c r="AY64">
        <v>14.4</v>
      </c>
      <c r="AZ64">
        <v>4.8</v>
      </c>
      <c r="BA64"/>
      <c r="BB64">
        <v>93.227944419832426</v>
      </c>
      <c r="BC64">
        <v>99.968552422076101</v>
      </c>
      <c r="BD64">
        <v>130.61806451612904</v>
      </c>
      <c r="BE64">
        <v>1.3196322580645161</v>
      </c>
      <c r="BF64">
        <v>53.400967741935482</v>
      </c>
      <c r="BG64">
        <v>148.49516129032259</v>
      </c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</row>
    <row r="65" spans="1:83">
      <c r="A65" s="3">
        <v>38443</v>
      </c>
      <c r="B65" s="3">
        <v>38443</v>
      </c>
      <c r="C65">
        <v>191.17706491741913</v>
      </c>
      <c r="D65">
        <v>77.5180128371141</v>
      </c>
      <c r="E65">
        <v>99.612601475678161</v>
      </c>
      <c r="F65">
        <v>59.837215162738119</v>
      </c>
      <c r="M65">
        <v>85.444604020624539</v>
      </c>
      <c r="O65">
        <v>110.42527901234568</v>
      </c>
      <c r="T65">
        <v>75.558930350787989</v>
      </c>
      <c r="U65"/>
      <c r="V65"/>
      <c r="W65"/>
      <c r="X65"/>
      <c r="Y65"/>
      <c r="Z65"/>
      <c r="AA65"/>
      <c r="AB65">
        <v>808</v>
      </c>
      <c r="AC65">
        <v>8712</v>
      </c>
      <c r="AD65">
        <v>2669.1</v>
      </c>
      <c r="AE65">
        <v>1711.5</v>
      </c>
      <c r="AF65">
        <v>143.25384181884959</v>
      </c>
      <c r="AG65">
        <v>135.6106310773358</v>
      </c>
      <c r="AH65">
        <v>150.70676324116829</v>
      </c>
      <c r="AI65">
        <v>131.12557728704687</v>
      </c>
      <c r="AJ65">
        <v>114.28518530970071</v>
      </c>
      <c r="AK65">
        <v>547683</v>
      </c>
      <c r="AL65">
        <v>719537</v>
      </c>
      <c r="AM65">
        <v>1271707</v>
      </c>
      <c r="AN65">
        <v>1689293</v>
      </c>
      <c r="AO65"/>
      <c r="AP65">
        <v>7.5</v>
      </c>
      <c r="AQ65"/>
      <c r="AR65"/>
      <c r="AS65"/>
      <c r="AT65"/>
      <c r="AU65">
        <v>180.66312000000005</v>
      </c>
      <c r="AV65">
        <v>123.06209000000003</v>
      </c>
      <c r="AW65">
        <v>1338531</v>
      </c>
      <c r="AX65">
        <v>377556</v>
      </c>
      <c r="AY65">
        <v>13.6</v>
      </c>
      <c r="AZ65">
        <v>4.8</v>
      </c>
      <c r="BA65"/>
      <c r="BB65">
        <v>93.721914367223533</v>
      </c>
      <c r="BC65">
        <v>100.37572307941502</v>
      </c>
      <c r="BD65">
        <v>131.31366666666668</v>
      </c>
      <c r="BE65">
        <v>1.2945133333333334</v>
      </c>
      <c r="BF65">
        <v>53.416666666666664</v>
      </c>
      <c r="BG65">
        <v>148.14166666666665</v>
      </c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</row>
    <row r="66" spans="1:83">
      <c r="A66" s="3">
        <v>38473</v>
      </c>
      <c r="B66" s="3">
        <v>38473</v>
      </c>
      <c r="C66">
        <v>188.88294013841011</v>
      </c>
      <c r="D66">
        <v>74.1847382851182</v>
      </c>
      <c r="E66">
        <v>108.87657341291623</v>
      </c>
      <c r="F66">
        <v>46.373841751122043</v>
      </c>
      <c r="M66">
        <v>81.374336311722843</v>
      </c>
      <c r="O66">
        <v>132.61728213228346</v>
      </c>
      <c r="T66">
        <v>76.435413942857139</v>
      </c>
      <c r="U66"/>
      <c r="V66"/>
      <c r="W66"/>
      <c r="X66"/>
      <c r="Y66"/>
      <c r="Z66"/>
      <c r="AA66"/>
      <c r="AB66">
        <v>781</v>
      </c>
      <c r="AC66">
        <v>8677</v>
      </c>
      <c r="AD66">
        <v>2582.4</v>
      </c>
      <c r="AE66">
        <v>1473</v>
      </c>
      <c r="AF66">
        <v>144.11336486976268</v>
      </c>
      <c r="AG66">
        <v>136.42429486379982</v>
      </c>
      <c r="AH66">
        <v>151.91241734709763</v>
      </c>
      <c r="AI66">
        <v>131.387828441621</v>
      </c>
      <c r="AJ66">
        <v>114.6280408656298</v>
      </c>
      <c r="AK66">
        <v>549829</v>
      </c>
      <c r="AL66">
        <v>719891</v>
      </c>
      <c r="AM66">
        <v>1321824</v>
      </c>
      <c r="AN66">
        <v>1779627</v>
      </c>
      <c r="AO66"/>
      <c r="AP66">
        <v>7.5</v>
      </c>
      <c r="AQ66"/>
      <c r="AR66"/>
      <c r="AS66"/>
      <c r="AT66"/>
      <c r="AU66">
        <v>151.38485999999997</v>
      </c>
      <c r="AV66">
        <v>133.38059000000001</v>
      </c>
      <c r="AW66">
        <v>1376270</v>
      </c>
      <c r="AX66">
        <v>405256</v>
      </c>
      <c r="AY66">
        <v>14</v>
      </c>
      <c r="AZ66">
        <v>4.3</v>
      </c>
      <c r="BA66"/>
      <c r="BB66">
        <v>94.866565087502622</v>
      </c>
      <c r="BC66">
        <v>101.33063999504543</v>
      </c>
      <c r="BD66">
        <v>131.37387096774194</v>
      </c>
      <c r="BE66">
        <v>1.268283870967742</v>
      </c>
      <c r="BF66">
        <v>49.763870967741937</v>
      </c>
      <c r="BG66">
        <v>147.04354838709676</v>
      </c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</row>
    <row r="67" spans="1:83">
      <c r="A67" s="3">
        <v>38504</v>
      </c>
      <c r="B67" s="3">
        <v>38504</v>
      </c>
      <c r="C67">
        <v>187.74964249757963</v>
      </c>
      <c r="D67">
        <v>74.481477238258677</v>
      </c>
      <c r="E67">
        <v>108.6588202660904</v>
      </c>
      <c r="F67">
        <v>43.498663562552473</v>
      </c>
      <c r="M67">
        <v>84.211601252504138</v>
      </c>
      <c r="O67">
        <v>175.36002814964965</v>
      </c>
      <c r="T67">
        <v>77.565037755992833</v>
      </c>
      <c r="U67"/>
      <c r="V67"/>
      <c r="W67"/>
      <c r="X67"/>
      <c r="Y67"/>
      <c r="Z67"/>
      <c r="AA67"/>
      <c r="AB67">
        <v>821</v>
      </c>
      <c r="AC67">
        <v>8011</v>
      </c>
      <c r="AD67">
        <v>2170.3000000000002</v>
      </c>
      <c r="AE67">
        <v>1590.3</v>
      </c>
      <c r="AF67">
        <v>144.68981832924175</v>
      </c>
      <c r="AG67">
        <v>136.96999204325505</v>
      </c>
      <c r="AH67">
        <v>152.52006701648605</v>
      </c>
      <c r="AI67">
        <v>131.78199192694586</v>
      </c>
      <c r="AJ67">
        <v>114.97192498822668</v>
      </c>
      <c r="AK67">
        <v>550629</v>
      </c>
      <c r="AL67">
        <v>750368</v>
      </c>
      <c r="AM67">
        <v>1363526</v>
      </c>
      <c r="AN67">
        <v>1833320</v>
      </c>
      <c r="AO67"/>
      <c r="AP67">
        <v>7.5</v>
      </c>
      <c r="AQ67"/>
      <c r="AR67"/>
      <c r="AS67"/>
      <c r="AT67"/>
      <c r="AU67">
        <v>133.69777999999991</v>
      </c>
      <c r="AV67">
        <v>155.69999999999999</v>
      </c>
      <c r="AW67">
        <v>1460259</v>
      </c>
      <c r="AX67">
        <v>441686</v>
      </c>
      <c r="AY67">
        <v>13.1</v>
      </c>
      <c r="AZ67">
        <v>4.0999999999999996</v>
      </c>
      <c r="BA67"/>
      <c r="BB67">
        <v>95.764093789142407</v>
      </c>
      <c r="BC67">
        <v>101.84842174687418</v>
      </c>
      <c r="BD67">
        <v>133.96800000000002</v>
      </c>
      <c r="BE67">
        <v>1.2163999999999999</v>
      </c>
      <c r="BF67">
        <v>55.50266666666667</v>
      </c>
      <c r="BG67">
        <v>156.74166666666667</v>
      </c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</row>
    <row r="68" spans="1:83">
      <c r="A68" s="3">
        <v>38534</v>
      </c>
      <c r="B68" s="3">
        <v>38534</v>
      </c>
      <c r="C68">
        <v>192.63113320251671</v>
      </c>
      <c r="D68">
        <v>77.460736327789022</v>
      </c>
      <c r="E68">
        <v>109.63674964848522</v>
      </c>
      <c r="F68">
        <v>43.977148861740545</v>
      </c>
      <c r="M68">
        <v>90.305296944924933</v>
      </c>
      <c r="O68">
        <v>140.2726670006173</v>
      </c>
      <c r="T68">
        <v>83.887930633028446</v>
      </c>
      <c r="U68"/>
      <c r="V68"/>
      <c r="W68"/>
      <c r="X68"/>
      <c r="Y68"/>
      <c r="Z68"/>
      <c r="AA68"/>
      <c r="AB68">
        <v>805</v>
      </c>
      <c r="AC68">
        <v>7759</v>
      </c>
      <c r="AD68">
        <v>2257.1</v>
      </c>
      <c r="AE68">
        <v>1528.8</v>
      </c>
      <c r="AF68">
        <v>145.41326742088796</v>
      </c>
      <c r="AG68">
        <v>137.51787201142807</v>
      </c>
      <c r="AH68">
        <v>152.67258708350252</v>
      </c>
      <c r="AI68">
        <v>133.36337583006923</v>
      </c>
      <c r="AJ68">
        <v>115.77672846314425</v>
      </c>
      <c r="AK68">
        <v>564794</v>
      </c>
      <c r="AL68">
        <v>750283</v>
      </c>
      <c r="AM68">
        <v>1359235</v>
      </c>
      <c r="AN68">
        <v>1866063</v>
      </c>
      <c r="AO68"/>
      <c r="AP68">
        <v>8</v>
      </c>
      <c r="AQ68"/>
      <c r="AR68"/>
      <c r="AS68"/>
      <c r="AT68"/>
      <c r="AU68">
        <v>168.98060000000009</v>
      </c>
      <c r="AV68">
        <v>139.51702000000003</v>
      </c>
      <c r="AW68">
        <v>1497926</v>
      </c>
      <c r="AX68">
        <v>476740</v>
      </c>
      <c r="AY68">
        <v>14</v>
      </c>
      <c r="AZ68">
        <v>3</v>
      </c>
      <c r="BA68"/>
      <c r="BB68">
        <v>95.59326764067319</v>
      </c>
      <c r="BC68">
        <v>101.27327285014623</v>
      </c>
      <c r="BD68">
        <v>135.6767741935484</v>
      </c>
      <c r="BE68">
        <v>1.2042354838709677</v>
      </c>
      <c r="BF68">
        <v>57.983225806451614</v>
      </c>
      <c r="BG68">
        <v>162.20967741935485</v>
      </c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</row>
    <row r="69" spans="1:83">
      <c r="A69" s="3">
        <v>38565</v>
      </c>
      <c r="B69" s="3">
        <v>38565</v>
      </c>
      <c r="C69">
        <v>193.7869200017318</v>
      </c>
      <c r="D69">
        <v>78.157882954739136</v>
      </c>
      <c r="E69">
        <v>113.47403588618219</v>
      </c>
      <c r="F69">
        <v>43.097605884505732</v>
      </c>
      <c r="M69">
        <v>92.18929546968306</v>
      </c>
      <c r="O69">
        <v>158.06306792398698</v>
      </c>
      <c r="T69">
        <v>83.501258139528616</v>
      </c>
      <c r="U69"/>
      <c r="V69"/>
      <c r="W69"/>
      <c r="X69"/>
      <c r="Y69"/>
      <c r="Z69"/>
      <c r="AA69"/>
      <c r="AB69">
        <v>820</v>
      </c>
      <c r="AC69">
        <v>7816</v>
      </c>
      <c r="AD69">
        <v>2259.4</v>
      </c>
      <c r="AE69">
        <v>1438</v>
      </c>
      <c r="AF69">
        <v>145.70409395572975</v>
      </c>
      <c r="AG69">
        <v>138.06794349947381</v>
      </c>
      <c r="AH69">
        <v>152.21456932225203</v>
      </c>
      <c r="AI69">
        <v>134.56364621253985</v>
      </c>
      <c r="AJ69">
        <v>116.23983537699684</v>
      </c>
      <c r="AK69">
        <v>554900</v>
      </c>
      <c r="AL69">
        <v>757748</v>
      </c>
      <c r="AM69">
        <v>1391764</v>
      </c>
      <c r="AN69">
        <v>1881296</v>
      </c>
      <c r="AO69"/>
      <c r="AP69">
        <v>8</v>
      </c>
      <c r="AQ69"/>
      <c r="AR69"/>
      <c r="AS69"/>
      <c r="AT69"/>
      <c r="AU69">
        <v>179.75120999999984</v>
      </c>
      <c r="AV69">
        <v>149.71658999999997</v>
      </c>
      <c r="AW69">
        <v>1524482</v>
      </c>
      <c r="AX69">
        <v>512494</v>
      </c>
      <c r="AY69">
        <v>14</v>
      </c>
      <c r="AZ69">
        <v>3.6</v>
      </c>
      <c r="BA69"/>
      <c r="BB69">
        <v>94.359620431047105</v>
      </c>
      <c r="BC69">
        <v>99.960787631161864</v>
      </c>
      <c r="BD69">
        <v>135.4225806451613</v>
      </c>
      <c r="BE69">
        <v>1.2303580645161289</v>
      </c>
      <c r="BF69">
        <v>63.934516129032261</v>
      </c>
      <c r="BG69">
        <v>166.87096774193549</v>
      </c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</row>
    <row r="70" spans="1:83">
      <c r="A70" s="3">
        <v>38596</v>
      </c>
      <c r="B70" s="3">
        <v>38596</v>
      </c>
      <c r="C70">
        <v>195.91857612175085</v>
      </c>
      <c r="D70">
        <v>77.53261989110122</v>
      </c>
      <c r="E70">
        <v>115.51656853213346</v>
      </c>
      <c r="F70">
        <v>45.554169419922566</v>
      </c>
      <c r="M70">
        <v>84.47330529396379</v>
      </c>
      <c r="O70">
        <v>176.06959010177107</v>
      </c>
      <c r="T70">
        <v>83.330531539838518</v>
      </c>
      <c r="U70"/>
      <c r="V70"/>
      <c r="W70"/>
      <c r="X70"/>
      <c r="Y70"/>
      <c r="Z70"/>
      <c r="AA70"/>
      <c r="AB70">
        <v>901</v>
      </c>
      <c r="AC70">
        <v>8309</v>
      </c>
      <c r="AD70">
        <v>2749.5</v>
      </c>
      <c r="AE70">
        <v>1602.5</v>
      </c>
      <c r="AF70">
        <v>146.86972670737558</v>
      </c>
      <c r="AG70">
        <v>139.44862293446855</v>
      </c>
      <c r="AH70">
        <v>152.82342759954105</v>
      </c>
      <c r="AI70">
        <v>136.31297361330289</v>
      </c>
      <c r="AJ70">
        <v>117.16975406001281</v>
      </c>
      <c r="AK70">
        <v>642333</v>
      </c>
      <c r="AL70">
        <v>786047</v>
      </c>
      <c r="AM70">
        <v>1450385</v>
      </c>
      <c r="AN70">
        <v>2015827</v>
      </c>
      <c r="AO70"/>
      <c r="AP70">
        <v>8</v>
      </c>
      <c r="AQ70"/>
      <c r="AR70"/>
      <c r="AS70"/>
      <c r="AT70"/>
      <c r="AU70">
        <v>172.86256000000006</v>
      </c>
      <c r="AV70">
        <v>172.50714000000002</v>
      </c>
      <c r="AW70">
        <v>1574462</v>
      </c>
      <c r="AX70">
        <v>544019</v>
      </c>
      <c r="AY70">
        <v>13.7</v>
      </c>
      <c r="AZ70">
        <v>4.0999999999999996</v>
      </c>
      <c r="BA70"/>
      <c r="BB70">
        <v>95.498485767740462</v>
      </c>
      <c r="BC70">
        <v>100.75430022134255</v>
      </c>
      <c r="BD70">
        <v>134.239</v>
      </c>
      <c r="BE70">
        <v>1.2261599999999999</v>
      </c>
      <c r="BF70">
        <v>63.662999999999997</v>
      </c>
      <c r="BG70">
        <v>174.10666666666665</v>
      </c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</row>
    <row r="71" spans="1:83">
      <c r="A71" s="3">
        <v>38626</v>
      </c>
      <c r="B71" s="3">
        <v>38626</v>
      </c>
      <c r="C71">
        <v>204.73491204722967</v>
      </c>
      <c r="D71">
        <v>83.657696862498213</v>
      </c>
      <c r="E71">
        <v>114.82346912094066</v>
      </c>
      <c r="F71">
        <v>59.083757737639566</v>
      </c>
      <c r="M71">
        <v>88.905164384875178</v>
      </c>
      <c r="O71">
        <v>172.52756130591905</v>
      </c>
      <c r="T71">
        <v>90.180031660727465</v>
      </c>
      <c r="U71"/>
      <c r="V71"/>
      <c r="W71"/>
      <c r="X71"/>
      <c r="Y71"/>
      <c r="Z71"/>
      <c r="AA71"/>
      <c r="AB71">
        <v>904</v>
      </c>
      <c r="AC71">
        <v>8641</v>
      </c>
      <c r="AD71">
        <v>2259.6</v>
      </c>
      <c r="AE71">
        <v>1497</v>
      </c>
      <c r="AF71">
        <v>148.33842397444931</v>
      </c>
      <c r="AG71">
        <v>141.95869814728897</v>
      </c>
      <c r="AH71">
        <v>153.74036816513831</v>
      </c>
      <c r="AI71">
        <v>137.53979037582263</v>
      </c>
      <c r="AJ71">
        <v>118.22428184655291</v>
      </c>
      <c r="AK71">
        <v>640720</v>
      </c>
      <c r="AL71">
        <v>775566</v>
      </c>
      <c r="AM71">
        <v>1474028</v>
      </c>
      <c r="AN71">
        <v>2035676</v>
      </c>
      <c r="AO71"/>
      <c r="AP71">
        <v>8</v>
      </c>
      <c r="AQ71"/>
      <c r="AR71"/>
      <c r="AS71"/>
      <c r="AT71"/>
      <c r="AU71">
        <v>204.86076</v>
      </c>
      <c r="AV71">
        <v>171.15626</v>
      </c>
      <c r="AW71">
        <v>1637350</v>
      </c>
      <c r="AX71">
        <v>578122</v>
      </c>
      <c r="AY71">
        <v>13.7</v>
      </c>
      <c r="AZ71">
        <v>4</v>
      </c>
      <c r="BA71"/>
      <c r="BB71">
        <v>97.528152110731384</v>
      </c>
      <c r="BC71">
        <v>102.29629115852647</v>
      </c>
      <c r="BD71">
        <v>133.81451612903226</v>
      </c>
      <c r="BE71">
        <v>1.2036387096774193</v>
      </c>
      <c r="BF71">
        <v>59.657096774193548</v>
      </c>
      <c r="BG71">
        <v>179.25967741935483</v>
      </c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</row>
    <row r="72" spans="1:83">
      <c r="A72" s="3">
        <v>38657</v>
      </c>
      <c r="B72" s="3">
        <v>38657</v>
      </c>
      <c r="C72">
        <v>213.12904344116603</v>
      </c>
      <c r="D72">
        <v>83.908669953085706</v>
      </c>
      <c r="E72">
        <v>121.1387599225924</v>
      </c>
      <c r="F72">
        <v>71.964016924444991</v>
      </c>
      <c r="M72">
        <v>100.43510880924971</v>
      </c>
      <c r="O72">
        <v>202.43174754871794</v>
      </c>
      <c r="T72">
        <v>88.384466928215971</v>
      </c>
      <c r="U72"/>
      <c r="V72"/>
      <c r="W72"/>
      <c r="X72"/>
      <c r="Y72"/>
      <c r="Z72"/>
      <c r="AA72"/>
      <c r="AB72">
        <v>947</v>
      </c>
      <c r="AC72">
        <v>7874</v>
      </c>
      <c r="AD72">
        <v>2477.1999999999998</v>
      </c>
      <c r="AE72">
        <v>1777.9</v>
      </c>
      <c r="AF72">
        <v>149.22845451829599</v>
      </c>
      <c r="AG72">
        <v>141.10694595840525</v>
      </c>
      <c r="AH72">
        <v>155.73899295128507</v>
      </c>
      <c r="AI72">
        <v>138.08994953732591</v>
      </c>
      <c r="AJ72">
        <v>119.17007610132534</v>
      </c>
      <c r="AK72">
        <v>609723</v>
      </c>
      <c r="AL72">
        <v>771401</v>
      </c>
      <c r="AM72">
        <v>1459131</v>
      </c>
      <c r="AN72">
        <v>2012511</v>
      </c>
      <c r="AO72"/>
      <c r="AP72">
        <v>8</v>
      </c>
      <c r="AQ72"/>
      <c r="AR72"/>
      <c r="AS72"/>
      <c r="AT72"/>
      <c r="AU72">
        <v>230.50952000000001</v>
      </c>
      <c r="AV72">
        <v>264.60185999999987</v>
      </c>
      <c r="AW72">
        <v>1703963</v>
      </c>
      <c r="AX72">
        <v>622193</v>
      </c>
      <c r="AY72">
        <v>13.4</v>
      </c>
      <c r="AZ72">
        <v>3.4</v>
      </c>
      <c r="BA72"/>
      <c r="BB72">
        <v>98.833482037750585</v>
      </c>
      <c r="BC72">
        <v>103.21943804445257</v>
      </c>
      <c r="BD72">
        <v>134.07999999999998</v>
      </c>
      <c r="BE72">
        <v>1.1787099999999999</v>
      </c>
      <c r="BF72">
        <v>56.173666666666669</v>
      </c>
      <c r="BG72">
        <v>192.14</v>
      </c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</row>
    <row r="73" spans="1:83">
      <c r="A73" s="3">
        <v>38687</v>
      </c>
      <c r="B73" s="3">
        <v>38687</v>
      </c>
      <c r="C73">
        <v>227.40868935172415</v>
      </c>
      <c r="D73">
        <v>87.265016751209146</v>
      </c>
      <c r="E73">
        <v>121.62331496228278</v>
      </c>
      <c r="F73">
        <v>87.07646047857844</v>
      </c>
      <c r="M73">
        <v>111.39432125956628</v>
      </c>
      <c r="O73">
        <v>275.71950621071852</v>
      </c>
      <c r="T73">
        <v>99.986535081220993</v>
      </c>
      <c r="U73"/>
      <c r="V73"/>
      <c r="W73"/>
      <c r="X73"/>
      <c r="Y73"/>
      <c r="Z73"/>
      <c r="AA73"/>
      <c r="AB73">
        <v>986</v>
      </c>
      <c r="AC73">
        <v>7069</v>
      </c>
      <c r="AD73">
        <v>2651.6</v>
      </c>
      <c r="AE73">
        <v>1533.5</v>
      </c>
      <c r="AF73">
        <v>150.57151060896066</v>
      </c>
      <c r="AG73">
        <v>142.09469458011409</v>
      </c>
      <c r="AH73">
        <v>157.76359985965178</v>
      </c>
      <c r="AI73">
        <v>138.50421938593792</v>
      </c>
      <c r="AJ73">
        <v>120.00426663403461</v>
      </c>
      <c r="AK73">
        <v>663005</v>
      </c>
      <c r="AL73">
        <v>799440</v>
      </c>
      <c r="AM73">
        <v>1515970</v>
      </c>
      <c r="AN73">
        <v>2065348</v>
      </c>
      <c r="AO73"/>
      <c r="AP73">
        <v>8</v>
      </c>
      <c r="AQ73"/>
      <c r="AR73"/>
      <c r="AS73"/>
      <c r="AT73"/>
      <c r="AU73">
        <v>279.83198000000021</v>
      </c>
      <c r="AV73">
        <v>357.03005000000007</v>
      </c>
      <c r="AW73">
        <v>1923271</v>
      </c>
      <c r="AX73">
        <v>668819</v>
      </c>
      <c r="AY73">
        <v>13</v>
      </c>
      <c r="AZ73">
        <v>3.8</v>
      </c>
      <c r="BA73"/>
      <c r="BB73">
        <v>99.174569333963504</v>
      </c>
      <c r="BC73">
        <v>103.07774665789782</v>
      </c>
      <c r="BD73">
        <v>133.7951612903226</v>
      </c>
      <c r="BE73">
        <v>1.1857290322580645</v>
      </c>
      <c r="BF73">
        <v>57.493225806451612</v>
      </c>
      <c r="BG73">
        <v>216.51774193548388</v>
      </c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</row>
    <row r="74" spans="1:83">
      <c r="A74" s="3">
        <v>38718</v>
      </c>
      <c r="B74" s="3">
        <v>38718</v>
      </c>
      <c r="C74">
        <v>201.48409876562758</v>
      </c>
      <c r="D74">
        <v>78.36398504258581</v>
      </c>
      <c r="E74">
        <v>98.150015174562199</v>
      </c>
      <c r="F74">
        <v>93.171812712078932</v>
      </c>
      <c r="J74">
        <v>100</v>
      </c>
      <c r="M74">
        <v>84.594441894767968</v>
      </c>
      <c r="O74">
        <v>100</v>
      </c>
      <c r="T74">
        <v>80.515297906602257</v>
      </c>
      <c r="U74"/>
      <c r="V74"/>
      <c r="W74"/>
      <c r="X74"/>
      <c r="Y74"/>
      <c r="Z74"/>
      <c r="AA74"/>
      <c r="AB74">
        <v>1095</v>
      </c>
      <c r="AC74">
        <v>8068</v>
      </c>
      <c r="AD74">
        <v>2220.1999999999998</v>
      </c>
      <c r="AE74">
        <v>1278.9000000000001</v>
      </c>
      <c r="AF74">
        <v>151.92665420444132</v>
      </c>
      <c r="AG74">
        <v>142.66307335843459</v>
      </c>
      <c r="AH74">
        <v>159.81452665782726</v>
      </c>
      <c r="AI74">
        <v>139.4737489216395</v>
      </c>
      <c r="AJ74">
        <v>120.84429650047284</v>
      </c>
      <c r="AK74">
        <v>616639</v>
      </c>
      <c r="AL74">
        <v>749574</v>
      </c>
      <c r="AM74">
        <v>1478931</v>
      </c>
      <c r="AN74">
        <v>1999223</v>
      </c>
      <c r="AO74"/>
      <c r="AP74">
        <v>8</v>
      </c>
      <c r="AQ74"/>
      <c r="AR74"/>
      <c r="AS74"/>
      <c r="AT74"/>
      <c r="AU74">
        <v>189.29613000000001</v>
      </c>
      <c r="AV74">
        <v>79.666479999999993</v>
      </c>
      <c r="AW74">
        <v>1911800</v>
      </c>
      <c r="AX74">
        <v>676943</v>
      </c>
      <c r="AY74">
        <v>13.1</v>
      </c>
      <c r="AZ74">
        <v>4.5999999999999996</v>
      </c>
      <c r="BA74"/>
      <c r="BB74">
        <v>98.313183920755833</v>
      </c>
      <c r="BC74">
        <v>102.16239822884634</v>
      </c>
      <c r="BD74">
        <v>133.10032258064516</v>
      </c>
      <c r="BE74">
        <v>1.2113709677419355</v>
      </c>
      <c r="BF74">
        <v>63.686129032258066</v>
      </c>
      <c r="BG74">
        <v>212.35806451612902</v>
      </c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</row>
    <row r="75" spans="1:83">
      <c r="A75" s="3">
        <v>38749</v>
      </c>
      <c r="B75" s="3">
        <v>38749</v>
      </c>
      <c r="C75">
        <v>183.75349807425235</v>
      </c>
      <c r="D75">
        <v>69.117034807560685</v>
      </c>
      <c r="E75">
        <v>94.02771453723058</v>
      </c>
      <c r="F75">
        <v>81.991195186629469</v>
      </c>
      <c r="J75">
        <v>156.6</v>
      </c>
      <c r="M75">
        <v>86.322341062761012</v>
      </c>
      <c r="O75">
        <v>110.3</v>
      </c>
      <c r="T75">
        <v>81.619433198380563</v>
      </c>
      <c r="U75"/>
      <c r="V75"/>
      <c r="W75"/>
      <c r="X75"/>
      <c r="Y75"/>
      <c r="Z75"/>
      <c r="AA75"/>
      <c r="AB75">
        <v>1070</v>
      </c>
      <c r="AC75">
        <v>9072</v>
      </c>
      <c r="AD75">
        <v>2260.9</v>
      </c>
      <c r="AE75">
        <v>1221.2</v>
      </c>
      <c r="AF75">
        <v>154.20555401750795</v>
      </c>
      <c r="AG75">
        <v>143.23372565186835</v>
      </c>
      <c r="AH75">
        <v>163.6500752976151</v>
      </c>
      <c r="AI75">
        <v>141.0079601597775</v>
      </c>
      <c r="AJ75">
        <v>122.29442805847852</v>
      </c>
      <c r="AK75">
        <v>793880</v>
      </c>
      <c r="AL75">
        <v>867494</v>
      </c>
      <c r="AM75">
        <v>1617525</v>
      </c>
      <c r="AN75">
        <v>2175908</v>
      </c>
      <c r="AO75"/>
      <c r="AP75">
        <v>8</v>
      </c>
      <c r="AQ75"/>
      <c r="AR75"/>
      <c r="AS75"/>
      <c r="AT75"/>
      <c r="AU75">
        <v>191.94758000000002</v>
      </c>
      <c r="AV75">
        <v>157.14853000000002</v>
      </c>
      <c r="AW75">
        <v>1963731</v>
      </c>
      <c r="AX75">
        <v>701536</v>
      </c>
      <c r="AY75">
        <v>13</v>
      </c>
      <c r="AZ75">
        <v>4</v>
      </c>
      <c r="BA75"/>
      <c r="BB75">
        <v>100.83221239946378</v>
      </c>
      <c r="BC75">
        <v>104.04197411242254</v>
      </c>
      <c r="BD75">
        <v>131.16642857142858</v>
      </c>
      <c r="BE75">
        <v>1.1940428571428572</v>
      </c>
      <c r="BF75">
        <v>61.21</v>
      </c>
      <c r="BG75">
        <v>224.11607142857142</v>
      </c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</row>
    <row r="76" spans="1:83">
      <c r="A76" s="3">
        <v>38777</v>
      </c>
      <c r="B76" s="3">
        <v>38777</v>
      </c>
      <c r="C76">
        <v>203.23136887012311</v>
      </c>
      <c r="D76">
        <v>79.277238924272112</v>
      </c>
      <c r="E76">
        <v>104.08867999271425</v>
      </c>
      <c r="F76">
        <v>76.169820328378776</v>
      </c>
      <c r="J76">
        <v>179.15040000000002</v>
      </c>
      <c r="M76">
        <v>89.818966070582235</v>
      </c>
      <c r="O76">
        <v>117.6901</v>
      </c>
      <c r="T76">
        <v>85.377917981072557</v>
      </c>
      <c r="U76"/>
      <c r="V76"/>
      <c r="W76"/>
      <c r="X76"/>
      <c r="Y76"/>
      <c r="Z76"/>
      <c r="AA76"/>
      <c r="AB76">
        <v>1181</v>
      </c>
      <c r="AC76">
        <v>11083</v>
      </c>
      <c r="AD76">
        <v>2876.3</v>
      </c>
      <c r="AE76">
        <v>1542.4</v>
      </c>
      <c r="AF76">
        <v>155.43919844964802</v>
      </c>
      <c r="AG76">
        <v>143.94989428012767</v>
      </c>
      <c r="AH76">
        <v>165.12292597529367</v>
      </c>
      <c r="AI76">
        <v>142.27703180121551</v>
      </c>
      <c r="AJ76">
        <v>123.02819462682939</v>
      </c>
      <c r="AK76">
        <v>1040392</v>
      </c>
      <c r="AL76">
        <v>913456</v>
      </c>
      <c r="AM76">
        <v>1749189</v>
      </c>
      <c r="AN76">
        <v>2332591</v>
      </c>
      <c r="AO76"/>
      <c r="AP76">
        <v>8</v>
      </c>
      <c r="AQ76"/>
      <c r="AR76"/>
      <c r="AS76"/>
      <c r="AT76"/>
      <c r="AU76">
        <v>175.56022000000004</v>
      </c>
      <c r="AV76">
        <v>193.33473999999998</v>
      </c>
      <c r="AW76">
        <v>1980030</v>
      </c>
      <c r="AX76">
        <v>753164</v>
      </c>
      <c r="AY76">
        <v>13.5</v>
      </c>
      <c r="AZ76">
        <v>4</v>
      </c>
      <c r="BA76"/>
      <c r="BB76">
        <v>102.95399558652305</v>
      </c>
      <c r="BC76">
        <v>105.67783930391401</v>
      </c>
      <c r="BD76">
        <v>128.59516129032258</v>
      </c>
      <c r="BE76">
        <v>1.2035806451612903</v>
      </c>
      <c r="BF76">
        <v>63.007096774193549</v>
      </c>
      <c r="BG76">
        <v>232.0774193548387</v>
      </c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1:83">
      <c r="A77" s="3">
        <v>38808</v>
      </c>
      <c r="B77" s="3">
        <v>38808</v>
      </c>
      <c r="C77">
        <v>199.5732042304609</v>
      </c>
      <c r="D77">
        <v>81.655556092000268</v>
      </c>
      <c r="E77">
        <v>106.37863095255398</v>
      </c>
      <c r="F77">
        <v>62.535422489598972</v>
      </c>
      <c r="J77">
        <v>242.56964160000004</v>
      </c>
      <c r="M77">
        <v>98.090405415676969</v>
      </c>
      <c r="O77">
        <v>125.22226640000001</v>
      </c>
      <c r="T77">
        <v>84.9282377142857</v>
      </c>
      <c r="U77"/>
      <c r="V77"/>
      <c r="W77"/>
      <c r="X77"/>
      <c r="Y77"/>
      <c r="Z77"/>
      <c r="AA77"/>
      <c r="AB77">
        <v>1227</v>
      </c>
      <c r="AC77">
        <v>12400</v>
      </c>
      <c r="AD77">
        <v>3051.8</v>
      </c>
      <c r="AE77">
        <v>1643.2</v>
      </c>
      <c r="AF77">
        <v>156.21639444189626</v>
      </c>
      <c r="AG77">
        <v>144.81359364580842</v>
      </c>
      <c r="AH77">
        <v>165.94854060517014</v>
      </c>
      <c r="AI77">
        <v>143.13069399202277</v>
      </c>
      <c r="AJ77">
        <v>123.52030740533671</v>
      </c>
      <c r="AK77">
        <v>992708</v>
      </c>
      <c r="AL77">
        <v>933727</v>
      </c>
      <c r="AM77">
        <v>1779603</v>
      </c>
      <c r="AN77">
        <v>2319429</v>
      </c>
      <c r="AO77"/>
      <c r="AP77">
        <v>8.5</v>
      </c>
      <c r="AQ77"/>
      <c r="AR77"/>
      <c r="AS77"/>
      <c r="AT77"/>
      <c r="AU77">
        <v>309.63856999999996</v>
      </c>
      <c r="AV77">
        <v>174.96924999999999</v>
      </c>
      <c r="AW77">
        <v>2055626</v>
      </c>
      <c r="AX77">
        <v>798586</v>
      </c>
      <c r="AY77">
        <v>13.7</v>
      </c>
      <c r="AZ77">
        <v>4.7</v>
      </c>
      <c r="BA77"/>
      <c r="BB77">
        <v>103.20309218835359</v>
      </c>
      <c r="BC77">
        <v>105.82160049224902</v>
      </c>
      <c r="BD77">
        <v>126.58133333333333</v>
      </c>
      <c r="BE77">
        <v>1.2275366666666667</v>
      </c>
      <c r="BF77">
        <v>70.290666666666667</v>
      </c>
      <c r="BG77">
        <v>289.79666666666668</v>
      </c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1:83">
      <c r="A78" s="3">
        <v>38838</v>
      </c>
      <c r="B78" s="3">
        <v>38838</v>
      </c>
      <c r="C78">
        <v>207.55613239967934</v>
      </c>
      <c r="D78">
        <v>84.840122779588285</v>
      </c>
      <c r="E78">
        <v>116.59097952399915</v>
      </c>
      <c r="F78">
        <v>51.404117286450358</v>
      </c>
      <c r="J78">
        <v>316.06824300480008</v>
      </c>
      <c r="M78">
        <v>93.743235431104708</v>
      </c>
      <c r="O78">
        <v>134.7391586464</v>
      </c>
      <c r="T78">
        <v>86.372017755428558</v>
      </c>
      <c r="U78"/>
      <c r="V78"/>
      <c r="W78"/>
      <c r="X78"/>
      <c r="Y78"/>
      <c r="Z78"/>
      <c r="AA78"/>
      <c r="AB78">
        <v>1257</v>
      </c>
      <c r="AC78">
        <v>14035</v>
      </c>
      <c r="AD78">
        <v>3237.4</v>
      </c>
      <c r="AE78">
        <v>2113.5</v>
      </c>
      <c r="AF78">
        <v>157.46612559743141</v>
      </c>
      <c r="AG78">
        <v>145.39284802039168</v>
      </c>
      <c r="AH78">
        <v>166.44638622698565</v>
      </c>
      <c r="AI78">
        <v>146.13643856585526</v>
      </c>
      <c r="AJ78">
        <v>124.38494955717405</v>
      </c>
      <c r="AK78">
        <v>1041610</v>
      </c>
      <c r="AL78">
        <v>1013748</v>
      </c>
      <c r="AM78">
        <v>1943181</v>
      </c>
      <c r="AN78">
        <v>2513937</v>
      </c>
      <c r="AO78"/>
      <c r="AP78">
        <v>8.5</v>
      </c>
      <c r="AQ78"/>
      <c r="AR78"/>
      <c r="AS78"/>
      <c r="AT78"/>
      <c r="AU78">
        <v>202.22873999999999</v>
      </c>
      <c r="AV78">
        <v>183.65340000000003</v>
      </c>
      <c r="AW78">
        <v>2119143</v>
      </c>
      <c r="AX78">
        <v>863261</v>
      </c>
      <c r="AY78">
        <v>13.5</v>
      </c>
      <c r="AZ78">
        <v>5.2</v>
      </c>
      <c r="BA78"/>
      <c r="BB78">
        <v>104.57776589725296</v>
      </c>
      <c r="BC78">
        <v>106.73744462139018</v>
      </c>
      <c r="BD78">
        <v>122.40354838709678</v>
      </c>
      <c r="BE78">
        <v>1.2775225806451613</v>
      </c>
      <c r="BF78">
        <v>70.785161290322577</v>
      </c>
      <c r="BG78">
        <v>377.36129032258066</v>
      </c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1:83">
      <c r="A79" s="3">
        <v>38869</v>
      </c>
      <c r="B79" s="3">
        <v>38869</v>
      </c>
      <c r="C79">
        <v>205.68812720808216</v>
      </c>
      <c r="D79">
        <v>79.495195044474229</v>
      </c>
      <c r="E79">
        <v>117.87348029876313</v>
      </c>
      <c r="F79">
        <v>47.857233193685282</v>
      </c>
      <c r="J79">
        <v>377.06941390472645</v>
      </c>
      <c r="M79">
        <v>96.927553041632265</v>
      </c>
      <c r="O79">
        <v>177.9904285718944</v>
      </c>
      <c r="T79">
        <v>90.053008834707668</v>
      </c>
      <c r="U79"/>
      <c r="V79"/>
      <c r="W79"/>
      <c r="X79"/>
      <c r="Y79"/>
      <c r="Z79"/>
      <c r="AA79"/>
      <c r="AB79">
        <v>1154</v>
      </c>
      <c r="AC79">
        <v>13084</v>
      </c>
      <c r="AD79">
        <v>3689.2</v>
      </c>
      <c r="AE79">
        <v>2145.3000000000002</v>
      </c>
      <c r="AF79">
        <v>157.9385239742237</v>
      </c>
      <c r="AG79">
        <v>145.82902656445285</v>
      </c>
      <c r="AH79">
        <v>166.44638622698565</v>
      </c>
      <c r="AI79">
        <v>147.45166651294795</v>
      </c>
      <c r="AJ79">
        <v>124.75810440584556</v>
      </c>
      <c r="AK79">
        <v>1058984</v>
      </c>
      <c r="AL79">
        <v>1077420</v>
      </c>
      <c r="AM79">
        <v>2097516</v>
      </c>
      <c r="AN79">
        <v>2704125</v>
      </c>
      <c r="AO79"/>
      <c r="AP79">
        <v>8.5</v>
      </c>
      <c r="AQ79"/>
      <c r="AR79"/>
      <c r="AS79"/>
      <c r="AT79"/>
      <c r="AU79">
        <v>183.21043999999995</v>
      </c>
      <c r="AV79">
        <v>322.62110999999999</v>
      </c>
      <c r="AW79">
        <v>2180728</v>
      </c>
      <c r="AX79">
        <v>935455</v>
      </c>
      <c r="AY79">
        <v>13.4</v>
      </c>
      <c r="AZ79">
        <v>4.3</v>
      </c>
      <c r="BA79"/>
      <c r="BB79">
        <v>107.94344145187189</v>
      </c>
      <c r="BC79">
        <v>110.01169188672517</v>
      </c>
      <c r="BD79">
        <v>119.703</v>
      </c>
      <c r="BE79">
        <v>1.2667133333333334</v>
      </c>
      <c r="BF79">
        <v>69.853666666666669</v>
      </c>
      <c r="BG79">
        <v>331.7</v>
      </c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1:83">
      <c r="A80" s="3">
        <v>38899</v>
      </c>
      <c r="B80" s="3">
        <v>38899</v>
      </c>
      <c r="C80">
        <v>220.70336049427218</v>
      </c>
      <c r="D80">
        <v>87.36521935387718</v>
      </c>
      <c r="E80">
        <v>121.40968470772602</v>
      </c>
      <c r="F80">
        <v>46.134372798712619</v>
      </c>
      <c r="J80">
        <v>487.92782159271604</v>
      </c>
      <c r="M80">
        <v>101.32254317220577</v>
      </c>
      <c r="O80">
        <v>160.19138571470495</v>
      </c>
      <c r="T80">
        <v>91.270068528734953</v>
      </c>
      <c r="U80"/>
      <c r="V80"/>
      <c r="W80"/>
      <c r="X80"/>
      <c r="Y80"/>
      <c r="Z80"/>
      <c r="AA80"/>
      <c r="AB80">
        <v>1225</v>
      </c>
      <c r="AC80">
        <v>13905</v>
      </c>
      <c r="AD80">
        <v>3329.4</v>
      </c>
      <c r="AE80">
        <v>2108.6</v>
      </c>
      <c r="AF80">
        <v>158.25440102217215</v>
      </c>
      <c r="AG80">
        <v>147.14148780353293</v>
      </c>
      <c r="AH80">
        <v>165.7806006820777</v>
      </c>
      <c r="AI80">
        <v>148.1889248455127</v>
      </c>
      <c r="AJ80">
        <v>125.00762061465724</v>
      </c>
      <c r="AK80">
        <v>1162852</v>
      </c>
      <c r="AL80">
        <v>1155872</v>
      </c>
      <c r="AM80">
        <v>2214767</v>
      </c>
      <c r="AN80">
        <v>2813266</v>
      </c>
      <c r="AO80"/>
      <c r="AP80">
        <v>9</v>
      </c>
      <c r="AQ80"/>
      <c r="AR80"/>
      <c r="AS80"/>
      <c r="AT80"/>
      <c r="AU80">
        <v>172.96344999999997</v>
      </c>
      <c r="AV80">
        <v>149.77223999999998</v>
      </c>
      <c r="AW80">
        <v>2293290</v>
      </c>
      <c r="AX80">
        <v>1016553</v>
      </c>
      <c r="AY80">
        <v>13.1</v>
      </c>
      <c r="AZ80">
        <v>4</v>
      </c>
      <c r="BA80"/>
      <c r="BB80">
        <v>109.39983515955278</v>
      </c>
      <c r="BC80">
        <v>111.34780444570129</v>
      </c>
      <c r="BD80">
        <v>118.14451612903225</v>
      </c>
      <c r="BE80">
        <v>1.2708580645161289</v>
      </c>
      <c r="BF80">
        <v>74.268709677419352</v>
      </c>
      <c r="BG80">
        <v>359.64838709677417</v>
      </c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1:83">
      <c r="A81" s="3">
        <v>38930</v>
      </c>
      <c r="B81" s="3">
        <v>38930</v>
      </c>
      <c r="C81">
        <v>220.04125041278937</v>
      </c>
      <c r="D81">
        <v>87.277854134523309</v>
      </c>
      <c r="E81">
        <v>124.080697771296</v>
      </c>
      <c r="F81">
        <v>47.010925881888163</v>
      </c>
      <c r="J81">
        <v>581.12203551692483</v>
      </c>
      <c r="M81">
        <v>105.92550049466584</v>
      </c>
      <c r="O81">
        <v>178.45320368618133</v>
      </c>
      <c r="T81">
        <v>93.938915406969684</v>
      </c>
      <c r="U81"/>
      <c r="V81"/>
      <c r="W81"/>
      <c r="X81"/>
      <c r="Y81"/>
      <c r="Z81"/>
      <c r="AA81"/>
      <c r="AB81">
        <v>1195</v>
      </c>
      <c r="AC81">
        <v>13544</v>
      </c>
      <c r="AD81">
        <v>3234.4</v>
      </c>
      <c r="AE81">
        <v>2270.9</v>
      </c>
      <c r="AF81">
        <v>158.5709098242165</v>
      </c>
      <c r="AG81">
        <v>148.61290268156827</v>
      </c>
      <c r="AH81">
        <v>165.1174782793494</v>
      </c>
      <c r="AI81">
        <v>148.92986946974025</v>
      </c>
      <c r="AJ81">
        <v>125.25763585588656</v>
      </c>
      <c r="AK81">
        <v>1098956</v>
      </c>
      <c r="AL81">
        <v>1146848</v>
      </c>
      <c r="AM81">
        <v>2264265</v>
      </c>
      <c r="AN81">
        <v>2965144</v>
      </c>
      <c r="AO81"/>
      <c r="AP81">
        <v>9</v>
      </c>
      <c r="AQ81"/>
      <c r="AR81"/>
      <c r="AS81"/>
      <c r="AT81"/>
      <c r="AU81">
        <v>141.37466000000015</v>
      </c>
      <c r="AV81">
        <v>162.98958000000007</v>
      </c>
      <c r="AW81">
        <v>2444939</v>
      </c>
      <c r="AX81">
        <v>1138825</v>
      </c>
      <c r="AY81">
        <v>13.3</v>
      </c>
      <c r="AZ81">
        <v>4.4000000000000004</v>
      </c>
      <c r="BA81"/>
      <c r="BB81">
        <v>104.64069651927473</v>
      </c>
      <c r="BC81">
        <v>106.46364496718506</v>
      </c>
      <c r="BD81">
        <v>123.08322580645161</v>
      </c>
      <c r="BE81">
        <v>1.2803935483870967</v>
      </c>
      <c r="BF81">
        <v>73.97870967741936</v>
      </c>
      <c r="BG81">
        <v>350.5016129032258</v>
      </c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1:83">
      <c r="A82" s="3">
        <v>38961</v>
      </c>
      <c r="B82" s="3">
        <v>38961</v>
      </c>
      <c r="C82">
        <v>215.20034290370802</v>
      </c>
      <c r="D82">
        <v>84.048573531545941</v>
      </c>
      <c r="E82">
        <v>125.94190823786545</v>
      </c>
      <c r="F82">
        <v>46.070707364250403</v>
      </c>
      <c r="J82">
        <v>629.93628650034657</v>
      </c>
      <c r="M82">
        <v>98.326927362173848</v>
      </c>
      <c r="O82">
        <v>197.72614968428891</v>
      </c>
      <c r="T82">
        <v>92.496890009220749</v>
      </c>
      <c r="U82"/>
      <c r="V82"/>
      <c r="W82"/>
      <c r="X82"/>
      <c r="Y82"/>
      <c r="Z82"/>
      <c r="AA82"/>
      <c r="AB82">
        <v>1157</v>
      </c>
      <c r="AC82">
        <v>13472</v>
      </c>
      <c r="AD82">
        <v>4494.8999999999996</v>
      </c>
      <c r="AE82">
        <v>2188.6999999999998</v>
      </c>
      <c r="AF82">
        <v>159.36376437333757</v>
      </c>
      <c r="AG82">
        <v>149.95041880570236</v>
      </c>
      <c r="AH82">
        <v>164.95236080107003</v>
      </c>
      <c r="AI82">
        <v>150.86595777284688</v>
      </c>
      <c r="AJ82">
        <v>126.13443930687775</v>
      </c>
      <c r="AK82">
        <v>1196181</v>
      </c>
      <c r="AL82">
        <v>1186755</v>
      </c>
      <c r="AM82">
        <v>2300468</v>
      </c>
      <c r="AN82">
        <v>3053146</v>
      </c>
      <c r="AO82"/>
      <c r="AP82">
        <v>9</v>
      </c>
      <c r="AQ82"/>
      <c r="AR82"/>
      <c r="AS82"/>
      <c r="AT82"/>
      <c r="AU82">
        <v>154.86129000000003</v>
      </c>
      <c r="AV82">
        <v>169.90459999999987</v>
      </c>
      <c r="AW82">
        <v>2582033</v>
      </c>
      <c r="AX82">
        <v>1243421</v>
      </c>
      <c r="AY82">
        <v>13.1</v>
      </c>
      <c r="AZ82">
        <v>4.5999999999999996</v>
      </c>
      <c r="BA82"/>
      <c r="BB82">
        <v>102.41923757554335</v>
      </c>
      <c r="BC82">
        <v>103.77632775671344</v>
      </c>
      <c r="BD82">
        <v>126.27533333333334</v>
      </c>
      <c r="BE82">
        <v>1.27311</v>
      </c>
      <c r="BF82">
        <v>63.844999999999999</v>
      </c>
      <c r="BG82">
        <v>346.13499999999999</v>
      </c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1:83">
      <c r="A83" s="3">
        <v>38991</v>
      </c>
      <c r="B83" s="3">
        <v>38991</v>
      </c>
      <c r="C83">
        <v>224.02355696275998</v>
      </c>
      <c r="D83">
        <v>92.53747945823207</v>
      </c>
      <c r="E83">
        <v>124.80843106372464</v>
      </c>
      <c r="F83">
        <v>58.694081182055015</v>
      </c>
      <c r="J83">
        <v>470.56240601575888</v>
      </c>
      <c r="M83">
        <v>103.39670617960984</v>
      </c>
      <c r="O83">
        <v>185.467128403863</v>
      </c>
      <c r="T83">
        <v>96.853354003621305</v>
      </c>
      <c r="U83"/>
      <c r="V83"/>
      <c r="W83"/>
      <c r="X83"/>
      <c r="Y83"/>
      <c r="Z83"/>
      <c r="AA83"/>
      <c r="AB83">
        <v>1156</v>
      </c>
      <c r="AC83">
        <v>14188</v>
      </c>
      <c r="AD83">
        <v>3292</v>
      </c>
      <c r="AE83">
        <v>2534.4</v>
      </c>
      <c r="AF83">
        <v>160.47931072395096</v>
      </c>
      <c r="AG83">
        <v>150.85012131853657</v>
      </c>
      <c r="AH83">
        <v>165.77712260507539</v>
      </c>
      <c r="AI83">
        <v>152.67634926612104</v>
      </c>
      <c r="AJ83">
        <v>127.01738038202588</v>
      </c>
      <c r="AK83">
        <v>1191090</v>
      </c>
      <c r="AL83">
        <v>1132520</v>
      </c>
      <c r="AM83">
        <v>2416745</v>
      </c>
      <c r="AN83">
        <v>3238079</v>
      </c>
      <c r="AO83"/>
      <c r="AP83">
        <v>9</v>
      </c>
      <c r="AQ83"/>
      <c r="AR83"/>
      <c r="AS83"/>
      <c r="AT83"/>
      <c r="AU83">
        <v>180.41927000000001</v>
      </c>
      <c r="AV83">
        <v>152.57124999999999</v>
      </c>
      <c r="AW83">
        <v>2781401</v>
      </c>
      <c r="AX83">
        <v>1343632</v>
      </c>
      <c r="AY83">
        <v>12.7</v>
      </c>
      <c r="AZ83">
        <v>4.9000000000000004</v>
      </c>
      <c r="BA83"/>
      <c r="BB83">
        <v>102.27965408070783</v>
      </c>
      <c r="BC83">
        <v>103.13621849347881</v>
      </c>
      <c r="BD83">
        <v>127.69354838709677</v>
      </c>
      <c r="BE83">
        <v>1.2622548387096775</v>
      </c>
      <c r="BF83">
        <v>59.972580645161287</v>
      </c>
      <c r="BG83">
        <v>341.07258064516128</v>
      </c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1:83">
      <c r="A84" s="3">
        <v>39022</v>
      </c>
      <c r="B84" s="3">
        <v>39022</v>
      </c>
      <c r="C84">
        <v>224.47160407668551</v>
      </c>
      <c r="D84">
        <v>91.056879786900353</v>
      </c>
      <c r="E84">
        <v>127.42940811606285</v>
      </c>
      <c r="F84">
        <v>69.611180281917242</v>
      </c>
      <c r="J84">
        <v>335.98155789525191</v>
      </c>
      <c r="M84">
        <v>116.10298578349266</v>
      </c>
      <c r="O84">
        <v>196.96609036490253</v>
      </c>
      <c r="T84">
        <v>95.631993216329676</v>
      </c>
      <c r="U84"/>
      <c r="V84"/>
      <c r="W84"/>
      <c r="X84"/>
      <c r="Y84"/>
      <c r="Z84"/>
      <c r="AA84"/>
      <c r="AB84">
        <v>1323</v>
      </c>
      <c r="AC84">
        <v>15091</v>
      </c>
      <c r="AD84">
        <v>3133.5</v>
      </c>
      <c r="AE84">
        <v>2241.9</v>
      </c>
      <c r="AF84">
        <v>161.76314520974256</v>
      </c>
      <c r="AG84">
        <v>151.75522204644778</v>
      </c>
      <c r="AH84">
        <v>167.43489383112615</v>
      </c>
      <c r="AI84">
        <v>153.43973101245163</v>
      </c>
      <c r="AJ84">
        <v>127.77948466431803</v>
      </c>
      <c r="AK84">
        <v>1181591</v>
      </c>
      <c r="AL84">
        <v>1170277</v>
      </c>
      <c r="AM84">
        <v>2530079</v>
      </c>
      <c r="AN84">
        <v>3387724</v>
      </c>
      <c r="AO84"/>
      <c r="AP84">
        <v>9</v>
      </c>
      <c r="AQ84"/>
      <c r="AR84"/>
      <c r="AS84"/>
      <c r="AT84"/>
      <c r="AU84">
        <v>191.34830999999983</v>
      </c>
      <c r="AV84">
        <v>163.41126</v>
      </c>
      <c r="AW84">
        <v>2932486</v>
      </c>
      <c r="AX84">
        <v>1428711</v>
      </c>
      <c r="AY84">
        <v>12.9</v>
      </c>
      <c r="AZ84">
        <v>5.0999999999999996</v>
      </c>
      <c r="BA84"/>
      <c r="BB84">
        <v>101.10139918959898</v>
      </c>
      <c r="BC84">
        <v>101.55682918712164</v>
      </c>
      <c r="BD84">
        <v>127.90900000000001</v>
      </c>
      <c r="BE84">
        <v>1.28861</v>
      </c>
      <c r="BF84">
        <v>59.756999999999998</v>
      </c>
      <c r="BG84">
        <v>316.10166666666669</v>
      </c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1:83">
      <c r="A85" s="3">
        <v>39052</v>
      </c>
      <c r="B85" s="3">
        <v>39052</v>
      </c>
      <c r="C85">
        <v>238.61331513351672</v>
      </c>
      <c r="D85">
        <v>95.24549625709777</v>
      </c>
      <c r="E85">
        <v>136.73175490853544</v>
      </c>
      <c r="F85">
        <v>80.400913225614417</v>
      </c>
      <c r="J85">
        <v>367.56382433740561</v>
      </c>
      <c r="M85">
        <v>129.21741266109689</v>
      </c>
      <c r="O85">
        <v>328.93337090938724</v>
      </c>
      <c r="T85">
        <v>110.08517512442431</v>
      </c>
      <c r="U85"/>
      <c r="V85"/>
      <c r="W85"/>
      <c r="X85"/>
      <c r="Y85"/>
      <c r="Z85"/>
      <c r="AA85"/>
      <c r="AB85">
        <v>1376</v>
      </c>
      <c r="AC85">
        <v>19127</v>
      </c>
      <c r="AD85">
        <v>3430.2</v>
      </c>
      <c r="AE85">
        <v>2387.8000000000002</v>
      </c>
      <c r="AF85">
        <v>163.21901351663027</v>
      </c>
      <c r="AG85">
        <v>152.36224293463357</v>
      </c>
      <c r="AH85">
        <v>169.44411255709966</v>
      </c>
      <c r="AI85">
        <v>154.66724886055124</v>
      </c>
      <c r="AJ85">
        <v>128.67394105696826</v>
      </c>
      <c r="AK85">
        <v>1501328</v>
      </c>
      <c r="AL85">
        <v>1281549</v>
      </c>
      <c r="AM85">
        <v>2814551</v>
      </c>
      <c r="AN85">
        <v>3677561</v>
      </c>
      <c r="AO85"/>
      <c r="AP85">
        <v>9</v>
      </c>
      <c r="AQ85"/>
      <c r="AR85"/>
      <c r="AS85"/>
      <c r="AT85"/>
      <c r="AU85">
        <v>245.18556000000029</v>
      </c>
      <c r="AV85">
        <v>240.51737999999989</v>
      </c>
      <c r="AW85">
        <v>3156922</v>
      </c>
      <c r="AX85">
        <v>1534076</v>
      </c>
      <c r="AY85">
        <v>12.2</v>
      </c>
      <c r="AZ85">
        <v>5.9</v>
      </c>
      <c r="BA85"/>
      <c r="BB85">
        <v>99.733582230616321</v>
      </c>
      <c r="BC85">
        <v>99.908450539411973</v>
      </c>
      <c r="BD85">
        <v>127.78483870967742</v>
      </c>
      <c r="BE85">
        <v>1.3195806451612904</v>
      </c>
      <c r="BF85">
        <v>62.43</v>
      </c>
      <c r="BG85">
        <v>300.20161290322579</v>
      </c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1:83">
      <c r="A86" s="3">
        <v>39083</v>
      </c>
      <c r="B86" s="3">
        <v>39083</v>
      </c>
      <c r="C86">
        <v>220.71731649850298</v>
      </c>
      <c r="D86">
        <v>83.911282202503131</v>
      </c>
      <c r="E86">
        <v>116.90565044679779</v>
      </c>
      <c r="F86">
        <v>88.843009114303939</v>
      </c>
      <c r="J86">
        <v>110.26914730122168</v>
      </c>
      <c r="M86">
        <v>92.54631943287616</v>
      </c>
      <c r="O86">
        <v>102.62721172372882</v>
      </c>
      <c r="Q86">
        <v>26606.6</v>
      </c>
      <c r="T86">
        <v>100</v>
      </c>
      <c r="U86"/>
      <c r="V86"/>
      <c r="W86"/>
      <c r="X86"/>
      <c r="Y86"/>
      <c r="Z86"/>
      <c r="AA86"/>
      <c r="AB86">
        <v>1398</v>
      </c>
      <c r="AC86">
        <v>20901</v>
      </c>
      <c r="AD86">
        <v>3649.6</v>
      </c>
      <c r="AE86">
        <v>2139.1999999999998</v>
      </c>
      <c r="AF86">
        <v>165.01442266531319</v>
      </c>
      <c r="AG86">
        <v>152.81932966343743</v>
      </c>
      <c r="AH86">
        <v>172.15521835801323</v>
      </c>
      <c r="AI86">
        <v>156.36858859801728</v>
      </c>
      <c r="AJ86">
        <v>129.96068046753794</v>
      </c>
      <c r="AK86">
        <v>1391002</v>
      </c>
      <c r="AL86">
        <v>1250609</v>
      </c>
      <c r="AM86">
        <v>2867170</v>
      </c>
      <c r="AN86">
        <v>3608049</v>
      </c>
      <c r="AO86"/>
      <c r="AP86">
        <v>9</v>
      </c>
      <c r="AQ86"/>
      <c r="AR86"/>
      <c r="AS86"/>
      <c r="AT86"/>
      <c r="AU86">
        <v>161.70436999999998</v>
      </c>
      <c r="AV86">
        <v>126.57414</v>
      </c>
      <c r="AW86">
        <v>3205192</v>
      </c>
      <c r="AX86">
        <v>1598457</v>
      </c>
      <c r="AY86">
        <v>12.9</v>
      </c>
      <c r="AZ86">
        <v>6.8</v>
      </c>
      <c r="BA86"/>
      <c r="BB86">
        <v>103.25947378233636</v>
      </c>
      <c r="BC86">
        <v>102.85086048883511</v>
      </c>
      <c r="BD86">
        <v>125.70612903225806</v>
      </c>
      <c r="BE86">
        <v>1.2986129032258065</v>
      </c>
      <c r="BF86">
        <v>54.749354838709678</v>
      </c>
      <c r="BG86">
        <v>260.0790322580645</v>
      </c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1:83">
      <c r="A87" s="3">
        <v>39114</v>
      </c>
      <c r="B87" s="3">
        <v>39114</v>
      </c>
      <c r="C87">
        <v>201.7356272796317</v>
      </c>
      <c r="D87">
        <v>76.862734497492866</v>
      </c>
      <c r="E87">
        <v>101.00648198603331</v>
      </c>
      <c r="F87">
        <v>85.733503795303307</v>
      </c>
      <c r="J87">
        <v>141.36504684016617</v>
      </c>
      <c r="M87">
        <v>94.005029417346748</v>
      </c>
      <c r="O87">
        <v>111.86366077886441</v>
      </c>
      <c r="Q87">
        <v>24743.200000000001</v>
      </c>
      <c r="T87">
        <v>100.8</v>
      </c>
      <c r="U87"/>
      <c r="V87"/>
      <c r="W87"/>
      <c r="X87"/>
      <c r="Y87"/>
      <c r="Z87"/>
      <c r="AA87"/>
      <c r="AB87">
        <v>1466</v>
      </c>
      <c r="AC87">
        <v>21855</v>
      </c>
      <c r="AD87">
        <v>2703.5</v>
      </c>
      <c r="AE87">
        <v>2012.5</v>
      </c>
      <c r="AF87">
        <v>166.33453804663569</v>
      </c>
      <c r="AG87">
        <v>153.12496832276432</v>
      </c>
      <c r="AH87">
        <v>173.87677054159337</v>
      </c>
      <c r="AI87">
        <v>158.08864307259546</v>
      </c>
      <c r="AJ87">
        <v>130.87040523081069</v>
      </c>
      <c r="AK87">
        <v>1587979</v>
      </c>
      <c r="AL87">
        <v>1344095</v>
      </c>
      <c r="AM87">
        <v>2989009</v>
      </c>
      <c r="AN87">
        <v>3793972</v>
      </c>
      <c r="AO87"/>
      <c r="AP87">
        <v>9</v>
      </c>
      <c r="AQ87"/>
      <c r="AR87"/>
      <c r="AS87"/>
      <c r="AT87"/>
      <c r="AU87">
        <v>170.45578999999998</v>
      </c>
      <c r="AV87">
        <v>206.35472999999999</v>
      </c>
      <c r="AW87">
        <v>3358537</v>
      </c>
      <c r="AX87">
        <v>1668522</v>
      </c>
      <c r="AY87">
        <v>12.8</v>
      </c>
      <c r="AZ87">
        <v>5.7</v>
      </c>
      <c r="BA87"/>
      <c r="BB87">
        <v>103.81867418109675</v>
      </c>
      <c r="BC87">
        <v>103.20086441909831</v>
      </c>
      <c r="BD87">
        <v>124.60678571428572</v>
      </c>
      <c r="BE87">
        <v>1.3082285714285715</v>
      </c>
      <c r="BF87">
        <v>58.949285714285715</v>
      </c>
      <c r="BG87">
        <v>260.64285714285717</v>
      </c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1:83">
      <c r="A88" s="3">
        <v>39142</v>
      </c>
      <c r="B88" s="3">
        <v>39142</v>
      </c>
      <c r="C88">
        <v>221.70745438031526</v>
      </c>
      <c r="D88">
        <v>86.239988106186999</v>
      </c>
      <c r="E88">
        <v>110.50109129272043</v>
      </c>
      <c r="F88">
        <v>90.620313511635601</v>
      </c>
      <c r="J88">
        <v>193.10465398366696</v>
      </c>
      <c r="M88">
        <v>99.60923337227571</v>
      </c>
      <c r="O88">
        <v>132.89402900529092</v>
      </c>
      <c r="Q88">
        <v>27431.9</v>
      </c>
      <c r="T88">
        <v>108.25920000000001</v>
      </c>
      <c r="U88"/>
      <c r="V88"/>
      <c r="W88"/>
      <c r="X88"/>
      <c r="Y88"/>
      <c r="Z88"/>
      <c r="AA88"/>
      <c r="AB88">
        <v>1450</v>
      </c>
      <c r="AC88">
        <v>21567</v>
      </c>
      <c r="AD88">
        <v>3698.6</v>
      </c>
      <c r="AE88">
        <v>2319.8000000000002</v>
      </c>
      <c r="AF88">
        <v>167.49887981296214</v>
      </c>
      <c r="AG88">
        <v>153.7374681960554</v>
      </c>
      <c r="AH88">
        <v>174.92003116484292</v>
      </c>
      <c r="AI88">
        <v>159.827618146394</v>
      </c>
      <c r="AJ88">
        <v>131.78649806742635</v>
      </c>
      <c r="AK88">
        <v>1583970</v>
      </c>
      <c r="AL88">
        <v>1393072</v>
      </c>
      <c r="AM88">
        <v>3130333</v>
      </c>
      <c r="AN88">
        <v>3935686</v>
      </c>
      <c r="AO88"/>
      <c r="AP88">
        <v>9</v>
      </c>
      <c r="AQ88"/>
      <c r="AR88"/>
      <c r="AS88"/>
      <c r="AT88"/>
      <c r="AU88">
        <v>257.98326000000009</v>
      </c>
      <c r="AV88">
        <v>210.80898999999999</v>
      </c>
      <c r="AW88">
        <v>3481763</v>
      </c>
      <c r="AX88">
        <v>1790636</v>
      </c>
      <c r="AY88">
        <v>13.1</v>
      </c>
      <c r="AZ88">
        <v>6.2</v>
      </c>
      <c r="BA88"/>
      <c r="BB88">
        <v>103.78413180931183</v>
      </c>
      <c r="BC88">
        <v>102.87470211158663</v>
      </c>
      <c r="BD88">
        <v>124.04709677419355</v>
      </c>
      <c r="BE88">
        <v>1.3247064516129032</v>
      </c>
      <c r="BF88">
        <v>62.435161290322583</v>
      </c>
      <c r="BG88">
        <v>291.94838709677418</v>
      </c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1:83">
      <c r="A89" s="3">
        <v>39173</v>
      </c>
      <c r="B89" s="3">
        <v>39173</v>
      </c>
      <c r="C89">
        <v>218.6035500189908</v>
      </c>
      <c r="D89">
        <v>86.584948058611744</v>
      </c>
      <c r="E89">
        <v>118.01516550062543</v>
      </c>
      <c r="F89">
        <v>69.143299209377957</v>
      </c>
      <c r="J89">
        <v>298.73289971273277</v>
      </c>
      <c r="M89">
        <v>112.60778541719716</v>
      </c>
      <c r="O89">
        <v>136.08348570141791</v>
      </c>
      <c r="Q89">
        <v>28228.400000000001</v>
      </c>
      <c r="T89">
        <v>104.03709119999999</v>
      </c>
      <c r="U89"/>
      <c r="V89"/>
      <c r="W89"/>
      <c r="X89"/>
      <c r="Y89"/>
      <c r="Z89"/>
      <c r="AA89"/>
      <c r="AB89">
        <v>1489</v>
      </c>
      <c r="AC89">
        <v>22267</v>
      </c>
      <c r="AD89">
        <v>3371.5</v>
      </c>
      <c r="AE89">
        <v>2469.4</v>
      </c>
      <c r="AF89">
        <v>168.33637421202695</v>
      </c>
      <c r="AG89">
        <v>154.50615553703568</v>
      </c>
      <c r="AH89">
        <v>176.14447138299687</v>
      </c>
      <c r="AI89">
        <v>160.14727338268676</v>
      </c>
      <c r="AJ89">
        <v>132.44543055776347</v>
      </c>
      <c r="AK89">
        <v>1534440</v>
      </c>
      <c r="AL89">
        <v>1501086</v>
      </c>
      <c r="AM89">
        <v>3260921</v>
      </c>
      <c r="AN89">
        <v>3978254</v>
      </c>
      <c r="AO89"/>
      <c r="AP89">
        <v>9</v>
      </c>
      <c r="AQ89"/>
      <c r="AR89"/>
      <c r="AS89"/>
      <c r="AT89"/>
      <c r="AU89">
        <v>213.39771999999996</v>
      </c>
      <c r="AV89">
        <v>186.20675</v>
      </c>
      <c r="AW89">
        <v>3685789</v>
      </c>
      <c r="AX89">
        <v>1909454</v>
      </c>
      <c r="AY89">
        <v>13</v>
      </c>
      <c r="AZ89">
        <v>5.5</v>
      </c>
      <c r="BA89"/>
      <c r="BB89">
        <v>104.18199285691007</v>
      </c>
      <c r="BC89">
        <v>103.1251847414231</v>
      </c>
      <c r="BD89">
        <v>121.97066666666666</v>
      </c>
      <c r="BE89">
        <v>1.3514200000000001</v>
      </c>
      <c r="BF89">
        <v>67.751000000000005</v>
      </c>
      <c r="BG89">
        <v>349.48333333333335</v>
      </c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1:83">
      <c r="A90" s="3">
        <v>39203</v>
      </c>
      <c r="B90" s="3">
        <v>39203</v>
      </c>
      <c r="C90">
        <v>212.48265061845905</v>
      </c>
      <c r="D90">
        <v>83.987399616853395</v>
      </c>
      <c r="E90">
        <v>123.4438631136542</v>
      </c>
      <c r="F90">
        <v>53.516913588058536</v>
      </c>
      <c r="J90">
        <v>380.58571423402157</v>
      </c>
      <c r="M90">
        <v>104.05499132852623</v>
      </c>
      <c r="O90">
        <v>159.08159478495753</v>
      </c>
      <c r="Q90">
        <v>27449.7</v>
      </c>
      <c r="T90">
        <v>105.80572175039998</v>
      </c>
      <c r="U90"/>
      <c r="V90"/>
      <c r="W90"/>
      <c r="X90"/>
      <c r="Y90"/>
      <c r="Z90"/>
      <c r="AA90"/>
      <c r="AB90">
        <v>1475</v>
      </c>
      <c r="AC90">
        <v>21759</v>
      </c>
      <c r="AD90">
        <v>4080.6</v>
      </c>
      <c r="AE90">
        <v>2893.4</v>
      </c>
      <c r="AF90">
        <v>169.51472883151112</v>
      </c>
      <c r="AG90">
        <v>155.43319247025789</v>
      </c>
      <c r="AH90">
        <v>177.55362715406082</v>
      </c>
      <c r="AI90">
        <v>160.94800974960023</v>
      </c>
      <c r="AJ90">
        <v>133.24010314111004</v>
      </c>
      <c r="AK90">
        <v>1602747</v>
      </c>
      <c r="AL90">
        <v>1586502</v>
      </c>
      <c r="AM90">
        <v>3454167</v>
      </c>
      <c r="AN90">
        <v>4231060</v>
      </c>
      <c r="AO90"/>
      <c r="AP90">
        <v>9</v>
      </c>
      <c r="AQ90"/>
      <c r="AR90"/>
      <c r="AS90"/>
      <c r="AT90"/>
      <c r="AU90">
        <v>263.31061999999997</v>
      </c>
      <c r="AV90">
        <v>234.75980000000004</v>
      </c>
      <c r="AW90">
        <v>3947504</v>
      </c>
      <c r="AX90">
        <v>2065513</v>
      </c>
      <c r="AY90">
        <v>13.3</v>
      </c>
      <c r="AZ90">
        <v>5.3</v>
      </c>
      <c r="BA90"/>
      <c r="BB90">
        <v>106.18539155065912</v>
      </c>
      <c r="BC90">
        <v>104.74302291748245</v>
      </c>
      <c r="BD90">
        <v>120.35322580645162</v>
      </c>
      <c r="BE90">
        <v>1.3510741935483872</v>
      </c>
      <c r="BF90">
        <v>67.912580645161285</v>
      </c>
      <c r="BG90">
        <v>348.24193548387098</v>
      </c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1:83">
      <c r="A91" s="3">
        <v>39234</v>
      </c>
      <c r="B91" s="3">
        <v>39234</v>
      </c>
      <c r="C91">
        <v>206.10817109990526</v>
      </c>
      <c r="D91">
        <v>80.795878431412973</v>
      </c>
      <c r="E91">
        <v>122.82664379808593</v>
      </c>
      <c r="F91">
        <v>48.753908278721319</v>
      </c>
      <c r="J91">
        <v>489.43322850495167</v>
      </c>
      <c r="M91">
        <v>107.78343898229508</v>
      </c>
      <c r="O91">
        <v>217.305458476252</v>
      </c>
      <c r="Q91">
        <v>29470.9</v>
      </c>
      <c r="T91">
        <v>108.87408768116158</v>
      </c>
      <c r="U91"/>
      <c r="V91"/>
      <c r="W91"/>
      <c r="X91"/>
      <c r="Y91"/>
      <c r="Z91"/>
      <c r="AA91"/>
      <c r="AB91">
        <v>1457</v>
      </c>
      <c r="AC91">
        <v>22375</v>
      </c>
      <c r="AD91">
        <v>4302.8</v>
      </c>
      <c r="AE91">
        <v>2960.7</v>
      </c>
      <c r="AF91">
        <v>170.87084666216322</v>
      </c>
      <c r="AG91">
        <v>156.52122481754969</v>
      </c>
      <c r="AH91">
        <v>179.15160979844737</v>
      </c>
      <c r="AI91">
        <v>161.75274979834825</v>
      </c>
      <c r="AJ91">
        <v>134.0395437599567</v>
      </c>
      <c r="AK91">
        <v>1666674</v>
      </c>
      <c r="AL91">
        <v>1719489</v>
      </c>
      <c r="AM91">
        <v>3723349</v>
      </c>
      <c r="AN91">
        <v>4489209</v>
      </c>
      <c r="AO91"/>
      <c r="AP91">
        <v>9</v>
      </c>
      <c r="AQ91"/>
      <c r="AR91"/>
      <c r="AS91"/>
      <c r="AT91"/>
      <c r="AU91">
        <v>247.5501000000001</v>
      </c>
      <c r="AV91">
        <v>252.07149999999987</v>
      </c>
      <c r="AW91">
        <v>4341468</v>
      </c>
      <c r="AX91">
        <v>2227083</v>
      </c>
      <c r="AY91">
        <v>12.8</v>
      </c>
      <c r="AZ91">
        <v>6</v>
      </c>
      <c r="BA91"/>
      <c r="BB91">
        <v>105.46132836101421</v>
      </c>
      <c r="BC91">
        <v>103.73632104956702</v>
      </c>
      <c r="BD91">
        <v>122.02333333333334</v>
      </c>
      <c r="BE91">
        <v>1.3426966666666666</v>
      </c>
      <c r="BF91">
        <v>70.445333333333338</v>
      </c>
      <c r="BG91">
        <v>338.33499999999998</v>
      </c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1:83">
      <c r="A92" s="3">
        <v>39264</v>
      </c>
      <c r="B92" s="3">
        <v>39264</v>
      </c>
      <c r="C92">
        <v>215.17693062830114</v>
      </c>
      <c r="D92">
        <v>85.40124350200351</v>
      </c>
      <c r="E92">
        <v>122.45816386669168</v>
      </c>
      <c r="F92">
        <v>46.803751947572465</v>
      </c>
      <c r="J92">
        <v>591.72477326248668</v>
      </c>
      <c r="M92">
        <v>111.35347494625414</v>
      </c>
      <c r="O92">
        <v>192.315330751483</v>
      </c>
      <c r="Q92">
        <v>28927.39</v>
      </c>
      <c r="T92">
        <v>110.07170264565436</v>
      </c>
      <c r="U92"/>
      <c r="V92"/>
      <c r="W92"/>
      <c r="X92"/>
      <c r="Y92"/>
      <c r="Z92"/>
      <c r="AA92"/>
      <c r="AB92">
        <v>1444</v>
      </c>
      <c r="AC92">
        <v>23409</v>
      </c>
      <c r="AD92">
        <v>3706</v>
      </c>
      <c r="AE92">
        <v>3119.7</v>
      </c>
      <c r="AF92">
        <v>172.40868428212269</v>
      </c>
      <c r="AG92">
        <v>158.7125219649954</v>
      </c>
      <c r="AH92">
        <v>180.58482267683493</v>
      </c>
      <c r="AI92">
        <v>162.72326629713834</v>
      </c>
      <c r="AJ92">
        <v>135.11186011003636</v>
      </c>
      <c r="AK92">
        <v>1696397</v>
      </c>
      <c r="AL92">
        <v>1666933</v>
      </c>
      <c r="AM92">
        <v>3759581</v>
      </c>
      <c r="AN92">
        <v>4617639</v>
      </c>
      <c r="AO92"/>
      <c r="AP92">
        <v>9</v>
      </c>
      <c r="AQ92"/>
      <c r="AR92"/>
      <c r="AS92"/>
      <c r="AT92"/>
      <c r="AU92">
        <v>262.21995999999996</v>
      </c>
      <c r="AV92">
        <v>200.37089000000012</v>
      </c>
      <c r="AW92">
        <v>4483297</v>
      </c>
      <c r="AX92">
        <v>2392631</v>
      </c>
      <c r="AY92">
        <v>13</v>
      </c>
      <c r="AZ92">
        <v>6.1</v>
      </c>
      <c r="BA92"/>
      <c r="BB92">
        <v>104.30678622818147</v>
      </c>
      <c r="BC92">
        <v>101.97447667255577</v>
      </c>
      <c r="BD92">
        <v>122.21774193548387</v>
      </c>
      <c r="BE92">
        <v>1.3714451612903227</v>
      </c>
      <c r="BF92">
        <v>75.921935483870968</v>
      </c>
      <c r="BG92">
        <v>361.30967741935484</v>
      </c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1:83">
      <c r="A93" s="3">
        <v>39295</v>
      </c>
      <c r="B93" s="3">
        <v>39295</v>
      </c>
      <c r="C93">
        <v>224.21436171468974</v>
      </c>
      <c r="D93">
        <v>85.828249719513522</v>
      </c>
      <c r="E93">
        <v>132.74464963149379</v>
      </c>
      <c r="F93">
        <v>49.050332041055938</v>
      </c>
      <c r="J93">
        <v>592.90822280901159</v>
      </c>
      <c r="M93">
        <v>115.35287003869112</v>
      </c>
      <c r="O93">
        <v>203.46961993506903</v>
      </c>
      <c r="Q93">
        <v>30815.599999999999</v>
      </c>
      <c r="T93">
        <v>112.1630649959218</v>
      </c>
      <c r="U93"/>
      <c r="V93"/>
      <c r="W93"/>
      <c r="X93"/>
      <c r="Y93"/>
      <c r="Z93"/>
      <c r="AA93"/>
      <c r="AB93">
        <v>1440</v>
      </c>
      <c r="AC93">
        <v>20035</v>
      </c>
      <c r="AD93">
        <v>3864.2</v>
      </c>
      <c r="AE93">
        <v>2876.9</v>
      </c>
      <c r="AF93">
        <v>173.61554507209755</v>
      </c>
      <c r="AG93">
        <v>159.66479709678538</v>
      </c>
      <c r="AH93">
        <v>182.21008608092646</v>
      </c>
      <c r="AI93">
        <v>163.53688262862403</v>
      </c>
      <c r="AJ93">
        <v>136.46297871113671</v>
      </c>
      <c r="AK93">
        <v>1751136</v>
      </c>
      <c r="AL93">
        <v>1622284</v>
      </c>
      <c r="AM93">
        <v>3651989</v>
      </c>
      <c r="AN93">
        <v>4572106</v>
      </c>
      <c r="AO93"/>
      <c r="AP93">
        <v>9</v>
      </c>
      <c r="AQ93"/>
      <c r="AR93"/>
      <c r="AS93"/>
      <c r="AT93"/>
      <c r="AU93">
        <v>220.01633999999984</v>
      </c>
      <c r="AV93">
        <v>257.38809999999984</v>
      </c>
      <c r="AW93">
        <v>4604741</v>
      </c>
      <c r="AX93">
        <v>2525162</v>
      </c>
      <c r="AY93">
        <v>13.5</v>
      </c>
      <c r="AZ93">
        <v>6</v>
      </c>
      <c r="BA93"/>
      <c r="BB93">
        <v>102.7404221940525</v>
      </c>
      <c r="BC93">
        <v>100.03675658592056</v>
      </c>
      <c r="BD93">
        <v>125.17774193548387</v>
      </c>
      <c r="BE93">
        <v>1.3627967741935483</v>
      </c>
      <c r="BF93">
        <v>71.322580645161295</v>
      </c>
      <c r="BG93">
        <v>334.51129032258063</v>
      </c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1:83">
      <c r="A94" s="3">
        <v>39326</v>
      </c>
      <c r="B94" s="3">
        <v>39326</v>
      </c>
      <c r="C94">
        <v>221.52378937411351</v>
      </c>
      <c r="D94">
        <v>85.74242146979401</v>
      </c>
      <c r="E94">
        <v>131.41720313517885</v>
      </c>
      <c r="F94">
        <v>50.472791670246565</v>
      </c>
      <c r="J94">
        <v>542.51102387024559</v>
      </c>
      <c r="M94">
        <v>108.15962009839124</v>
      </c>
      <c r="O94">
        <v>250.2676325201349</v>
      </c>
      <c r="Q94">
        <v>31111.8</v>
      </c>
      <c r="T94">
        <v>110.25629289099113</v>
      </c>
      <c r="U94"/>
      <c r="V94"/>
      <c r="W94"/>
      <c r="X94"/>
      <c r="Y94"/>
      <c r="Z94"/>
      <c r="AA94"/>
      <c r="AB94">
        <v>1487</v>
      </c>
      <c r="AC94">
        <v>18424</v>
      </c>
      <c r="AD94">
        <v>4411.8</v>
      </c>
      <c r="AE94">
        <v>2919.1</v>
      </c>
      <c r="AF94">
        <v>177.43508706368371</v>
      </c>
      <c r="AG94">
        <v>160.94211547355965</v>
      </c>
      <c r="AH94">
        <v>188.58743909375889</v>
      </c>
      <c r="AI94">
        <v>165.98993586805338</v>
      </c>
      <c r="AJ94">
        <v>140.01101615762627</v>
      </c>
      <c r="AK94">
        <v>1713139</v>
      </c>
      <c r="AL94">
        <v>1649525</v>
      </c>
      <c r="AM94">
        <v>3555596</v>
      </c>
      <c r="AN94">
        <v>4478710</v>
      </c>
      <c r="AO94"/>
      <c r="AP94">
        <v>9</v>
      </c>
      <c r="AQ94"/>
      <c r="AR94"/>
      <c r="AS94"/>
      <c r="AT94"/>
      <c r="AU94">
        <v>246.21940000000015</v>
      </c>
      <c r="AV94">
        <v>260.86837000000008</v>
      </c>
      <c r="AW94">
        <v>4591127</v>
      </c>
      <c r="AX94">
        <v>2526868</v>
      </c>
      <c r="AY94">
        <v>14.4</v>
      </c>
      <c r="AZ94">
        <v>7.3</v>
      </c>
      <c r="BA94"/>
      <c r="BB94">
        <v>105.08127485605097</v>
      </c>
      <c r="BC94">
        <v>100.61972931570939</v>
      </c>
      <c r="BD94">
        <v>122.232</v>
      </c>
      <c r="BE94">
        <v>1.3921233333333334</v>
      </c>
      <c r="BF94">
        <v>76.805333333333337</v>
      </c>
      <c r="BG94">
        <v>345.49166666666667</v>
      </c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1:83">
      <c r="A95" s="3">
        <v>39356</v>
      </c>
      <c r="B95" s="3">
        <v>39356</v>
      </c>
      <c r="C95">
        <v>233.70759778968971</v>
      </c>
      <c r="D95">
        <v>92.601815187377525</v>
      </c>
      <c r="E95">
        <v>135.22830202609904</v>
      </c>
      <c r="F95">
        <v>66.573612213055227</v>
      </c>
      <c r="J95">
        <v>508.87534039029038</v>
      </c>
      <c r="M95">
        <v>111.77183938015823</v>
      </c>
      <c r="O95">
        <v>222.98846057544017</v>
      </c>
      <c r="Q95">
        <v>31563.3</v>
      </c>
      <c r="T95">
        <v>109.15372996208121</v>
      </c>
      <c r="U95"/>
      <c r="V95"/>
      <c r="W95"/>
      <c r="X95"/>
      <c r="Y95"/>
      <c r="Z95"/>
      <c r="AA95"/>
      <c r="AB95">
        <v>1578</v>
      </c>
      <c r="AC95">
        <v>17430</v>
      </c>
      <c r="AD95">
        <v>4108</v>
      </c>
      <c r="AE95">
        <v>3113.2</v>
      </c>
      <c r="AF95">
        <v>185.2422308944858</v>
      </c>
      <c r="AG95">
        <v>163.35624720566304</v>
      </c>
      <c r="AH95">
        <v>200.84562263485321</v>
      </c>
      <c r="AI95">
        <v>172.96151317451162</v>
      </c>
      <c r="AJ95">
        <v>146.31151188471944</v>
      </c>
      <c r="AK95">
        <v>1502658</v>
      </c>
      <c r="AL95">
        <v>1502444</v>
      </c>
      <c r="AM95">
        <v>3422035</v>
      </c>
      <c r="AN95">
        <v>4351803</v>
      </c>
      <c r="AO95"/>
      <c r="AP95">
        <v>9</v>
      </c>
      <c r="AQ95"/>
      <c r="AR95"/>
      <c r="AS95"/>
      <c r="AT95"/>
      <c r="AU95">
        <v>248.43127000000001</v>
      </c>
      <c r="AV95">
        <v>203.17783000000009</v>
      </c>
      <c r="AW95">
        <v>4640713</v>
      </c>
      <c r="AX95">
        <v>2572885</v>
      </c>
      <c r="AY95">
        <v>14.7</v>
      </c>
      <c r="AZ95">
        <v>8.6</v>
      </c>
      <c r="BA95"/>
      <c r="BB95">
        <v>108.42721148903738</v>
      </c>
      <c r="BC95">
        <v>100.27650698659478</v>
      </c>
      <c r="BD95">
        <v>120.8525806451613</v>
      </c>
      <c r="BE95">
        <v>1.4238419354838709</v>
      </c>
      <c r="BF95">
        <v>82.606129032258067</v>
      </c>
      <c r="BG95">
        <v>360.56935483870967</v>
      </c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1:83">
      <c r="A96" s="3">
        <v>39387</v>
      </c>
      <c r="B96" s="3">
        <v>39387</v>
      </c>
      <c r="C96">
        <v>239.0828725388526</v>
      </c>
      <c r="D96">
        <v>93.157426078501786</v>
      </c>
      <c r="E96">
        <v>140.09652089903858</v>
      </c>
      <c r="F96">
        <v>81.286380512140425</v>
      </c>
      <c r="J96">
        <v>356.72161361359349</v>
      </c>
      <c r="M96">
        <v>125.97173957508952</v>
      </c>
      <c r="O96">
        <v>211.61604908609274</v>
      </c>
      <c r="Q96">
        <v>31478.15</v>
      </c>
      <c r="T96">
        <v>106.53404044299127</v>
      </c>
      <c r="U96"/>
      <c r="V96"/>
      <c r="W96"/>
      <c r="X96"/>
      <c r="Y96"/>
      <c r="Z96"/>
      <c r="AA96"/>
      <c r="AB96">
        <v>1761</v>
      </c>
      <c r="AC96">
        <v>18120</v>
      </c>
      <c r="AD96">
        <v>4682.6000000000004</v>
      </c>
      <c r="AE96">
        <v>2946.3</v>
      </c>
      <c r="AF96">
        <v>190.24377112863692</v>
      </c>
      <c r="AG96">
        <v>166.296659655365</v>
      </c>
      <c r="AH96">
        <v>208.67860191761253</v>
      </c>
      <c r="AI96">
        <v>176.07482041165284</v>
      </c>
      <c r="AJ96">
        <v>149.96929968183741</v>
      </c>
      <c r="AK96">
        <v>1489996</v>
      </c>
      <c r="AL96">
        <v>1471317</v>
      </c>
      <c r="AM96">
        <v>3470733</v>
      </c>
      <c r="AN96">
        <v>4520981</v>
      </c>
      <c r="AO96"/>
      <c r="AP96">
        <v>9</v>
      </c>
      <c r="AQ96"/>
      <c r="AR96"/>
      <c r="AS96"/>
      <c r="AT96"/>
      <c r="AU96">
        <v>288.21283999999986</v>
      </c>
      <c r="AV96">
        <v>226.67606999999984</v>
      </c>
      <c r="AW96">
        <v>4646677</v>
      </c>
      <c r="AX96">
        <v>2580834</v>
      </c>
      <c r="AY96">
        <v>14.5</v>
      </c>
      <c r="AZ96">
        <v>8</v>
      </c>
      <c r="BA96"/>
      <c r="BB96">
        <v>108.14884145664161</v>
      </c>
      <c r="BC96">
        <v>98.112213756484977</v>
      </c>
      <c r="BD96">
        <v>120.72566666666667</v>
      </c>
      <c r="BE96">
        <v>1.4677833333333332</v>
      </c>
      <c r="BF96">
        <v>92.459000000000003</v>
      </c>
      <c r="BG96">
        <v>313.07333333333332</v>
      </c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1:83">
      <c r="A97" s="3">
        <v>39417</v>
      </c>
      <c r="B97" s="3">
        <v>39417</v>
      </c>
      <c r="C97">
        <v>252.71059627356718</v>
      </c>
      <c r="D97">
        <v>97.070037973798861</v>
      </c>
      <c r="E97">
        <v>149.34289127837513</v>
      </c>
      <c r="F97">
        <v>101.68926202068766</v>
      </c>
      <c r="J97">
        <v>422.00166890488106</v>
      </c>
      <c r="M97">
        <v>142.26837133986768</v>
      </c>
      <c r="O97">
        <v>337.10436619414577</v>
      </c>
      <c r="Q97">
        <v>32626.5</v>
      </c>
      <c r="T97">
        <v>118.89198913437825</v>
      </c>
      <c r="U97"/>
      <c r="V97"/>
      <c r="W97"/>
      <c r="X97"/>
      <c r="Y97"/>
      <c r="Z97"/>
      <c r="AA97"/>
      <c r="AB97">
        <v>1853</v>
      </c>
      <c r="AC97">
        <v>17629</v>
      </c>
      <c r="AD97">
        <v>5176.2</v>
      </c>
      <c r="AE97">
        <v>2986.2</v>
      </c>
      <c r="AF97">
        <v>193.85840278008106</v>
      </c>
      <c r="AG97">
        <v>168.29221957122934</v>
      </c>
      <c r="AH97">
        <v>214.31292416938805</v>
      </c>
      <c r="AI97">
        <v>178.36379307700426</v>
      </c>
      <c r="AJ97">
        <v>152.66874707611049</v>
      </c>
      <c r="AK97">
        <v>1464136</v>
      </c>
      <c r="AL97">
        <v>1532688</v>
      </c>
      <c r="AM97">
        <v>3553643</v>
      </c>
      <c r="AN97">
        <v>4629829</v>
      </c>
      <c r="AO97"/>
      <c r="AP97">
        <v>11</v>
      </c>
      <c r="AQ97"/>
      <c r="AR97"/>
      <c r="AS97"/>
      <c r="AT97"/>
      <c r="AU97">
        <v>308.37223</v>
      </c>
      <c r="AV97">
        <v>313.02312999999987</v>
      </c>
      <c r="AW97">
        <v>4681174</v>
      </c>
      <c r="AX97">
        <v>2577195</v>
      </c>
      <c r="AY97">
        <v>14.8</v>
      </c>
      <c r="AZ97">
        <v>7.7</v>
      </c>
      <c r="BA97"/>
      <c r="BB97">
        <v>109.9571941693325</v>
      </c>
      <c r="BC97">
        <v>98.654763264836092</v>
      </c>
      <c r="BD97">
        <v>120.77741935483871</v>
      </c>
      <c r="BE97">
        <v>1.4556387096774193</v>
      </c>
      <c r="BF97">
        <v>91.399354838709684</v>
      </c>
      <c r="BG97">
        <v>304.23548387096776</v>
      </c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1:83">
      <c r="A98" s="3">
        <v>39448</v>
      </c>
      <c r="B98" s="3">
        <v>39448</v>
      </c>
      <c r="C98">
        <v>229.46122141639898</v>
      </c>
      <c r="D98">
        <v>95.419847328244273</v>
      </c>
      <c r="E98">
        <v>119.4743130227001</v>
      </c>
      <c r="F98">
        <v>103.51966873706004</v>
      </c>
      <c r="G98">
        <v>135.13513513513513</v>
      </c>
      <c r="J98">
        <v>147.70058411670837</v>
      </c>
      <c r="K98">
        <v>95.785440613026822</v>
      </c>
      <c r="M98">
        <v>96.618357487922708</v>
      </c>
      <c r="O98">
        <v>113.60417140742713</v>
      </c>
      <c r="P98">
        <v>102.98661174047375</v>
      </c>
      <c r="Q98">
        <v>28591.62</v>
      </c>
      <c r="T98">
        <v>103.79270651431221</v>
      </c>
      <c r="U98"/>
      <c r="V98"/>
      <c r="W98"/>
      <c r="X98"/>
      <c r="Y98"/>
      <c r="Z98"/>
      <c r="AA98"/>
      <c r="AB98">
        <v>2011</v>
      </c>
      <c r="AC98">
        <v>19161</v>
      </c>
      <c r="AD98">
        <v>5180.1000000000004</v>
      </c>
      <c r="AE98">
        <v>2302.8000000000002</v>
      </c>
      <c r="AF98">
        <v>195.99084521066194</v>
      </c>
      <c r="AG98">
        <v>169.63855732779919</v>
      </c>
      <c r="AH98">
        <v>217.74193095609826</v>
      </c>
      <c r="AI98">
        <v>179.4339758354663</v>
      </c>
      <c r="AJ98">
        <v>154.04276579979546</v>
      </c>
      <c r="AK98">
        <v>1509503</v>
      </c>
      <c r="AL98">
        <v>1441389</v>
      </c>
      <c r="AM98">
        <v>3443604</v>
      </c>
      <c r="AN98">
        <v>4596133</v>
      </c>
      <c r="AO98"/>
      <c r="AP98">
        <v>11</v>
      </c>
      <c r="AQ98"/>
      <c r="AR98"/>
      <c r="AS98"/>
      <c r="AT98"/>
      <c r="AU98">
        <v>216.22704999999999</v>
      </c>
      <c r="AV98">
        <v>117.6977</v>
      </c>
      <c r="AW98">
        <v>4685205</v>
      </c>
      <c r="AX98">
        <v>2557776</v>
      </c>
      <c r="AY98">
        <v>15.5</v>
      </c>
      <c r="AZ98">
        <v>7.8</v>
      </c>
      <c r="BA98"/>
      <c r="BB98">
        <v>109.34319683452097</v>
      </c>
      <c r="BC98">
        <v>98.009214043121162</v>
      </c>
      <c r="BD98">
        <v>120.41193548387096</v>
      </c>
      <c r="BE98">
        <v>1.4712903225806451</v>
      </c>
      <c r="BF98">
        <v>91.998387096774195</v>
      </c>
      <c r="BG98">
        <v>321.16129032258061</v>
      </c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1:83">
      <c r="A99" s="3">
        <v>39479</v>
      </c>
      <c r="B99" s="3">
        <v>39479</v>
      </c>
      <c r="C99">
        <v>224.72446878514128</v>
      </c>
      <c r="D99">
        <v>92.687747035573125</v>
      </c>
      <c r="E99">
        <v>121.05896510228639</v>
      </c>
      <c r="F99">
        <v>95.520833333333329</v>
      </c>
      <c r="G99">
        <v>133.56741573033705</v>
      </c>
      <c r="J99">
        <v>172.80968341654881</v>
      </c>
      <c r="K99">
        <v>91.15128449096099</v>
      </c>
      <c r="M99">
        <v>99.269311064718153</v>
      </c>
      <c r="O99">
        <v>133.37129723231948</v>
      </c>
      <c r="P99">
        <v>99.89506820566632</v>
      </c>
      <c r="Q99">
        <v>27657.759999999998</v>
      </c>
      <c r="T99">
        <v>104.32008282957997</v>
      </c>
      <c r="U99"/>
      <c r="V99"/>
      <c r="W99"/>
      <c r="X99"/>
      <c r="Y99"/>
      <c r="Z99"/>
      <c r="AA99"/>
      <c r="AB99">
        <v>2109</v>
      </c>
      <c r="AC99">
        <v>19046</v>
      </c>
      <c r="AD99">
        <v>5109.7</v>
      </c>
      <c r="AE99">
        <v>2299.5</v>
      </c>
      <c r="AF99">
        <v>197.55877197234724</v>
      </c>
      <c r="AG99">
        <v>170.48675011443822</v>
      </c>
      <c r="AH99">
        <v>220.35483412757145</v>
      </c>
      <c r="AI99">
        <v>180.69001366631457</v>
      </c>
      <c r="AJ99">
        <v>154.96702239459424</v>
      </c>
      <c r="AK99">
        <v>1579496</v>
      </c>
      <c r="AL99">
        <v>1497436</v>
      </c>
      <c r="AM99">
        <v>3485034</v>
      </c>
      <c r="AN99">
        <v>4651452</v>
      </c>
      <c r="AO99"/>
      <c r="AP99">
        <v>11</v>
      </c>
      <c r="AQ99"/>
      <c r="AR99"/>
      <c r="AS99"/>
      <c r="AT99"/>
      <c r="AU99">
        <v>346.37371000000002</v>
      </c>
      <c r="AV99">
        <v>285.72055999999998</v>
      </c>
      <c r="AW99">
        <v>4696270</v>
      </c>
      <c r="AX99">
        <v>2543272</v>
      </c>
      <c r="AY99">
        <v>15.9</v>
      </c>
      <c r="AZ99">
        <v>7.8</v>
      </c>
      <c r="BA99"/>
      <c r="BB99">
        <v>108.99822770183074</v>
      </c>
      <c r="BC99">
        <v>97.700680387120499</v>
      </c>
      <c r="BD99">
        <v>120.35862068965517</v>
      </c>
      <c r="BE99">
        <v>1.4743689655172414</v>
      </c>
      <c r="BF99">
        <v>94.275862068965523</v>
      </c>
      <c r="BG99">
        <v>357.32068965517243</v>
      </c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1:83">
      <c r="A100" s="3">
        <v>39508</v>
      </c>
      <c r="B100" s="3">
        <v>39508</v>
      </c>
      <c r="C100">
        <v>244.91534145240342</v>
      </c>
      <c r="D100">
        <v>102.85589430894308</v>
      </c>
      <c r="E100">
        <v>133.46930693069308</v>
      </c>
      <c r="F100">
        <v>87.402991026919238</v>
      </c>
      <c r="G100">
        <v>137.29497964721844</v>
      </c>
      <c r="J100">
        <v>204.77947484861033</v>
      </c>
      <c r="K100">
        <v>114.43300589390961</v>
      </c>
      <c r="M100">
        <v>102.59751037344398</v>
      </c>
      <c r="O100">
        <v>155.64430387011683</v>
      </c>
      <c r="P100">
        <v>104.00170031880978</v>
      </c>
      <c r="Q100">
        <v>29059.3</v>
      </c>
      <c r="T100">
        <v>109.25260848510904</v>
      </c>
      <c r="U100"/>
      <c r="V100"/>
      <c r="W100"/>
      <c r="X100"/>
      <c r="Y100"/>
      <c r="Z100"/>
      <c r="AA100"/>
      <c r="AB100">
        <v>2031</v>
      </c>
      <c r="AC100">
        <v>19265</v>
      </c>
      <c r="AD100">
        <v>5490.7</v>
      </c>
      <c r="AE100">
        <v>2492.3000000000002</v>
      </c>
      <c r="AF100">
        <v>198.74412460418131</v>
      </c>
      <c r="AG100">
        <v>170.9982103647815</v>
      </c>
      <c r="AH100">
        <v>222.33802763471959</v>
      </c>
      <c r="AI100">
        <v>181.41277372097983</v>
      </c>
      <c r="AJ100">
        <v>155.58689048417261</v>
      </c>
      <c r="AK100">
        <v>1578890</v>
      </c>
      <c r="AL100">
        <v>1576730</v>
      </c>
      <c r="AM100">
        <v>3606858</v>
      </c>
      <c r="AN100">
        <v>4815185</v>
      </c>
      <c r="AO100"/>
      <c r="AP100">
        <v>11</v>
      </c>
      <c r="AQ100"/>
      <c r="AR100"/>
      <c r="AS100"/>
      <c r="AT100"/>
      <c r="AU100">
        <v>182.85459999999998</v>
      </c>
      <c r="AV100">
        <v>259.63001000000003</v>
      </c>
      <c r="AW100">
        <v>4725926</v>
      </c>
      <c r="AX100">
        <v>2529915</v>
      </c>
      <c r="AY100">
        <v>15.9</v>
      </c>
      <c r="AZ100">
        <v>8.9</v>
      </c>
      <c r="BA100"/>
      <c r="BB100">
        <v>104.54195162977085</v>
      </c>
      <c r="BC100">
        <v>93.922132833958756</v>
      </c>
      <c r="BD100">
        <v>120.6458064516129</v>
      </c>
      <c r="BE100">
        <v>1.5514741935483871</v>
      </c>
      <c r="BF100">
        <v>102.77645161290323</v>
      </c>
      <c r="BG100">
        <v>380.39516129032256</v>
      </c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1:83">
      <c r="A101" s="3">
        <v>39539</v>
      </c>
      <c r="B101" s="3">
        <v>39539</v>
      </c>
      <c r="C101">
        <v>241.46982789878896</v>
      </c>
      <c r="D101">
        <v>98.958909284332663</v>
      </c>
      <c r="E101">
        <v>140.47012655889145</v>
      </c>
      <c r="F101">
        <v>73.813919673802246</v>
      </c>
      <c r="G101">
        <v>144.61165006877576</v>
      </c>
      <c r="J101">
        <v>333.38098505353764</v>
      </c>
      <c r="K101">
        <v>118.65217873170731</v>
      </c>
      <c r="M101">
        <v>106.41435721925131</v>
      </c>
      <c r="O101">
        <v>149.8854646269225</v>
      </c>
      <c r="P101">
        <v>107.94617682403431</v>
      </c>
      <c r="Q101">
        <v>30136.33</v>
      </c>
      <c r="T101">
        <v>107.47845325559294</v>
      </c>
      <c r="U101"/>
      <c r="V101"/>
      <c r="W101"/>
      <c r="X101"/>
      <c r="Y101"/>
      <c r="Z101"/>
      <c r="AA101"/>
      <c r="AB101">
        <v>1880</v>
      </c>
      <c r="AC101">
        <v>20727</v>
      </c>
      <c r="AD101">
        <v>5735.1</v>
      </c>
      <c r="AE101">
        <v>2982.8</v>
      </c>
      <c r="AF101">
        <v>200.53282172561896</v>
      </c>
      <c r="AG101">
        <v>172.36619604769976</v>
      </c>
      <c r="AH101">
        <v>224.56140791106679</v>
      </c>
      <c r="AI101">
        <v>182.68266313702674</v>
      </c>
      <c r="AJ101">
        <v>156.98717249853016</v>
      </c>
      <c r="AK101">
        <v>1534208</v>
      </c>
      <c r="AL101">
        <v>1578419</v>
      </c>
      <c r="AM101">
        <v>3617487</v>
      </c>
      <c r="AN101">
        <v>4852705</v>
      </c>
      <c r="AO101"/>
      <c r="AP101">
        <v>11</v>
      </c>
      <c r="AQ101"/>
      <c r="AR101"/>
      <c r="AS101"/>
      <c r="AT101"/>
      <c r="AU101">
        <v>263.03777000000002</v>
      </c>
      <c r="AV101">
        <v>248.98635999999999</v>
      </c>
      <c r="AW101">
        <v>4745442</v>
      </c>
      <c r="AX101">
        <v>2513594</v>
      </c>
      <c r="AY101">
        <v>15.6</v>
      </c>
      <c r="AZ101">
        <v>8.1</v>
      </c>
      <c r="BA101"/>
      <c r="BB101">
        <v>103.99023591409953</v>
      </c>
      <c r="BC101">
        <v>93.366835770839913</v>
      </c>
      <c r="BD101">
        <v>120.51233333333333</v>
      </c>
      <c r="BE101">
        <v>1.5758733333333332</v>
      </c>
      <c r="BF101">
        <v>110.57566666666666</v>
      </c>
      <c r="BG101">
        <v>391.64</v>
      </c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1:83">
      <c r="A102" s="3">
        <v>39569</v>
      </c>
      <c r="B102" s="3">
        <v>39569</v>
      </c>
      <c r="C102">
        <v>243.24453297537843</v>
      </c>
      <c r="D102">
        <v>101.62266622602738</v>
      </c>
      <c r="E102">
        <v>141.13173477402597</v>
      </c>
      <c r="F102">
        <v>61.751514371398521</v>
      </c>
      <c r="G102">
        <v>152.3868710190045</v>
      </c>
      <c r="J102">
        <v>388.38884758737134</v>
      </c>
      <c r="K102">
        <v>141.59102003049853</v>
      </c>
      <c r="M102">
        <v>108.42530096432432</v>
      </c>
      <c r="O102">
        <v>197.39915691365692</v>
      </c>
      <c r="P102">
        <v>112.88786570870487</v>
      </c>
      <c r="Q102">
        <v>30853.47</v>
      </c>
      <c r="T102">
        <v>109.3951149418336</v>
      </c>
      <c r="U102"/>
      <c r="V102"/>
      <c r="W102"/>
      <c r="X102"/>
      <c r="Y102"/>
      <c r="Z102"/>
      <c r="AA102"/>
      <c r="AB102">
        <v>1941</v>
      </c>
      <c r="AC102">
        <v>21486</v>
      </c>
      <c r="AD102">
        <v>6496.5</v>
      </c>
      <c r="AE102">
        <v>3506.7</v>
      </c>
      <c r="AF102">
        <v>202.53814994287512</v>
      </c>
      <c r="AG102">
        <v>173.40039322398596</v>
      </c>
      <c r="AH102">
        <v>227.70526762182178</v>
      </c>
      <c r="AI102">
        <v>184.32680710526</v>
      </c>
      <c r="AJ102">
        <v>158.55704422351545</v>
      </c>
      <c r="AK102">
        <v>1695073</v>
      </c>
      <c r="AL102">
        <v>1710068</v>
      </c>
      <c r="AM102">
        <v>3781139</v>
      </c>
      <c r="AN102">
        <v>5108144</v>
      </c>
      <c r="AO102"/>
      <c r="AP102">
        <v>11</v>
      </c>
      <c r="AQ102"/>
      <c r="AR102"/>
      <c r="AS102"/>
      <c r="AT102"/>
      <c r="AU102">
        <v>339.69540000000001</v>
      </c>
      <c r="AV102">
        <v>321.94277999999991</v>
      </c>
      <c r="AW102">
        <v>4759333</v>
      </c>
      <c r="AX102">
        <v>2498929</v>
      </c>
      <c r="AY102">
        <v>16.100000000000001</v>
      </c>
      <c r="AZ102">
        <v>8</v>
      </c>
      <c r="BA102"/>
      <c r="BB102">
        <v>105.23859295902338</v>
      </c>
      <c r="BC102">
        <v>94.093480957355155</v>
      </c>
      <c r="BD102">
        <v>120.5658064516129</v>
      </c>
      <c r="BE102">
        <v>1.5560709677419355</v>
      </c>
      <c r="BF102">
        <v>124.63903225806452</v>
      </c>
      <c r="BG102">
        <v>377.46129032258068</v>
      </c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1:83">
      <c r="A103" s="3">
        <v>39600</v>
      </c>
      <c r="B103" s="3">
        <v>39600</v>
      </c>
      <c r="C103">
        <v>240.24489489492157</v>
      </c>
      <c r="D103">
        <v>99.367192347518909</v>
      </c>
      <c r="E103">
        <v>142.85587561262361</v>
      </c>
      <c r="F103">
        <v>51.480695292008825</v>
      </c>
      <c r="G103">
        <v>156.45116389542275</v>
      </c>
      <c r="J103">
        <v>476.55311598970468</v>
      </c>
      <c r="K103">
        <v>198.8272059328566</v>
      </c>
      <c r="M103">
        <v>109.93910776194097</v>
      </c>
      <c r="O103">
        <v>254.44751326170379</v>
      </c>
      <c r="P103">
        <v>113.61683661864788</v>
      </c>
      <c r="Q103">
        <v>30080.44</v>
      </c>
      <c r="T103">
        <v>113.46988251116437</v>
      </c>
      <c r="U103"/>
      <c r="V103"/>
      <c r="W103"/>
      <c r="X103"/>
      <c r="Y103"/>
      <c r="Z103"/>
      <c r="AA103"/>
      <c r="AB103">
        <v>2059</v>
      </c>
      <c r="AC103">
        <v>21140</v>
      </c>
      <c r="AD103">
        <v>7034.9</v>
      </c>
      <c r="AE103">
        <v>3509.1</v>
      </c>
      <c r="AF103">
        <v>204.96860774218965</v>
      </c>
      <c r="AG103">
        <v>174.78759636977784</v>
      </c>
      <c r="AH103">
        <v>231.80396243901455</v>
      </c>
      <c r="AI103">
        <v>185.80142156210204</v>
      </c>
      <c r="AJ103">
        <v>160.30117170997411</v>
      </c>
      <c r="AK103">
        <v>1752991</v>
      </c>
      <c r="AL103">
        <v>1778665</v>
      </c>
      <c r="AM103">
        <v>3913425</v>
      </c>
      <c r="AN103">
        <v>5195154</v>
      </c>
      <c r="AO103"/>
      <c r="AP103">
        <v>11</v>
      </c>
      <c r="AQ103"/>
      <c r="AR103"/>
      <c r="AS103"/>
      <c r="AT103"/>
      <c r="AU103">
        <v>250.84530000000004</v>
      </c>
      <c r="AV103">
        <v>313.22451000000001</v>
      </c>
      <c r="AW103">
        <v>4776557</v>
      </c>
      <c r="AX103">
        <v>2471656</v>
      </c>
      <c r="AY103">
        <v>16.3</v>
      </c>
      <c r="AZ103">
        <v>8.1999999999999993</v>
      </c>
      <c r="BA103"/>
      <c r="BB103">
        <v>105.44089198391569</v>
      </c>
      <c r="BC103">
        <v>93.772243157857503</v>
      </c>
      <c r="BD103">
        <v>120.70966666666666</v>
      </c>
      <c r="BE103">
        <v>1.55881</v>
      </c>
      <c r="BF103">
        <v>134.35400000000001</v>
      </c>
      <c r="BG103">
        <v>369.61666666666667</v>
      </c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1:83">
      <c r="A104" s="3">
        <v>39630</v>
      </c>
      <c r="B104" s="3">
        <v>39630</v>
      </c>
      <c r="C104">
        <v>234.50229608552831</v>
      </c>
      <c r="D104">
        <v>96.667470206613487</v>
      </c>
      <c r="E104">
        <v>140.47415400178741</v>
      </c>
      <c r="F104">
        <v>51.326253206132797</v>
      </c>
      <c r="G104">
        <v>152.86267657993014</v>
      </c>
      <c r="J104">
        <v>421.27295453489899</v>
      </c>
      <c r="K104">
        <v>179.26037182193568</v>
      </c>
      <c r="M104">
        <v>116.69844174367432</v>
      </c>
      <c r="O104">
        <v>231.54723706815045</v>
      </c>
      <c r="P104">
        <v>116.82607526529152</v>
      </c>
      <c r="Q104">
        <v>31166.23</v>
      </c>
      <c r="T104">
        <v>115.39454673872244</v>
      </c>
      <c r="U104"/>
      <c r="V104"/>
      <c r="W104"/>
      <c r="X104"/>
      <c r="Y104"/>
      <c r="Z104"/>
      <c r="AA104"/>
      <c r="AB104">
        <v>2140</v>
      </c>
      <c r="AC104">
        <v>21033</v>
      </c>
      <c r="AD104">
        <v>6975.4</v>
      </c>
      <c r="AE104">
        <v>3962.7</v>
      </c>
      <c r="AF104">
        <v>206.81332521186934</v>
      </c>
      <c r="AG104">
        <v>176.8850475262152</v>
      </c>
      <c r="AH104">
        <v>233.19478621364863</v>
      </c>
      <c r="AI104">
        <v>187.65943577772308</v>
      </c>
      <c r="AJ104">
        <v>161.58358108365391</v>
      </c>
      <c r="AK104">
        <v>1669857</v>
      </c>
      <c r="AL104">
        <v>1812997</v>
      </c>
      <c r="AM104">
        <v>4045590</v>
      </c>
      <c r="AN104">
        <v>5418313</v>
      </c>
      <c r="AO104"/>
      <c r="AP104">
        <v>10.5</v>
      </c>
      <c r="AQ104"/>
      <c r="AR104"/>
      <c r="AS104"/>
      <c r="AT104"/>
      <c r="AU104">
        <v>422.23794999999996</v>
      </c>
      <c r="AV104">
        <v>340.24880000000007</v>
      </c>
      <c r="AW104">
        <v>4825734</v>
      </c>
      <c r="AX104">
        <v>2452479</v>
      </c>
      <c r="AY104">
        <v>16.2</v>
      </c>
      <c r="AZ104">
        <v>7.2</v>
      </c>
      <c r="BA104"/>
      <c r="BB104">
        <v>105.25233462004834</v>
      </c>
      <c r="BC104">
        <v>93.030351258931006</v>
      </c>
      <c r="BD104">
        <v>120.29225806451613</v>
      </c>
      <c r="BE104">
        <v>1.5774290322580646</v>
      </c>
      <c r="BF104">
        <v>134.91064516129032</v>
      </c>
      <c r="BG104">
        <v>376.77096774193546</v>
      </c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1:83">
      <c r="A105" s="3">
        <v>39661</v>
      </c>
      <c r="B105" s="3">
        <v>39661</v>
      </c>
      <c r="C105">
        <v>240.38181363444221</v>
      </c>
      <c r="D105">
        <v>97.578766219566788</v>
      </c>
      <c r="E105">
        <v>148.18968978689981</v>
      </c>
      <c r="F105">
        <v>51.183231736524689</v>
      </c>
      <c r="G105">
        <v>150.00655814909462</v>
      </c>
      <c r="J105">
        <v>422.53677339850367</v>
      </c>
      <c r="K105">
        <v>426.7250917102163</v>
      </c>
      <c r="M105">
        <v>119.62092623012271</v>
      </c>
      <c r="O105">
        <v>241.04067378794463</v>
      </c>
      <c r="P105">
        <v>127.91902436776877</v>
      </c>
      <c r="Q105">
        <v>32706.15</v>
      </c>
      <c r="T105">
        <v>115.83431328484708</v>
      </c>
      <c r="U105"/>
      <c r="V105"/>
      <c r="W105"/>
      <c r="X105"/>
      <c r="Y105"/>
      <c r="Z105"/>
      <c r="AA105"/>
      <c r="AB105">
        <v>1886</v>
      </c>
      <c r="AC105">
        <v>21746</v>
      </c>
      <c r="AD105">
        <v>7570.4</v>
      </c>
      <c r="AE105">
        <v>3489.9</v>
      </c>
      <c r="AF105">
        <v>208.46783181356435</v>
      </c>
      <c r="AG105">
        <v>178.12324285889872</v>
      </c>
      <c r="AH105">
        <v>233.19478621364863</v>
      </c>
      <c r="AI105">
        <v>191.78794336483298</v>
      </c>
      <c r="AJ105">
        <v>163.36100047557409</v>
      </c>
      <c r="AK105">
        <v>1750952</v>
      </c>
      <c r="AL105">
        <v>1808743</v>
      </c>
      <c r="AM105">
        <v>4120310</v>
      </c>
      <c r="AN105">
        <v>5887672</v>
      </c>
      <c r="AO105"/>
      <c r="AP105">
        <v>10.5</v>
      </c>
      <c r="AQ105"/>
      <c r="AR105"/>
      <c r="AS105"/>
      <c r="AT105"/>
      <c r="AU105">
        <v>245.3613600000001</v>
      </c>
      <c r="AV105">
        <v>298.44824</v>
      </c>
      <c r="AW105">
        <v>4836371</v>
      </c>
      <c r="AX105">
        <v>2431520</v>
      </c>
      <c r="AY105">
        <v>16.7</v>
      </c>
      <c r="AZ105">
        <v>5.8</v>
      </c>
      <c r="BA105"/>
      <c r="BB105">
        <v>110.01715303419905</v>
      </c>
      <c r="BC105">
        <v>96.582728289761846</v>
      </c>
      <c r="BD105">
        <v>119.98806451612903</v>
      </c>
      <c r="BE105">
        <v>1.4950483870967741</v>
      </c>
      <c r="BF105">
        <v>115.35548387096775</v>
      </c>
      <c r="BG105">
        <v>341.2967741935484</v>
      </c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1:83">
      <c r="A106" s="3">
        <v>39692</v>
      </c>
      <c r="B106" s="3">
        <v>39692</v>
      </c>
      <c r="C106">
        <v>236.39043628342748</v>
      </c>
      <c r="D106">
        <v>95.783884136479912</v>
      </c>
      <c r="E106">
        <v>144.987820751832</v>
      </c>
      <c r="F106">
        <v>56.447067107709472</v>
      </c>
      <c r="G106">
        <v>136.00245192651539</v>
      </c>
      <c r="J106">
        <v>421.69169985170663</v>
      </c>
      <c r="K106">
        <v>1294.8252589745045</v>
      </c>
      <c r="M106">
        <v>116.37975122586897</v>
      </c>
      <c r="O106">
        <v>290.21297124068531</v>
      </c>
      <c r="P106">
        <v>151.23214163787239</v>
      </c>
      <c r="Q106">
        <v>32482.09</v>
      </c>
      <c r="T106">
        <v>115.93312045122201</v>
      </c>
      <c r="U106"/>
      <c r="V106"/>
      <c r="W106"/>
      <c r="X106"/>
      <c r="Y106"/>
      <c r="Z106"/>
      <c r="AA106"/>
      <c r="AB106">
        <v>2026</v>
      </c>
      <c r="AC106">
        <v>21953</v>
      </c>
      <c r="AD106">
        <v>6526.4</v>
      </c>
      <c r="AE106">
        <v>3506.6</v>
      </c>
      <c r="AF106">
        <v>209.71863880444573</v>
      </c>
      <c r="AG106">
        <v>178.65761258747543</v>
      </c>
      <c r="AH106">
        <v>233.42798099986223</v>
      </c>
      <c r="AI106">
        <v>194.66476251530545</v>
      </c>
      <c r="AJ106">
        <v>164.83124947985425</v>
      </c>
      <c r="AK106">
        <v>1754914</v>
      </c>
      <c r="AL106">
        <v>1929268</v>
      </c>
      <c r="AM106">
        <v>4314343</v>
      </c>
      <c r="AN106">
        <v>5885793</v>
      </c>
      <c r="AO106"/>
      <c r="AP106">
        <v>10.5</v>
      </c>
      <c r="AQ106"/>
      <c r="AR106"/>
      <c r="AS106"/>
      <c r="AT106"/>
      <c r="AU106">
        <v>257.19198</v>
      </c>
      <c r="AV106">
        <v>297.69597000000022</v>
      </c>
      <c r="AW106">
        <v>4881156</v>
      </c>
      <c r="AX106">
        <v>2408451</v>
      </c>
      <c r="AY106">
        <v>16.2</v>
      </c>
      <c r="AZ106">
        <v>7.6</v>
      </c>
      <c r="BA106"/>
      <c r="BB106">
        <v>114.02351199034948</v>
      </c>
      <c r="BC106">
        <v>99.927417522631472</v>
      </c>
      <c r="BD106">
        <v>119.69366666666667</v>
      </c>
      <c r="BE106">
        <v>1.4371833333333335</v>
      </c>
      <c r="BF106">
        <v>100.89700000000001</v>
      </c>
      <c r="BG106">
        <v>315.35000000000002</v>
      </c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1:83">
      <c r="A107" s="3">
        <v>39722</v>
      </c>
      <c r="B107" s="3">
        <v>39722</v>
      </c>
      <c r="C107">
        <v>246.61058785954748</v>
      </c>
      <c r="D107">
        <v>103.91711679686875</v>
      </c>
      <c r="E107">
        <v>138.35241569695475</v>
      </c>
      <c r="F107">
        <v>71.9485853981719</v>
      </c>
      <c r="G107">
        <v>130.4630180091647</v>
      </c>
      <c r="J107">
        <v>437.71598444607145</v>
      </c>
      <c r="K107">
        <v>632.04087241637285</v>
      </c>
      <c r="M107">
        <v>115.34853824032329</v>
      </c>
      <c r="O107">
        <v>266.1252946277084</v>
      </c>
      <c r="P107">
        <v>136.90464983713707</v>
      </c>
      <c r="Q107">
        <v>33542.47</v>
      </c>
      <c r="T107">
        <v>113.51912460843812</v>
      </c>
      <c r="U107"/>
      <c r="V107"/>
      <c r="W107"/>
      <c r="X107"/>
      <c r="Y107"/>
      <c r="Z107"/>
      <c r="AA107"/>
      <c r="AB107">
        <v>1785</v>
      </c>
      <c r="AC107">
        <v>21029</v>
      </c>
      <c r="AD107">
        <v>6255</v>
      </c>
      <c r="AE107">
        <v>3252.9</v>
      </c>
      <c r="AF107">
        <v>210.97695063727238</v>
      </c>
      <c r="AG107">
        <v>179.37224303782537</v>
      </c>
      <c r="AH107">
        <v>234.82854888586141</v>
      </c>
      <c r="AI107">
        <v>196.41674537794322</v>
      </c>
      <c r="AJ107">
        <v>165.9850682262132</v>
      </c>
      <c r="AK107">
        <v>1570214</v>
      </c>
      <c r="AL107">
        <v>1786427</v>
      </c>
      <c r="AM107">
        <v>4105566</v>
      </c>
      <c r="AN107">
        <v>5685066</v>
      </c>
      <c r="AO107"/>
      <c r="AP107">
        <v>10.5</v>
      </c>
      <c r="AQ107"/>
      <c r="AR107"/>
      <c r="AS107"/>
      <c r="AT107"/>
      <c r="AU107">
        <v>322.99975000000001</v>
      </c>
      <c r="AV107">
        <v>254.17332999999959</v>
      </c>
      <c r="AW107">
        <v>4880336</v>
      </c>
      <c r="AX107">
        <v>2405721</v>
      </c>
      <c r="AY107">
        <v>16.100000000000001</v>
      </c>
      <c r="AZ107">
        <v>8</v>
      </c>
      <c r="BA107"/>
      <c r="BB107">
        <v>119.71045003861337</v>
      </c>
      <c r="BC107">
        <v>105.26095510245376</v>
      </c>
      <c r="BD107">
        <v>119.89064516129032</v>
      </c>
      <c r="BE107">
        <v>1.328858064516129</v>
      </c>
      <c r="BF107">
        <v>73.765161290322581</v>
      </c>
      <c r="BG107">
        <v>217.98225806451612</v>
      </c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1:83">
      <c r="A108" s="3">
        <v>39753</v>
      </c>
      <c r="B108" s="3">
        <v>39753</v>
      </c>
      <c r="C108">
        <v>237.20584826958913</v>
      </c>
      <c r="D108">
        <v>99.275823072792477</v>
      </c>
      <c r="E108">
        <v>131.69074043415591</v>
      </c>
      <c r="F108">
        <v>78.77455946312773</v>
      </c>
      <c r="G108">
        <v>130.99726945894605</v>
      </c>
      <c r="J108">
        <v>415.39246923932183</v>
      </c>
      <c r="K108">
        <v>170.37623517310919</v>
      </c>
      <c r="M108">
        <v>130.38075046021766</v>
      </c>
      <c r="O108">
        <v>232.06125691536172</v>
      </c>
      <c r="P108">
        <v>120.05404185336104</v>
      </c>
      <c r="Q108">
        <v>32567.75</v>
      </c>
      <c r="T108">
        <v>111.11616840818137</v>
      </c>
      <c r="U108"/>
      <c r="V108"/>
      <c r="W108"/>
      <c r="X108"/>
      <c r="Y108"/>
      <c r="Z108"/>
      <c r="AA108"/>
      <c r="AB108">
        <v>1881</v>
      </c>
      <c r="AC108">
        <v>19105</v>
      </c>
      <c r="AD108">
        <v>4575.6000000000004</v>
      </c>
      <c r="AE108">
        <v>2954.8</v>
      </c>
      <c r="AF108">
        <v>211.82085843982154</v>
      </c>
      <c r="AG108">
        <v>178.11663733656061</v>
      </c>
      <c r="AH108">
        <v>236.47234872806249</v>
      </c>
      <c r="AI108">
        <v>198.38091283172267</v>
      </c>
      <c r="AJ108">
        <v>167.14696370379667</v>
      </c>
      <c r="AK108">
        <v>1298552</v>
      </c>
      <c r="AL108">
        <v>1805923</v>
      </c>
      <c r="AM108">
        <v>4378167</v>
      </c>
      <c r="AN108">
        <v>6017826</v>
      </c>
      <c r="AO108"/>
      <c r="AP108">
        <v>10.5</v>
      </c>
      <c r="AQ108"/>
      <c r="AR108"/>
      <c r="AS108"/>
      <c r="AT108"/>
      <c r="AU108">
        <v>710.90263999999968</v>
      </c>
      <c r="AV108">
        <v>271.34107000000029</v>
      </c>
      <c r="AW108">
        <v>5023589</v>
      </c>
      <c r="AX108">
        <v>2367349</v>
      </c>
      <c r="AY108">
        <v>16.2</v>
      </c>
      <c r="AZ108">
        <v>7.4</v>
      </c>
      <c r="BA108"/>
      <c r="BB108">
        <v>124.84672465246436</v>
      </c>
      <c r="BC108">
        <v>109.23851925681237</v>
      </c>
      <c r="BD108">
        <v>120.11666666666666</v>
      </c>
      <c r="BE108">
        <v>1.2703466666666667</v>
      </c>
      <c r="BF108">
        <v>55.136666666666663</v>
      </c>
      <c r="BG108">
        <v>168.86833333333334</v>
      </c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1:83">
      <c r="A109" s="3">
        <v>39783</v>
      </c>
      <c r="B109" s="3">
        <v>39783</v>
      </c>
      <c r="C109">
        <v>245.66192188538017</v>
      </c>
      <c r="D109">
        <v>104.78162378891484</v>
      </c>
      <c r="E109">
        <v>129.37589086042044</v>
      </c>
      <c r="F109">
        <v>91.550547270827636</v>
      </c>
      <c r="G109">
        <v>129.30463254153875</v>
      </c>
      <c r="J109">
        <v>445.71611949379229</v>
      </c>
      <c r="K109">
        <v>188.58519530723524</v>
      </c>
      <c r="M109">
        <v>151.08901036293949</v>
      </c>
      <c r="O109">
        <v>374.54686866139383</v>
      </c>
      <c r="P109">
        <v>125.53678718590508</v>
      </c>
      <c r="Q109">
        <v>30982.639999999999</v>
      </c>
      <c r="T109">
        <v>123.92973460451411</v>
      </c>
      <c r="U109"/>
      <c r="V109"/>
      <c r="W109"/>
      <c r="X109"/>
      <c r="Y109"/>
      <c r="Z109"/>
      <c r="AA109"/>
      <c r="AB109">
        <v>2001</v>
      </c>
      <c r="AC109">
        <v>19872</v>
      </c>
      <c r="AD109">
        <v>4233.7</v>
      </c>
      <c r="AE109">
        <v>3628.9</v>
      </c>
      <c r="AF109">
        <v>212.24450015670112</v>
      </c>
      <c r="AG109">
        <v>177.93852069922406</v>
      </c>
      <c r="AH109">
        <v>237.6547104717028</v>
      </c>
      <c r="AI109">
        <v>198.77767465738611</v>
      </c>
      <c r="AJ109">
        <v>167.64840459490804</v>
      </c>
      <c r="AK109">
        <v>1525238</v>
      </c>
      <c r="AL109">
        <v>1947570</v>
      </c>
      <c r="AM109">
        <v>4620329</v>
      </c>
      <c r="AN109">
        <v>6267201</v>
      </c>
      <c r="AO109"/>
      <c r="AP109">
        <v>10.5</v>
      </c>
      <c r="AQ109"/>
      <c r="AR109"/>
      <c r="AS109"/>
      <c r="AT109"/>
      <c r="AU109">
        <v>476.68297000000018</v>
      </c>
      <c r="AV109">
        <v>384.95418999999993</v>
      </c>
      <c r="AW109">
        <v>5122516</v>
      </c>
      <c r="AX109">
        <v>2337766</v>
      </c>
      <c r="AY109">
        <v>16.100000000000001</v>
      </c>
      <c r="AZ109">
        <v>6.5</v>
      </c>
      <c r="BA109"/>
      <c r="BB109">
        <v>123.43959285228325</v>
      </c>
      <c r="BC109">
        <v>107.49449445968942</v>
      </c>
      <c r="BD109">
        <v>120.63580645161291</v>
      </c>
      <c r="BE109">
        <v>1.352841935483871</v>
      </c>
      <c r="BF109">
        <v>42.606451612903228</v>
      </c>
      <c r="BG109">
        <v>137.07258064516128</v>
      </c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1:83">
      <c r="A110" s="3">
        <v>39814</v>
      </c>
      <c r="B110" s="3">
        <v>39814</v>
      </c>
      <c r="C110">
        <v>221.43007866682507</v>
      </c>
      <c r="D110">
        <v>100</v>
      </c>
      <c r="E110">
        <v>100</v>
      </c>
      <c r="F110">
        <v>100</v>
      </c>
      <c r="G110">
        <v>100</v>
      </c>
      <c r="H110">
        <v>6296.2</v>
      </c>
      <c r="I110">
        <v>3565.7</v>
      </c>
      <c r="J110">
        <v>159.56637077877764</v>
      </c>
      <c r="K110">
        <v>100</v>
      </c>
      <c r="M110">
        <v>100</v>
      </c>
      <c r="O110">
        <v>99.254920195269364</v>
      </c>
      <c r="P110">
        <v>100</v>
      </c>
      <c r="Q110">
        <v>25440.5</v>
      </c>
      <c r="T110">
        <v>103.48132839476928</v>
      </c>
      <c r="U110"/>
      <c r="V110"/>
      <c r="W110"/>
      <c r="X110"/>
      <c r="Y110"/>
      <c r="Z110"/>
      <c r="AA110"/>
      <c r="AB110">
        <v>2032</v>
      </c>
      <c r="AC110">
        <v>18266</v>
      </c>
      <c r="AD110">
        <v>2562.8000000000002</v>
      </c>
      <c r="AE110">
        <v>1810.7</v>
      </c>
      <c r="AF110">
        <v>212.88123365717126</v>
      </c>
      <c r="AG110">
        <v>177.22676661642714</v>
      </c>
      <c r="AH110">
        <v>238.1300198926462</v>
      </c>
      <c r="AI110">
        <v>201.16300675327477</v>
      </c>
      <c r="AJ110">
        <v>168.48664661788257</v>
      </c>
      <c r="AK110">
        <v>2032438</v>
      </c>
      <c r="AL110">
        <v>2006257</v>
      </c>
      <c r="AM110">
        <v>4207184</v>
      </c>
      <c r="AN110">
        <v>5970359</v>
      </c>
      <c r="AO110"/>
      <c r="AP110">
        <v>10</v>
      </c>
      <c r="AQ110"/>
      <c r="AR110"/>
      <c r="AS110"/>
      <c r="AT110"/>
      <c r="AU110">
        <v>206.59072</v>
      </c>
      <c r="AV110">
        <v>128.86025999999998</v>
      </c>
      <c r="AW110">
        <v>5072179</v>
      </c>
      <c r="AX110">
        <v>2313502</v>
      </c>
      <c r="AY110">
        <v>16.5</v>
      </c>
      <c r="AZ110">
        <v>6.9</v>
      </c>
      <c r="BA110"/>
      <c r="BB110">
        <v>126.44230919312409</v>
      </c>
      <c r="BC110">
        <v>110.29518195155958</v>
      </c>
      <c r="BD110">
        <v>121.29064516129033</v>
      </c>
      <c r="BE110">
        <v>1.3303903225806453</v>
      </c>
      <c r="BF110">
        <v>45.931290322580644</v>
      </c>
      <c r="BG110">
        <v>149.36129032258063</v>
      </c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1:83">
      <c r="A111" s="3">
        <v>39845</v>
      </c>
      <c r="B111" s="3">
        <v>39845</v>
      </c>
      <c r="C111">
        <v>211.46572512681794</v>
      </c>
      <c r="D111">
        <v>93.8</v>
      </c>
      <c r="E111">
        <v>100.6</v>
      </c>
      <c r="F111">
        <v>91.7</v>
      </c>
      <c r="G111">
        <v>95.1</v>
      </c>
      <c r="H111">
        <v>5652.0000000000009</v>
      </c>
      <c r="I111">
        <v>3108.4000000000005</v>
      </c>
      <c r="J111">
        <v>182.06522905858529</v>
      </c>
      <c r="K111">
        <v>95.8</v>
      </c>
      <c r="M111">
        <v>95.1</v>
      </c>
      <c r="O111">
        <v>127.54257245092113</v>
      </c>
      <c r="P111">
        <v>95.2</v>
      </c>
      <c r="Q111">
        <v>25078.1</v>
      </c>
      <c r="T111">
        <v>102.96392175279543</v>
      </c>
      <c r="U111"/>
      <c r="V111"/>
      <c r="W111"/>
      <c r="X111"/>
      <c r="Y111"/>
      <c r="Z111"/>
      <c r="AA111"/>
      <c r="AB111">
        <v>2186</v>
      </c>
      <c r="AC111">
        <v>19659</v>
      </c>
      <c r="AD111">
        <v>2743.2</v>
      </c>
      <c r="AE111">
        <v>1992.5</v>
      </c>
      <c r="AF111">
        <v>214.58428352642864</v>
      </c>
      <c r="AG111">
        <v>180.41684841552282</v>
      </c>
      <c r="AH111">
        <v>239.55880001200208</v>
      </c>
      <c r="AI111">
        <v>201.56533276678132</v>
      </c>
      <c r="AJ111">
        <v>169.83453979082563</v>
      </c>
      <c r="AK111">
        <v>2252087</v>
      </c>
      <c r="AL111">
        <v>2260440</v>
      </c>
      <c r="AM111">
        <v>4476698</v>
      </c>
      <c r="AN111">
        <v>6780765</v>
      </c>
      <c r="AO111"/>
      <c r="AP111">
        <v>9.5</v>
      </c>
      <c r="AQ111"/>
      <c r="AR111"/>
      <c r="AS111"/>
      <c r="AT111"/>
      <c r="AU111">
        <v>304.12830000000002</v>
      </c>
      <c r="AV111">
        <v>279.54990999999995</v>
      </c>
      <c r="AW111">
        <v>5638576</v>
      </c>
      <c r="AX111">
        <v>2489027</v>
      </c>
      <c r="AY111">
        <v>15.7</v>
      </c>
      <c r="AZ111">
        <v>6.6</v>
      </c>
      <c r="BA111"/>
      <c r="BB111">
        <v>111.15124915483128</v>
      </c>
      <c r="BC111">
        <v>96.700347704299432</v>
      </c>
      <c r="BD111">
        <v>146.51357142857142</v>
      </c>
      <c r="BE111">
        <v>1.2815535714285715</v>
      </c>
      <c r="BF111">
        <v>44.125714285714288</v>
      </c>
      <c r="BG111">
        <v>151.42499999999998</v>
      </c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1:83">
      <c r="A112" s="3">
        <v>39873</v>
      </c>
      <c r="B112" s="3">
        <v>39873</v>
      </c>
      <c r="C112">
        <v>226.05686016056836</v>
      </c>
      <c r="D112">
        <v>101.2102</v>
      </c>
      <c r="E112">
        <v>107.8432</v>
      </c>
      <c r="F112">
        <v>87.665199999999999</v>
      </c>
      <c r="G112">
        <v>101.18639999999999</v>
      </c>
      <c r="H112">
        <v>6168.7000000000007</v>
      </c>
      <c r="I112">
        <v>3510.6999999999989</v>
      </c>
      <c r="J112">
        <v>211.55979616607613</v>
      </c>
      <c r="K112">
        <v>116.49279999999999</v>
      </c>
      <c r="M112">
        <v>98.903999999999996</v>
      </c>
      <c r="O112">
        <v>161.59643929531705</v>
      </c>
      <c r="P112">
        <v>97.865600000000001</v>
      </c>
      <c r="Q112">
        <v>27012.7</v>
      </c>
      <c r="T112">
        <v>105.53801979661532</v>
      </c>
      <c r="U112"/>
      <c r="V112"/>
      <c r="W112"/>
      <c r="X112"/>
      <c r="Y112"/>
      <c r="Z112"/>
      <c r="AA112"/>
      <c r="AB112">
        <v>2136</v>
      </c>
      <c r="AC112">
        <v>18891</v>
      </c>
      <c r="AD112">
        <v>2710.3</v>
      </c>
      <c r="AE112">
        <v>2182.4</v>
      </c>
      <c r="AF112">
        <v>216.30095779464006</v>
      </c>
      <c r="AG112">
        <v>183.12310114175565</v>
      </c>
      <c r="AH112">
        <v>240.99615281207409</v>
      </c>
      <c r="AI112">
        <v>202.57315943061522</v>
      </c>
      <c r="AJ112">
        <v>171.19321610915225</v>
      </c>
      <c r="AK112">
        <v>2236772</v>
      </c>
      <c r="AL112">
        <v>2278690</v>
      </c>
      <c r="AM112">
        <v>4416658</v>
      </c>
      <c r="AN112">
        <v>6688419</v>
      </c>
      <c r="AO112"/>
      <c r="AP112">
        <v>9.5</v>
      </c>
      <c r="AQ112"/>
      <c r="AR112"/>
      <c r="AS112"/>
      <c r="AT112"/>
      <c r="AU112">
        <v>285.5991699999999</v>
      </c>
      <c r="AV112">
        <v>280.58164999999997</v>
      </c>
      <c r="AW112">
        <v>5699184</v>
      </c>
      <c r="AX112">
        <v>2443203</v>
      </c>
      <c r="AY112">
        <v>16</v>
      </c>
      <c r="AZ112">
        <v>7.2</v>
      </c>
      <c r="BA112"/>
      <c r="BB112">
        <v>106.11375782586406</v>
      </c>
      <c r="BC112">
        <v>91.999640265912547</v>
      </c>
      <c r="BD112">
        <v>150.81387096774193</v>
      </c>
      <c r="BE112">
        <v>1.3070483870967742</v>
      </c>
      <c r="BF112">
        <v>47.596451612903223</v>
      </c>
      <c r="BG112">
        <v>171.70967741935485</v>
      </c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1:83">
      <c r="A113" s="3">
        <v>39904</v>
      </c>
      <c r="B113" s="3">
        <v>39904</v>
      </c>
      <c r="C113">
        <v>233.74279340602772</v>
      </c>
      <c r="D113">
        <v>102.32351219999998</v>
      </c>
      <c r="E113">
        <v>121.64712959999999</v>
      </c>
      <c r="F113">
        <v>72.411455199999992</v>
      </c>
      <c r="G113">
        <v>105.13266959999999</v>
      </c>
      <c r="H113">
        <v>6231.5999999999985</v>
      </c>
      <c r="I113">
        <v>3277.4000000000015</v>
      </c>
      <c r="J113">
        <v>310.78134056796586</v>
      </c>
      <c r="K113">
        <v>121.61848319999999</v>
      </c>
      <c r="M113">
        <v>99.497423999999995</v>
      </c>
      <c r="O113">
        <v>205.06588146575734</v>
      </c>
      <c r="P113">
        <v>100.60583679999999</v>
      </c>
      <c r="Q113">
        <v>26826.7</v>
      </c>
      <c r="T113">
        <v>105.22140573722548</v>
      </c>
      <c r="U113"/>
      <c r="V113"/>
      <c r="W113"/>
      <c r="X113"/>
      <c r="Y113"/>
      <c r="Z113"/>
      <c r="AA113"/>
      <c r="AB113">
        <v>2075</v>
      </c>
      <c r="AC113">
        <v>19479</v>
      </c>
      <c r="AD113">
        <v>2788.9</v>
      </c>
      <c r="AE113">
        <v>2450.6999999999998</v>
      </c>
      <c r="AF113">
        <v>218.03136545699715</v>
      </c>
      <c r="AG113">
        <v>184.77120905203148</v>
      </c>
      <c r="AH113">
        <v>243.64711049300686</v>
      </c>
      <c r="AI113">
        <v>203.3834520683377</v>
      </c>
      <c r="AJ113">
        <v>172.39156862191629</v>
      </c>
      <c r="AK113">
        <v>2193334</v>
      </c>
      <c r="AL113">
        <v>2222349</v>
      </c>
      <c r="AM113">
        <v>4391502</v>
      </c>
      <c r="AN113">
        <v>6556048</v>
      </c>
      <c r="AO113"/>
      <c r="AP113">
        <v>9.5</v>
      </c>
      <c r="AQ113"/>
      <c r="AR113"/>
      <c r="AS113"/>
      <c r="AT113"/>
      <c r="AU113">
        <v>270.74053000000004</v>
      </c>
      <c r="AV113">
        <v>289.75214</v>
      </c>
      <c r="AW113">
        <v>5673945</v>
      </c>
      <c r="AX113">
        <v>2415184</v>
      </c>
      <c r="AY113">
        <v>15</v>
      </c>
      <c r="AZ113">
        <v>8.1999999999999993</v>
      </c>
      <c r="BA113"/>
      <c r="BB113">
        <v>104.94002328924562</v>
      </c>
      <c r="BC113">
        <v>90.63201385102019</v>
      </c>
      <c r="BD113">
        <v>150.70733333333334</v>
      </c>
      <c r="BE113">
        <v>1.3215866666666667</v>
      </c>
      <c r="BF113">
        <v>51.946333333333335</v>
      </c>
      <c r="BG113">
        <v>205.07333333333332</v>
      </c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1:83">
      <c r="A114" s="3">
        <v>39934</v>
      </c>
      <c r="B114" s="3">
        <v>39934</v>
      </c>
      <c r="C114">
        <v>239.35262044777232</v>
      </c>
      <c r="D114">
        <v>103.85836488299998</v>
      </c>
      <c r="E114">
        <v>130.40572293119999</v>
      </c>
      <c r="F114">
        <v>58.725690167199993</v>
      </c>
      <c r="G114">
        <v>101.03249548559998</v>
      </c>
      <c r="H114">
        <v>6167.5</v>
      </c>
      <c r="I114">
        <v>3196.8999999999978</v>
      </c>
      <c r="J114">
        <v>405.25886810062752</v>
      </c>
      <c r="K114">
        <v>144.84761349119998</v>
      </c>
      <c r="M114">
        <v>100.293403392</v>
      </c>
      <c r="O114">
        <v>218.60022964249731</v>
      </c>
      <c r="P114">
        <v>106.34036949759998</v>
      </c>
      <c r="Q114">
        <v>26054.63</v>
      </c>
      <c r="T114">
        <v>104.80052011427659</v>
      </c>
      <c r="U114"/>
      <c r="V114"/>
      <c r="W114"/>
      <c r="X114"/>
      <c r="Y114"/>
      <c r="Z114"/>
      <c r="AA114"/>
      <c r="AB114">
        <v>2259</v>
      </c>
      <c r="AC114">
        <v>19896</v>
      </c>
      <c r="AD114">
        <v>3095.4</v>
      </c>
      <c r="AE114">
        <v>2325.6</v>
      </c>
      <c r="AF114">
        <v>219.55758501519617</v>
      </c>
      <c r="AG114">
        <v>185.5102938882396</v>
      </c>
      <c r="AH114">
        <v>245.83993448744391</v>
      </c>
      <c r="AI114">
        <v>204.60375278074773</v>
      </c>
      <c r="AJ114">
        <v>173.4259180336478</v>
      </c>
      <c r="AK114">
        <v>2261268</v>
      </c>
      <c r="AL114">
        <v>2279615</v>
      </c>
      <c r="AM114">
        <v>4419187</v>
      </c>
      <c r="AN114">
        <v>6587385</v>
      </c>
      <c r="AO114"/>
      <c r="AP114">
        <v>9</v>
      </c>
      <c r="AQ114"/>
      <c r="AR114"/>
      <c r="AS114"/>
      <c r="AT114"/>
      <c r="AU114">
        <v>293.62343999999996</v>
      </c>
      <c r="AV114">
        <v>318.44862000000012</v>
      </c>
      <c r="AW114">
        <v>5735866</v>
      </c>
      <c r="AX114">
        <v>2389765</v>
      </c>
      <c r="AY114">
        <v>14.2</v>
      </c>
      <c r="AZ114">
        <v>8.5</v>
      </c>
      <c r="BA114"/>
      <c r="BB114">
        <v>102.45869266397511</v>
      </c>
      <c r="BC114">
        <v>88.071257529203734</v>
      </c>
      <c r="BD114">
        <v>150.39774193548388</v>
      </c>
      <c r="BE114">
        <v>1.3684967741935483</v>
      </c>
      <c r="BF114">
        <v>58.607419354838711</v>
      </c>
      <c r="BG114">
        <v>210.90161290322581</v>
      </c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1:83">
      <c r="A115" s="3">
        <v>39965</v>
      </c>
      <c r="B115" s="3">
        <v>39965</v>
      </c>
      <c r="C115">
        <v>257.78277222225086</v>
      </c>
      <c r="D115">
        <v>110.29758350574599</v>
      </c>
      <c r="E115">
        <v>145.14156962242558</v>
      </c>
      <c r="F115">
        <v>51.326253206132797</v>
      </c>
      <c r="G115">
        <v>111.23677752964556</v>
      </c>
      <c r="H115">
        <v>6391.6999999999971</v>
      </c>
      <c r="I115">
        <v>3280.7000000000007</v>
      </c>
      <c r="J115">
        <v>446.1900137787909</v>
      </c>
      <c r="K115">
        <v>202.20726843371517</v>
      </c>
      <c r="M115">
        <v>100.59428360217601</v>
      </c>
      <c r="O115">
        <v>277.62229164597159</v>
      </c>
      <c r="P115">
        <v>116.23002386087677</v>
      </c>
      <c r="Q115">
        <v>24234.63</v>
      </c>
      <c r="T115">
        <v>108.36373779816198</v>
      </c>
      <c r="U115"/>
      <c r="V115"/>
      <c r="W115"/>
      <c r="X115"/>
      <c r="Y115"/>
      <c r="Z115"/>
      <c r="AA115"/>
      <c r="AB115">
        <v>2206</v>
      </c>
      <c r="AC115">
        <v>18597</v>
      </c>
      <c r="AD115">
        <v>3272.4</v>
      </c>
      <c r="AE115">
        <v>2433.6</v>
      </c>
      <c r="AF115">
        <v>220.43581535525695</v>
      </c>
      <c r="AG115">
        <v>186.62335565156906</v>
      </c>
      <c r="AH115">
        <v>246.33161435641884</v>
      </c>
      <c r="AI115">
        <v>205.42216779187075</v>
      </c>
      <c r="AJ115">
        <v>174.11962170578241</v>
      </c>
      <c r="AK115">
        <v>2333767</v>
      </c>
      <c r="AL115">
        <v>2444213</v>
      </c>
      <c r="AM115">
        <v>4736890</v>
      </c>
      <c r="AN115">
        <v>6786278</v>
      </c>
      <c r="AO115"/>
      <c r="AP115">
        <v>8.5</v>
      </c>
      <c r="AQ115"/>
      <c r="AR115"/>
      <c r="AS115"/>
      <c r="AT115"/>
      <c r="AU115">
        <v>340.30273999999997</v>
      </c>
      <c r="AV115">
        <v>409.46671999999995</v>
      </c>
      <c r="AW115">
        <v>5744015</v>
      </c>
      <c r="AX115">
        <v>2365190</v>
      </c>
      <c r="AY115">
        <v>14.6</v>
      </c>
      <c r="AZ115">
        <v>7.8</v>
      </c>
      <c r="BA115"/>
      <c r="BB115">
        <v>100.48845288807927</v>
      </c>
      <c r="BC115">
        <v>86.274425028923687</v>
      </c>
      <c r="BD115">
        <v>150.35966666666667</v>
      </c>
      <c r="BE115">
        <v>1.4008433333333332</v>
      </c>
      <c r="BF115">
        <v>69.290000000000006</v>
      </c>
      <c r="BG115">
        <v>229.02166666666668</v>
      </c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1:83">
      <c r="A116" s="3">
        <v>39995</v>
      </c>
      <c r="B116" s="3">
        <v>39995</v>
      </c>
      <c r="C116">
        <v>249.2759407389166</v>
      </c>
      <c r="D116">
        <v>110.29758350574599</v>
      </c>
      <c r="E116">
        <v>135.41708445772306</v>
      </c>
      <c r="F116">
        <v>48.554635533001623</v>
      </c>
      <c r="G116">
        <v>120.91437717472473</v>
      </c>
      <c r="H116">
        <v>6737.8000000000029</v>
      </c>
      <c r="I116">
        <v>3213.4000000000015</v>
      </c>
      <c r="J116">
        <v>451.54429394413637</v>
      </c>
      <c r="K116">
        <v>184.81744334841568</v>
      </c>
      <c r="M116">
        <v>103.51151782663912</v>
      </c>
      <c r="O116">
        <v>249.30481789808246</v>
      </c>
      <c r="P116">
        <v>113.90542338365924</v>
      </c>
      <c r="Q116">
        <v>27632.48</v>
      </c>
      <c r="T116">
        <v>112.04810488329947</v>
      </c>
      <c r="U116"/>
      <c r="V116"/>
      <c r="W116"/>
      <c r="X116"/>
      <c r="Y116"/>
      <c r="Z116"/>
      <c r="AA116"/>
      <c r="AB116">
        <v>2149</v>
      </c>
      <c r="AC116">
        <v>19975</v>
      </c>
      <c r="AD116">
        <v>3830.4</v>
      </c>
      <c r="AE116">
        <v>2416.1</v>
      </c>
      <c r="AF116">
        <v>221.09712280132268</v>
      </c>
      <c r="AG116">
        <v>187.36984907417536</v>
      </c>
      <c r="AH116">
        <v>245.83895112770603</v>
      </c>
      <c r="AI116">
        <v>207.06554513420571</v>
      </c>
      <c r="AJ116">
        <v>174.81610019260555</v>
      </c>
      <c r="AK116">
        <v>2707836</v>
      </c>
      <c r="AL116">
        <v>2597617</v>
      </c>
      <c r="AM116">
        <v>4993239</v>
      </c>
      <c r="AN116">
        <v>7091743</v>
      </c>
      <c r="AO116"/>
      <c r="AP116">
        <v>8</v>
      </c>
      <c r="AQ116"/>
      <c r="AR116"/>
      <c r="AS116"/>
      <c r="AT116"/>
      <c r="AU116">
        <v>363.60790000000014</v>
      </c>
      <c r="AV116">
        <v>336.49109999999985</v>
      </c>
      <c r="AW116">
        <v>5731010</v>
      </c>
      <c r="AX116">
        <v>2348535</v>
      </c>
      <c r="AY116">
        <v>15.5</v>
      </c>
      <c r="AZ116">
        <v>6.8</v>
      </c>
      <c r="BA116"/>
      <c r="BB116">
        <v>100.68964180849926</v>
      </c>
      <c r="BC116">
        <v>86.171687498954256</v>
      </c>
      <c r="BD116">
        <v>150.73290322580644</v>
      </c>
      <c r="BE116">
        <v>1.4077999999999999</v>
      </c>
      <c r="BF116">
        <v>65.675161290322578</v>
      </c>
      <c r="BG116">
        <v>237.51290322580644</v>
      </c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1:83">
      <c r="A117" s="3">
        <v>40026</v>
      </c>
      <c r="B117" s="3">
        <v>40026</v>
      </c>
      <c r="C117">
        <v>249.2759407389166</v>
      </c>
      <c r="D117">
        <v>105.77538258201041</v>
      </c>
      <c r="E117">
        <v>146.11503412988318</v>
      </c>
      <c r="F117">
        <v>50.108383870057679</v>
      </c>
      <c r="G117">
        <v>119.70523340297748</v>
      </c>
      <c r="H117">
        <v>6353.5999999999985</v>
      </c>
      <c r="I117">
        <v>3181.5999999999985</v>
      </c>
      <c r="J117">
        <v>443.86804094708606</v>
      </c>
      <c r="K117">
        <v>326.01797006660524</v>
      </c>
      <c r="M117">
        <v>108.37655916449116</v>
      </c>
      <c r="O117">
        <v>239.33262518215918</v>
      </c>
      <c r="P117">
        <v>121.65099217374808</v>
      </c>
      <c r="Q117">
        <v>29426.1</v>
      </c>
      <c r="T117">
        <v>109.69509468075019</v>
      </c>
      <c r="U117"/>
      <c r="V117"/>
      <c r="W117"/>
      <c r="X117"/>
      <c r="Y117"/>
      <c r="Z117"/>
      <c r="AA117"/>
      <c r="AB117">
        <v>2182</v>
      </c>
      <c r="AC117">
        <v>20020</v>
      </c>
      <c r="AD117">
        <v>4177.3999999999996</v>
      </c>
      <c r="AE117">
        <v>2297.8000000000002</v>
      </c>
      <c r="AF117">
        <v>221.53931704692536</v>
      </c>
      <c r="AG117">
        <v>188.86880786676875</v>
      </c>
      <c r="AH117">
        <v>244.60975637206747</v>
      </c>
      <c r="AI117">
        <v>208.30793840501096</v>
      </c>
      <c r="AJ117">
        <v>175.51536459337598</v>
      </c>
      <c r="AK117">
        <v>2577690</v>
      </c>
      <c r="AL117">
        <v>2438362</v>
      </c>
      <c r="AM117">
        <v>4857713</v>
      </c>
      <c r="AN117">
        <v>7064482</v>
      </c>
      <c r="AO117"/>
      <c r="AP117">
        <v>7.5</v>
      </c>
      <c r="AQ117"/>
      <c r="AR117"/>
      <c r="AS117"/>
      <c r="AT117"/>
      <c r="AU117">
        <v>282.99080000000004</v>
      </c>
      <c r="AV117">
        <v>299.68730000000028</v>
      </c>
      <c r="AW117">
        <v>5739752</v>
      </c>
      <c r="AX117">
        <v>2327883</v>
      </c>
      <c r="AY117">
        <v>13.2</v>
      </c>
      <c r="AZ117">
        <v>1.3</v>
      </c>
      <c r="BA117"/>
      <c r="BB117">
        <v>100.03003886883826</v>
      </c>
      <c r="BC117">
        <v>85.593839487644871</v>
      </c>
      <c r="BD117">
        <v>150.7967741935484</v>
      </c>
      <c r="BE117">
        <v>1.4262064516129032</v>
      </c>
      <c r="BF117">
        <v>73.01806451612903</v>
      </c>
      <c r="BG117">
        <v>281.23548387096776</v>
      </c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1:83">
      <c r="A118" s="3">
        <v>40057</v>
      </c>
      <c r="B118" s="3">
        <v>40057</v>
      </c>
      <c r="C118">
        <v>251.51942420556685</v>
      </c>
      <c r="D118">
        <v>105.45805643426438</v>
      </c>
      <c r="E118">
        <v>150.35237011964981</v>
      </c>
      <c r="F118">
        <v>51.761960537769582</v>
      </c>
      <c r="G118">
        <v>112.88203509900777</v>
      </c>
      <c r="H118">
        <v>6224.2000000000044</v>
      </c>
      <c r="I118">
        <v>2938.7999999999993</v>
      </c>
      <c r="J118">
        <v>442.09256878329768</v>
      </c>
      <c r="K118">
        <v>1415.2440080591334</v>
      </c>
      <c r="M118">
        <v>113.47025744522224</v>
      </c>
      <c r="O118">
        <v>255.60724369454599</v>
      </c>
      <c r="P118">
        <v>154.86171303718132</v>
      </c>
      <c r="Q118">
        <v>30113</v>
      </c>
      <c r="T118">
        <v>108.04966826053891</v>
      </c>
      <c r="U118"/>
      <c r="V118"/>
      <c r="W118"/>
      <c r="X118"/>
      <c r="Y118"/>
      <c r="Z118"/>
      <c r="AA118"/>
      <c r="AB118">
        <v>2298</v>
      </c>
      <c r="AC118">
        <v>20663</v>
      </c>
      <c r="AD118">
        <v>4185.8999999999996</v>
      </c>
      <c r="AE118">
        <v>2621.9</v>
      </c>
      <c r="AF118">
        <v>222.42547431511306</v>
      </c>
      <c r="AG118">
        <v>190.19088952183617</v>
      </c>
      <c r="AH118">
        <v>243.87592710295132</v>
      </c>
      <c r="AI118">
        <v>210.39101778906101</v>
      </c>
      <c r="AJ118">
        <v>176.56845678093623</v>
      </c>
      <c r="AK118">
        <v>2747648</v>
      </c>
      <c r="AL118">
        <v>2384658</v>
      </c>
      <c r="AM118">
        <v>4909233</v>
      </c>
      <c r="AN118">
        <v>7254980</v>
      </c>
      <c r="AO118"/>
      <c r="AP118">
        <v>7</v>
      </c>
      <c r="AQ118"/>
      <c r="AR118"/>
      <c r="AS118"/>
      <c r="AT118"/>
      <c r="AU118">
        <v>228.02019999999973</v>
      </c>
      <c r="AV118">
        <v>341.21629999999982</v>
      </c>
      <c r="AW118">
        <v>5716159</v>
      </c>
      <c r="AX118">
        <v>2310163</v>
      </c>
      <c r="AY118">
        <v>15</v>
      </c>
      <c r="AZ118">
        <v>4.2</v>
      </c>
      <c r="BA118"/>
      <c r="BB118">
        <v>98.703247201994017</v>
      </c>
      <c r="BC118">
        <v>84.131423821882521</v>
      </c>
      <c r="BD118">
        <v>150.887</v>
      </c>
      <c r="BE118">
        <v>1.4564733333333333</v>
      </c>
      <c r="BF118">
        <v>68.036999999999992</v>
      </c>
      <c r="BG118">
        <v>281.08</v>
      </c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</row>
    <row r="119" spans="1:83">
      <c r="A119" s="3">
        <v>40087</v>
      </c>
      <c r="B119" s="3">
        <v>40087</v>
      </c>
      <c r="C119">
        <v>265.35299253687305</v>
      </c>
      <c r="D119">
        <v>113.78924289257128</v>
      </c>
      <c r="E119">
        <v>147.34532271725681</v>
      </c>
      <c r="F119">
        <v>68.998693396846861</v>
      </c>
      <c r="G119">
        <v>121.46106976653235</v>
      </c>
      <c r="H119">
        <v>6749.6999999999971</v>
      </c>
      <c r="I119">
        <v>3196.2000000000007</v>
      </c>
      <c r="J119">
        <v>547.31060015372248</v>
      </c>
      <c r="K119">
        <v>881.69701702084012</v>
      </c>
      <c r="M119">
        <v>118.46294877281203</v>
      </c>
      <c r="O119">
        <v>266.34274792971695</v>
      </c>
      <c r="P119">
        <v>147.58321252443378</v>
      </c>
      <c r="Q119">
        <v>32061.599999999999</v>
      </c>
      <c r="T119">
        <v>109.88651262096809</v>
      </c>
      <c r="U119"/>
      <c r="V119"/>
      <c r="W119"/>
      <c r="X119"/>
      <c r="Y119"/>
      <c r="Z119"/>
      <c r="AA119"/>
      <c r="AB119">
        <v>2501</v>
      </c>
      <c r="AC119">
        <v>20797</v>
      </c>
      <c r="AD119">
        <v>4289.3</v>
      </c>
      <c r="AE119">
        <v>2400.9</v>
      </c>
      <c r="AF119">
        <v>223.3151762123735</v>
      </c>
      <c r="AG119">
        <v>190.95165307992349</v>
      </c>
      <c r="AH119">
        <v>243.87592710295132</v>
      </c>
      <c r="AI119">
        <v>212.2845369491626</v>
      </c>
      <c r="AJ119">
        <v>177.80443597840278</v>
      </c>
      <c r="AK119">
        <v>2563712</v>
      </c>
      <c r="AL119">
        <v>2318943</v>
      </c>
      <c r="AM119">
        <v>4796942</v>
      </c>
      <c r="AN119">
        <v>7310697</v>
      </c>
      <c r="AO119"/>
      <c r="AP119">
        <v>7</v>
      </c>
      <c r="AQ119"/>
      <c r="AR119"/>
      <c r="AS119"/>
      <c r="AT119"/>
      <c r="AU119">
        <v>314.44880000000029</v>
      </c>
      <c r="AV119">
        <v>293.5261000000001</v>
      </c>
      <c r="AW119">
        <v>5674660</v>
      </c>
      <c r="AX119">
        <v>2285910</v>
      </c>
      <c r="AY119">
        <v>15.2</v>
      </c>
      <c r="AZ119">
        <v>3.9</v>
      </c>
      <c r="BA119"/>
      <c r="BB119">
        <v>97.107009878488014</v>
      </c>
      <c r="BC119">
        <v>82.628350263188295</v>
      </c>
      <c r="BD119">
        <v>150.79225806451612</v>
      </c>
      <c r="BE119">
        <v>1.4811838709677418</v>
      </c>
      <c r="BF119">
        <v>73.861290322580643</v>
      </c>
      <c r="BG119">
        <v>288.04354838709679</v>
      </c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</row>
    <row r="120" spans="1:83">
      <c r="A120" s="3">
        <v>40118</v>
      </c>
      <c r="B120" s="3">
        <v>40118</v>
      </c>
      <c r="C120">
        <v>261.63805064135681</v>
      </c>
      <c r="D120">
        <v>112.08240424918272</v>
      </c>
      <c r="E120">
        <v>141.3041644858493</v>
      </c>
      <c r="F120">
        <v>86.179368052661744</v>
      </c>
      <c r="G120">
        <v>126.80535683625978</v>
      </c>
      <c r="H120">
        <v>6595.1000000000058</v>
      </c>
      <c r="I120">
        <v>3440.3999999999978</v>
      </c>
      <c r="J120">
        <v>437.848480122978</v>
      </c>
      <c r="K120">
        <v>246.87516476583522</v>
      </c>
      <c r="M120">
        <v>129.59846595745637</v>
      </c>
      <c r="O120">
        <v>253.82463877702025</v>
      </c>
      <c r="P120">
        <v>131.9393919968438</v>
      </c>
      <c r="Q120">
        <v>31193.439999999999</v>
      </c>
      <c r="T120">
        <v>109.22719354524229</v>
      </c>
      <c r="U120"/>
      <c r="V120"/>
      <c r="W120"/>
      <c r="X120"/>
      <c r="Y120"/>
      <c r="Z120"/>
      <c r="AA120"/>
      <c r="AB120">
        <v>2713</v>
      </c>
      <c r="AC120">
        <v>23904</v>
      </c>
      <c r="AD120">
        <v>3951.7</v>
      </c>
      <c r="AE120">
        <v>2444.5</v>
      </c>
      <c r="AF120">
        <v>224.43175209343539</v>
      </c>
      <c r="AG120">
        <v>192.47926630456286</v>
      </c>
      <c r="AH120">
        <v>244.36367895715719</v>
      </c>
      <c r="AI120">
        <v>213.34595963390842</v>
      </c>
      <c r="AJ120">
        <v>178.51565372231639</v>
      </c>
      <c r="AK120">
        <v>2502905</v>
      </c>
      <c r="AL120">
        <v>2402657</v>
      </c>
      <c r="AM120">
        <v>4829444</v>
      </c>
      <c r="AN120">
        <v>7094533</v>
      </c>
      <c r="AO120"/>
      <c r="AP120">
        <v>7</v>
      </c>
      <c r="AQ120"/>
      <c r="AR120"/>
      <c r="AS120"/>
      <c r="AT120"/>
      <c r="AU120">
        <v>273.9717999999998</v>
      </c>
      <c r="AV120">
        <v>289.60719999999969</v>
      </c>
      <c r="AW120">
        <v>5572045</v>
      </c>
      <c r="AX120">
        <v>2250315</v>
      </c>
      <c r="AY120">
        <v>15.2</v>
      </c>
      <c r="AZ120">
        <v>8.5</v>
      </c>
      <c r="BA120"/>
      <c r="BB120">
        <v>97.108355525731412</v>
      </c>
      <c r="BC120">
        <v>82.496169099955878</v>
      </c>
      <c r="BD120">
        <v>149.71800000000002</v>
      </c>
      <c r="BE120">
        <v>1.4913333333333334</v>
      </c>
      <c r="BF120">
        <v>77.201333333333338</v>
      </c>
      <c r="BG120">
        <v>303.86500000000001</v>
      </c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</row>
    <row r="121" spans="1:83">
      <c r="A121" s="3">
        <v>40148</v>
      </c>
      <c r="B121" s="3">
        <v>40148</v>
      </c>
      <c r="C121">
        <v>277.59797173047957</v>
      </c>
      <c r="D121">
        <v>114.21196992991719</v>
      </c>
      <c r="E121">
        <v>159.391097540038</v>
      </c>
      <c r="F121">
        <v>98.416838316139717</v>
      </c>
      <c r="G121">
        <v>124.64966577004336</v>
      </c>
      <c r="H121">
        <v>6815.3999999999942</v>
      </c>
      <c r="I121">
        <v>3464</v>
      </c>
      <c r="J121">
        <v>545.99705471335358</v>
      </c>
      <c r="K121">
        <v>325.87521749090251</v>
      </c>
      <c r="M121">
        <v>149.42703124894717</v>
      </c>
      <c r="O121">
        <v>380.9907828043074</v>
      </c>
      <c r="P121">
        <v>144.86945241253449</v>
      </c>
      <c r="Q121">
        <v>31731.49</v>
      </c>
      <c r="T121">
        <v>122.69043725846898</v>
      </c>
      <c r="U121"/>
      <c r="V121"/>
      <c r="W121"/>
      <c r="X121"/>
      <c r="Y121"/>
      <c r="Z121"/>
      <c r="AA121"/>
      <c r="AB121">
        <v>2501</v>
      </c>
      <c r="AC121">
        <v>23091</v>
      </c>
      <c r="AD121">
        <v>5588</v>
      </c>
      <c r="AE121">
        <v>3032</v>
      </c>
      <c r="AF121">
        <v>225.77834260599602</v>
      </c>
      <c r="AG121">
        <v>193.05670410347656</v>
      </c>
      <c r="AH121">
        <v>245.34113367298582</v>
      </c>
      <c r="AI121">
        <v>215.69276518988141</v>
      </c>
      <c r="AJ121">
        <v>179.76526329837259</v>
      </c>
      <c r="AK121">
        <v>2450836</v>
      </c>
      <c r="AL121">
        <v>2457677</v>
      </c>
      <c r="AM121">
        <v>5335204</v>
      </c>
      <c r="AN121">
        <v>7487306</v>
      </c>
      <c r="AO121"/>
      <c r="AP121">
        <v>7</v>
      </c>
      <c r="AQ121"/>
      <c r="AR121"/>
      <c r="AS121"/>
      <c r="AT121"/>
      <c r="AU121">
        <v>341.32030000000026</v>
      </c>
      <c r="AV121">
        <v>479.65290000000039</v>
      </c>
      <c r="AW121">
        <v>5417884</v>
      </c>
      <c r="AX121">
        <v>2226153</v>
      </c>
      <c r="AY121">
        <v>14.3</v>
      </c>
      <c r="AZ121">
        <v>7.2</v>
      </c>
      <c r="BA121"/>
      <c r="BB121">
        <v>99.84638431739566</v>
      </c>
      <c r="BC121">
        <v>84.616561770634576</v>
      </c>
      <c r="BD121">
        <v>148.68806451612903</v>
      </c>
      <c r="BE121">
        <v>1.4565483870967741</v>
      </c>
      <c r="BF121">
        <v>75.155806451612904</v>
      </c>
      <c r="BG121">
        <v>318.93709677419355</v>
      </c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</row>
    <row r="122" spans="1:83">
      <c r="A122" s="3">
        <v>40179</v>
      </c>
      <c r="B122" s="3">
        <v>40179</v>
      </c>
      <c r="C122">
        <v>234.57028611225525</v>
      </c>
      <c r="D122">
        <v>105.76028415510331</v>
      </c>
      <c r="E122">
        <v>135.32304181149229</v>
      </c>
      <c r="F122">
        <v>97.039002579713767</v>
      </c>
      <c r="G122">
        <v>106.70011389915712</v>
      </c>
      <c r="H122">
        <v>6599.7</v>
      </c>
      <c r="I122">
        <v>3565.7</v>
      </c>
      <c r="J122">
        <v>142.50523128018528</v>
      </c>
      <c r="K122">
        <v>102.45893197566879</v>
      </c>
      <c r="M122">
        <v>111.8</v>
      </c>
      <c r="O122">
        <v>101.72453900875007</v>
      </c>
      <c r="P122">
        <v>108.5</v>
      </c>
      <c r="Q122">
        <v>25759.48</v>
      </c>
      <c r="T122">
        <v>103.5918853873351</v>
      </c>
      <c r="U122"/>
      <c r="V122"/>
      <c r="W122"/>
      <c r="X122"/>
      <c r="Y122"/>
      <c r="Z122"/>
      <c r="AA122"/>
      <c r="AB122">
        <v>2453</v>
      </c>
      <c r="AC122">
        <v>26274</v>
      </c>
      <c r="AD122">
        <v>4255.7</v>
      </c>
      <c r="AE122">
        <v>1474.7</v>
      </c>
      <c r="AF122">
        <v>228.93923940247998</v>
      </c>
      <c r="AG122">
        <v>193.63587421578697</v>
      </c>
      <c r="AH122">
        <v>248.03988614338869</v>
      </c>
      <c r="AI122">
        <v>221.73216261519806</v>
      </c>
      <c r="AJ122">
        <v>182.2819769845498</v>
      </c>
      <c r="AK122">
        <v>2584606</v>
      </c>
      <c r="AL122">
        <v>2536665</v>
      </c>
      <c r="AM122">
        <v>5394164</v>
      </c>
      <c r="AN122">
        <v>7496070</v>
      </c>
      <c r="AO122"/>
      <c r="AP122">
        <v>7</v>
      </c>
      <c r="AQ122"/>
      <c r="AR122"/>
      <c r="AS122"/>
      <c r="AT122"/>
      <c r="AU122">
        <v>194.76990000000001</v>
      </c>
      <c r="AV122">
        <v>187.22049999999999</v>
      </c>
      <c r="AW122">
        <v>5412733</v>
      </c>
      <c r="AX122">
        <v>2196445</v>
      </c>
      <c r="AY122">
        <v>15.1</v>
      </c>
      <c r="AZ122">
        <v>7.9</v>
      </c>
      <c r="BA122"/>
      <c r="BB122">
        <v>102.02778785580075</v>
      </c>
      <c r="BC122">
        <v>85.611342248768239</v>
      </c>
      <c r="BD122">
        <v>148.11806451612904</v>
      </c>
      <c r="BE122">
        <v>1.4256387096774195</v>
      </c>
      <c r="BF122">
        <v>76.760967741935488</v>
      </c>
      <c r="BG122">
        <v>333.45967741935482</v>
      </c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</row>
    <row r="123" spans="1:83">
      <c r="A123" s="3">
        <v>40210</v>
      </c>
      <c r="B123" s="3">
        <v>40210</v>
      </c>
      <c r="C123">
        <v>232.4591535372449</v>
      </c>
      <c r="D123">
        <v>100.68379051565834</v>
      </c>
      <c r="E123">
        <v>123.95590629932693</v>
      </c>
      <c r="F123">
        <v>89.858116388814949</v>
      </c>
      <c r="G123">
        <v>104.77951184897229</v>
      </c>
      <c r="H123">
        <v>6232.8</v>
      </c>
      <c r="I123">
        <v>3108.4000000000005</v>
      </c>
      <c r="J123">
        <v>149.202977150354</v>
      </c>
      <c r="K123">
        <v>98.522284306016502</v>
      </c>
      <c r="M123">
        <v>104.4198</v>
      </c>
      <c r="O123">
        <v>102.53833532082007</v>
      </c>
      <c r="P123">
        <v>101.0072</v>
      </c>
      <c r="Q123">
        <v>26046.15</v>
      </c>
      <c r="T123">
        <v>103.06591264170874</v>
      </c>
      <c r="U123"/>
      <c r="V123"/>
      <c r="W123"/>
      <c r="X123"/>
      <c r="Y123"/>
      <c r="Z123"/>
      <c r="AA123"/>
      <c r="AB123">
        <v>2520</v>
      </c>
      <c r="AC123">
        <v>27550</v>
      </c>
      <c r="AD123">
        <v>4240.3</v>
      </c>
      <c r="AE123">
        <v>1663.2</v>
      </c>
      <c r="AF123">
        <v>230.99969255710232</v>
      </c>
      <c r="AG123">
        <v>194.41041771265014</v>
      </c>
      <c r="AH123">
        <v>251.26440466325272</v>
      </c>
      <c r="AI123">
        <v>223.28428775350443</v>
      </c>
      <c r="AJ123">
        <v>183.55795082344164</v>
      </c>
      <c r="AK123">
        <v>2653023</v>
      </c>
      <c r="AL123">
        <v>2595183</v>
      </c>
      <c r="AM123">
        <v>5544467</v>
      </c>
      <c r="AN123">
        <v>7650126</v>
      </c>
      <c r="AO123"/>
      <c r="AP123">
        <v>7</v>
      </c>
      <c r="AQ123"/>
      <c r="AR123"/>
      <c r="AS123"/>
      <c r="AT123"/>
      <c r="AU123">
        <v>380.27729999999991</v>
      </c>
      <c r="AV123">
        <v>339.48200000000003</v>
      </c>
      <c r="AW123">
        <v>5490885</v>
      </c>
      <c r="AX123">
        <v>2166092</v>
      </c>
      <c r="AY123">
        <v>15.3</v>
      </c>
      <c r="AZ123">
        <v>8.1999999999999993</v>
      </c>
      <c r="BA123"/>
      <c r="BB123">
        <v>104.71251131964657</v>
      </c>
      <c r="BC123">
        <v>87.613807075807657</v>
      </c>
      <c r="BD123">
        <v>147.8125</v>
      </c>
      <c r="BE123">
        <v>1.3669285714285715</v>
      </c>
      <c r="BF123">
        <v>74.726428571428571</v>
      </c>
      <c r="BG123">
        <v>312.58749999999998</v>
      </c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</row>
    <row r="124" spans="1:83">
      <c r="A124" s="3">
        <v>40238</v>
      </c>
      <c r="B124" s="3">
        <v>40238</v>
      </c>
      <c r="C124">
        <v>261.98146603647501</v>
      </c>
      <c r="D124">
        <v>111.75900747238076</v>
      </c>
      <c r="E124">
        <v>138.45874733634818</v>
      </c>
      <c r="F124">
        <v>90.487123203536655</v>
      </c>
      <c r="G124">
        <v>111.59018011915549</v>
      </c>
      <c r="H124">
        <v>6911.5</v>
      </c>
      <c r="I124">
        <v>3510.6999999999989</v>
      </c>
      <c r="J124">
        <v>224.10287167983171</v>
      </c>
      <c r="K124">
        <v>119.41951541372281</v>
      </c>
      <c r="M124">
        <v>108.497688</v>
      </c>
      <c r="O124">
        <v>154.32019465783421</v>
      </c>
      <c r="P124">
        <v>108.14148800000001</v>
      </c>
      <c r="Q124">
        <v>27638.42</v>
      </c>
      <c r="T124">
        <v>107.62697804751951</v>
      </c>
      <c r="U124"/>
      <c r="V124"/>
      <c r="W124"/>
      <c r="X124"/>
      <c r="Y124"/>
      <c r="Z124"/>
      <c r="AA124"/>
      <c r="AB124">
        <v>2624</v>
      </c>
      <c r="AC124">
        <v>27143</v>
      </c>
      <c r="AD124">
        <v>4969.7</v>
      </c>
      <c r="AE124">
        <v>2231.6</v>
      </c>
      <c r="AF124">
        <v>232.61669040500203</v>
      </c>
      <c r="AG124">
        <v>195.18805938350076</v>
      </c>
      <c r="AH124">
        <v>254.27957751921176</v>
      </c>
      <c r="AI124">
        <v>223.73085632901146</v>
      </c>
      <c r="AJ124">
        <v>184.47574057755884</v>
      </c>
      <c r="AK124">
        <v>2736282</v>
      </c>
      <c r="AL124">
        <v>2707056</v>
      </c>
      <c r="AM124">
        <v>5709675</v>
      </c>
      <c r="AN124">
        <v>7758511</v>
      </c>
      <c r="AO124"/>
      <c r="AP124">
        <v>7</v>
      </c>
      <c r="AQ124"/>
      <c r="AR124"/>
      <c r="AS124"/>
      <c r="AT124"/>
      <c r="AU124">
        <v>405.18780000000004</v>
      </c>
      <c r="AV124">
        <v>347.09559999999999</v>
      </c>
      <c r="AW124">
        <v>5452807</v>
      </c>
      <c r="AX124">
        <v>2147778</v>
      </c>
      <c r="AY124">
        <v>14.2</v>
      </c>
      <c r="AZ124">
        <v>7.9</v>
      </c>
      <c r="BA124"/>
      <c r="BB124">
        <v>105.43120901050898</v>
      </c>
      <c r="BC124">
        <v>87.912696357425091</v>
      </c>
      <c r="BD124">
        <v>147.10806451612902</v>
      </c>
      <c r="BE124">
        <v>1.3576548387096774</v>
      </c>
      <c r="BF124">
        <v>79.849032258064511</v>
      </c>
      <c r="BG124">
        <v>339.25645161290322</v>
      </c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</row>
    <row r="125" spans="1:83">
      <c r="A125" s="3">
        <v>40269</v>
      </c>
      <c r="B125" s="3">
        <v>40269</v>
      </c>
      <c r="C125">
        <v>261.98146603647501</v>
      </c>
      <c r="D125">
        <v>107.62392419590267</v>
      </c>
      <c r="E125">
        <v>149.3969883759197</v>
      </c>
      <c r="F125">
        <v>75.375773628546028</v>
      </c>
      <c r="G125">
        <v>117.6160498455899</v>
      </c>
      <c r="H125">
        <v>6488.5</v>
      </c>
      <c r="I125">
        <v>3277.4000000000015</v>
      </c>
      <c r="J125">
        <v>305.22811122793075</v>
      </c>
      <c r="K125">
        <v>126.10665083971131</v>
      </c>
      <c r="M125">
        <v>111.43711488</v>
      </c>
      <c r="O125">
        <v>180.70894794432385</v>
      </c>
      <c r="P125">
        <v>110.9682379904</v>
      </c>
      <c r="Q125">
        <v>29372.16</v>
      </c>
      <c r="T125">
        <v>112.62984065981871</v>
      </c>
      <c r="U125"/>
      <c r="V125"/>
      <c r="W125"/>
      <c r="X125"/>
      <c r="Y125"/>
      <c r="Z125"/>
      <c r="AA125"/>
      <c r="AB125">
        <v>2780</v>
      </c>
      <c r="AC125">
        <v>29371</v>
      </c>
      <c r="AD125">
        <v>4829.2</v>
      </c>
      <c r="AE125">
        <v>2309.5</v>
      </c>
      <c r="AF125">
        <v>234.24500723783709</v>
      </c>
      <c r="AG125">
        <v>195.96881162103477</v>
      </c>
      <c r="AH125">
        <v>256.82237329440386</v>
      </c>
      <c r="AI125">
        <v>224.62577975432754</v>
      </c>
      <c r="AJ125">
        <v>185.39811928044662</v>
      </c>
      <c r="AK125">
        <v>2650779</v>
      </c>
      <c r="AL125">
        <v>2788684</v>
      </c>
      <c r="AM125">
        <v>5914060</v>
      </c>
      <c r="AN125">
        <v>8008973</v>
      </c>
      <c r="AO125"/>
      <c r="AP125">
        <v>7</v>
      </c>
      <c r="AQ125"/>
      <c r="AR125"/>
      <c r="AS125"/>
      <c r="AT125"/>
      <c r="AU125">
        <v>275.76389999999992</v>
      </c>
      <c r="AV125">
        <v>339.24370000000005</v>
      </c>
      <c r="AW125">
        <v>5444557</v>
      </c>
      <c r="AX125">
        <v>2133379</v>
      </c>
      <c r="AY125">
        <v>13.6</v>
      </c>
      <c r="AZ125">
        <v>7</v>
      </c>
      <c r="BA125"/>
      <c r="BB125">
        <v>106.23273125398876</v>
      </c>
      <c r="BC125">
        <v>88.238796457379038</v>
      </c>
      <c r="BD125">
        <v>146.685</v>
      </c>
      <c r="BE125">
        <v>1.34399</v>
      </c>
      <c r="BF125">
        <v>85.63333333333334</v>
      </c>
      <c r="BG125">
        <v>353.2</v>
      </c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</row>
    <row r="126" spans="1:83">
      <c r="A126" s="3">
        <v>40299</v>
      </c>
      <c r="B126" s="3">
        <v>40299</v>
      </c>
      <c r="C126">
        <v>264.86326216287625</v>
      </c>
      <c r="D126">
        <v>110.42214622499614</v>
      </c>
      <c r="E126">
        <v>149.99457632942341</v>
      </c>
      <c r="F126">
        <v>58.039345693980437</v>
      </c>
      <c r="G126">
        <v>113.26425600130307</v>
      </c>
      <c r="H126">
        <v>6526</v>
      </c>
      <c r="I126">
        <v>3196.8999999999978</v>
      </c>
      <c r="J126">
        <v>403.20633493209652</v>
      </c>
      <c r="K126">
        <v>149.57410995198452</v>
      </c>
      <c r="M126">
        <v>117.44357537203199</v>
      </c>
      <c r="O126">
        <v>220.64562544001944</v>
      </c>
      <c r="P126">
        <v>116.65538533886718</v>
      </c>
      <c r="Q126">
        <v>30538.33</v>
      </c>
      <c r="T126">
        <v>111.2177207466797</v>
      </c>
      <c r="U126"/>
      <c r="V126"/>
      <c r="W126"/>
      <c r="X126"/>
      <c r="Y126"/>
      <c r="Z126"/>
      <c r="AA126"/>
      <c r="AB126">
        <v>2750</v>
      </c>
      <c r="AC126">
        <v>28231</v>
      </c>
      <c r="AD126">
        <v>5907.5</v>
      </c>
      <c r="AE126">
        <v>2621.8</v>
      </c>
      <c r="AF126">
        <v>235.65047728126407</v>
      </c>
      <c r="AG126">
        <v>196.94865567913996</v>
      </c>
      <c r="AH126">
        <v>258.62012990746462</v>
      </c>
      <c r="AI126">
        <v>225.52428287334484</v>
      </c>
      <c r="AJ126">
        <v>186.13971175756842</v>
      </c>
      <c r="AK126">
        <v>2518311</v>
      </c>
      <c r="AL126">
        <v>2641760</v>
      </c>
      <c r="AM126">
        <v>6015559</v>
      </c>
      <c r="AN126">
        <v>8050539</v>
      </c>
      <c r="AO126"/>
      <c r="AP126">
        <v>7</v>
      </c>
      <c r="AQ126"/>
      <c r="AR126"/>
      <c r="AS126"/>
      <c r="AT126"/>
      <c r="AU126">
        <v>460.20510000000007</v>
      </c>
      <c r="AV126">
        <v>413.39439999999991</v>
      </c>
      <c r="AW126">
        <v>5440149</v>
      </c>
      <c r="AX126">
        <v>2123590</v>
      </c>
      <c r="AY126">
        <v>14.2</v>
      </c>
      <c r="AZ126">
        <v>7.9</v>
      </c>
      <c r="BA126"/>
      <c r="BB126">
        <v>111.22729687070819</v>
      </c>
      <c r="BC126">
        <v>91.852804991852608</v>
      </c>
      <c r="BD126">
        <v>146.69419354838709</v>
      </c>
      <c r="BE126">
        <v>1.2572000000000001</v>
      </c>
      <c r="BF126">
        <v>77.23</v>
      </c>
      <c r="BG126">
        <v>312.03064516129035</v>
      </c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</row>
    <row r="127" spans="1:83">
      <c r="A127" s="3">
        <v>40330</v>
      </c>
      <c r="B127" s="3">
        <v>40330</v>
      </c>
      <c r="C127">
        <v>269.10107435748222</v>
      </c>
      <c r="D127">
        <v>110.53256837122113</v>
      </c>
      <c r="E127">
        <v>159.14424548551821</v>
      </c>
      <c r="F127">
        <v>56.298165323161022</v>
      </c>
      <c r="G127">
        <v>136.37016422556889</v>
      </c>
      <c r="H127">
        <v>6442.0999999999985</v>
      </c>
      <c r="I127">
        <v>3280.7000000000007</v>
      </c>
      <c r="J127">
        <v>458.04239648286165</v>
      </c>
      <c r="K127">
        <v>208.36582210822999</v>
      </c>
      <c r="M127">
        <v>117.89650038175029</v>
      </c>
      <c r="O127">
        <v>271.17347366578389</v>
      </c>
      <c r="P127">
        <v>124.36612553113815</v>
      </c>
      <c r="Q127">
        <v>30905.63</v>
      </c>
      <c r="T127">
        <v>116.27657681621662</v>
      </c>
      <c r="U127"/>
      <c r="V127"/>
      <c r="W127"/>
      <c r="X127"/>
      <c r="Y127"/>
      <c r="Z127"/>
      <c r="AA127"/>
      <c r="AB127">
        <v>2689</v>
      </c>
      <c r="AC127">
        <v>26603</v>
      </c>
      <c r="AD127">
        <v>5389.6</v>
      </c>
      <c r="AE127">
        <v>2689.4</v>
      </c>
      <c r="AF127">
        <v>236.12177823582661</v>
      </c>
      <c r="AG127">
        <v>197.93339895753567</v>
      </c>
      <c r="AH127">
        <v>258.87875003737213</v>
      </c>
      <c r="AI127">
        <v>225.74980715621814</v>
      </c>
      <c r="AJ127">
        <v>186.32585146932598</v>
      </c>
      <c r="AK127">
        <v>2738397</v>
      </c>
      <c r="AL127">
        <v>2863832</v>
      </c>
      <c r="AM127">
        <v>6124467</v>
      </c>
      <c r="AN127">
        <v>8287944</v>
      </c>
      <c r="AO127"/>
      <c r="AP127">
        <v>7</v>
      </c>
      <c r="AQ127"/>
      <c r="AR127"/>
      <c r="AS127"/>
      <c r="AT127"/>
      <c r="AU127">
        <v>318.5098999999999</v>
      </c>
      <c r="AV127">
        <v>392.78960000000012</v>
      </c>
      <c r="AW127">
        <v>5354782</v>
      </c>
      <c r="AX127">
        <v>2121644</v>
      </c>
      <c r="AY127">
        <v>14.1</v>
      </c>
      <c r="AZ127">
        <v>6.9</v>
      </c>
      <c r="BA127"/>
      <c r="BB127">
        <v>113.13798227707554</v>
      </c>
      <c r="BC127">
        <v>93.206686224729054</v>
      </c>
      <c r="BD127">
        <v>147.12899999999999</v>
      </c>
      <c r="BE127">
        <v>1.2211033333333334</v>
      </c>
      <c r="BF127">
        <v>75.668333333333337</v>
      </c>
      <c r="BG127">
        <v>293.70833333333331</v>
      </c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</row>
    <row r="128" spans="1:83">
      <c r="A128" s="3">
        <v>40360</v>
      </c>
      <c r="B128" s="3">
        <v>40360</v>
      </c>
      <c r="C128">
        <v>274.21399477027444</v>
      </c>
      <c r="D128">
        <v>116.05919678978218</v>
      </c>
      <c r="E128">
        <v>149.43644651090162</v>
      </c>
      <c r="F128">
        <v>56.354463488484178</v>
      </c>
      <c r="G128">
        <v>118.50567271201936</v>
      </c>
      <c r="H128">
        <v>6824.5999999999985</v>
      </c>
      <c r="I128">
        <v>3213.4000000000015</v>
      </c>
      <c r="J128">
        <v>531.78722231660231</v>
      </c>
      <c r="K128">
        <v>179.5358961411101</v>
      </c>
      <c r="M128">
        <v>118.21015335802187</v>
      </c>
      <c r="O128">
        <v>261.41122861381569</v>
      </c>
      <c r="P128">
        <v>126.43501995586175</v>
      </c>
      <c r="Q128">
        <v>31062.880000000001</v>
      </c>
      <c r="T128">
        <v>121.87727597855566</v>
      </c>
      <c r="U128"/>
      <c r="V128"/>
      <c r="W128"/>
      <c r="X128"/>
      <c r="Y128"/>
      <c r="Z128"/>
      <c r="AA128"/>
      <c r="AB128">
        <v>2645</v>
      </c>
      <c r="AC128">
        <v>27769</v>
      </c>
      <c r="AD128">
        <v>5126.5</v>
      </c>
      <c r="AE128">
        <v>3053.2</v>
      </c>
      <c r="AF128">
        <v>236.59402179229824</v>
      </c>
      <c r="AG128">
        <v>198.52719915440827</v>
      </c>
      <c r="AH128">
        <v>258.87875003737213</v>
      </c>
      <c r="AI128">
        <v>226.20130677053058</v>
      </c>
      <c r="AJ128">
        <v>186.69850317226462</v>
      </c>
      <c r="AK128">
        <v>2600035</v>
      </c>
      <c r="AL128">
        <v>2830371</v>
      </c>
      <c r="AM128">
        <v>6300518</v>
      </c>
      <c r="AN128">
        <v>8402482</v>
      </c>
      <c r="AO128"/>
      <c r="AP128">
        <v>7</v>
      </c>
      <c r="AQ128"/>
      <c r="AR128"/>
      <c r="AS128"/>
      <c r="AT128"/>
      <c r="AU128">
        <v>298.03050000000002</v>
      </c>
      <c r="AV128">
        <v>367.73649999999975</v>
      </c>
      <c r="AW128">
        <v>5335116</v>
      </c>
      <c r="AX128">
        <v>2117955</v>
      </c>
      <c r="AY128">
        <v>13.7</v>
      </c>
      <c r="AZ128">
        <v>6.4</v>
      </c>
      <c r="BA128"/>
      <c r="BB128">
        <v>109.64161363412614</v>
      </c>
      <c r="BC128">
        <v>90.337221580705901</v>
      </c>
      <c r="BD128">
        <v>147.51774193548388</v>
      </c>
      <c r="BE128">
        <v>1.2800483870967743</v>
      </c>
      <c r="BF128">
        <v>75.348387096774189</v>
      </c>
      <c r="BG128">
        <v>305.44516129032257</v>
      </c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</row>
    <row r="129" spans="1:83">
      <c r="A129" s="3">
        <v>40391</v>
      </c>
      <c r="B129" s="3">
        <v>40391</v>
      </c>
      <c r="C129">
        <v>286.55362453493677</v>
      </c>
      <c r="D129">
        <v>118.49643992236759</v>
      </c>
      <c r="E129">
        <v>166.62163785965532</v>
      </c>
      <c r="F129">
        <v>54.382057266387228</v>
      </c>
      <c r="G129">
        <v>123.83842798406023</v>
      </c>
      <c r="H129">
        <v>6881.3000000000029</v>
      </c>
      <c r="I129">
        <v>3181.5999999999985</v>
      </c>
      <c r="J129">
        <v>435.53373507729731</v>
      </c>
      <c r="K129">
        <v>332.47111609457045</v>
      </c>
      <c r="M129">
        <v>122.68226497420399</v>
      </c>
      <c r="O129">
        <v>234.74728329520647</v>
      </c>
      <c r="P129">
        <v>132.96453444590665</v>
      </c>
      <c r="Q129">
        <v>33738.89</v>
      </c>
      <c r="T129">
        <v>120.78909517963959</v>
      </c>
      <c r="U129"/>
      <c r="V129"/>
      <c r="W129"/>
      <c r="X129"/>
      <c r="Y129"/>
      <c r="Z129"/>
      <c r="AA129"/>
      <c r="AB129">
        <v>2670</v>
      </c>
      <c r="AC129">
        <v>26911</v>
      </c>
      <c r="AD129">
        <v>4212.3999999999996</v>
      </c>
      <c r="AE129">
        <v>2826.2</v>
      </c>
      <c r="AF129">
        <v>236.59402179229824</v>
      </c>
      <c r="AG129">
        <v>199.32130795102594</v>
      </c>
      <c r="AH129">
        <v>258.61987128733477</v>
      </c>
      <c r="AI129">
        <v>225.97510546376009</v>
      </c>
      <c r="AJ129">
        <v>187.07190017860916</v>
      </c>
      <c r="AK129">
        <v>2523403</v>
      </c>
      <c r="AL129">
        <v>2960520</v>
      </c>
      <c r="AM129">
        <v>6367061</v>
      </c>
      <c r="AN129">
        <v>8424651</v>
      </c>
      <c r="AO129"/>
      <c r="AP129">
        <v>7</v>
      </c>
      <c r="AQ129"/>
      <c r="AR129"/>
      <c r="AS129"/>
      <c r="AT129"/>
      <c r="AU129">
        <v>373.38120000000021</v>
      </c>
      <c r="AV129">
        <v>385.66849999999999</v>
      </c>
      <c r="AW129">
        <v>5332515</v>
      </c>
      <c r="AX129">
        <v>2118929</v>
      </c>
      <c r="AY129">
        <v>13.7</v>
      </c>
      <c r="AZ129">
        <v>7.2</v>
      </c>
      <c r="BA129"/>
      <c r="BB129">
        <v>108.29920489720692</v>
      </c>
      <c r="BC129">
        <v>89.568448827735367</v>
      </c>
      <c r="BD129">
        <v>147.31870967741935</v>
      </c>
      <c r="BE129">
        <v>1.2897419354838711</v>
      </c>
      <c r="BF129">
        <v>77.002258064516127</v>
      </c>
      <c r="BG129">
        <v>331.86129032258066</v>
      </c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</row>
    <row r="130" spans="1:83">
      <c r="A130" s="3">
        <v>40422</v>
      </c>
      <c r="B130" s="3">
        <v>40422</v>
      </c>
      <c r="C130">
        <v>266.78142444202609</v>
      </c>
      <c r="D130">
        <v>105.81732085067426</v>
      </c>
      <c r="E130">
        <v>166.45501622179566</v>
      </c>
      <c r="F130">
        <v>54.382057266387228</v>
      </c>
      <c r="G130">
        <v>129.53499567132701</v>
      </c>
      <c r="H130">
        <v>5991.5</v>
      </c>
      <c r="I130">
        <v>2938.7999999999993</v>
      </c>
      <c r="J130">
        <v>462.53682665208976</v>
      </c>
      <c r="K130">
        <v>1225.8284955787308</v>
      </c>
      <c r="M130">
        <v>126.17892627908714</v>
      </c>
      <c r="O130">
        <v>257.75251705813668</v>
      </c>
      <c r="P130">
        <v>158.11380901096211</v>
      </c>
      <c r="Q130">
        <v>34925.71</v>
      </c>
      <c r="T130">
        <v>118.27538594815773</v>
      </c>
      <c r="U130"/>
      <c r="V130"/>
      <c r="W130"/>
      <c r="X130"/>
      <c r="Y130"/>
      <c r="Z130"/>
      <c r="AA130"/>
      <c r="AB130">
        <v>2837</v>
      </c>
      <c r="AC130">
        <v>27831</v>
      </c>
      <c r="AD130">
        <v>5342.1</v>
      </c>
      <c r="AE130">
        <v>2765.4</v>
      </c>
      <c r="AF130">
        <v>238.01358592305206</v>
      </c>
      <c r="AG130">
        <v>200.31791449078105</v>
      </c>
      <c r="AH130">
        <v>259.65435077248412</v>
      </c>
      <c r="AI130">
        <v>227.78290630747011</v>
      </c>
      <c r="AJ130">
        <v>188.56847538003802</v>
      </c>
      <c r="AK130">
        <v>2529901</v>
      </c>
      <c r="AL130">
        <v>3082180</v>
      </c>
      <c r="AM130">
        <v>6581709</v>
      </c>
      <c r="AN130">
        <v>8411134</v>
      </c>
      <c r="AO130"/>
      <c r="AP130">
        <v>7</v>
      </c>
      <c r="AQ130"/>
      <c r="AR130"/>
      <c r="AS130"/>
      <c r="AT130"/>
      <c r="AU130">
        <v>286.73450000000003</v>
      </c>
      <c r="AV130">
        <v>382.37700000000001</v>
      </c>
      <c r="AW130">
        <v>5369294</v>
      </c>
      <c r="AX130">
        <v>2124017</v>
      </c>
      <c r="AY130">
        <v>13.5</v>
      </c>
      <c r="AZ130">
        <v>6.8</v>
      </c>
      <c r="BA130"/>
      <c r="BB130">
        <v>107.72865026632662</v>
      </c>
      <c r="BC130">
        <v>88.997650063067184</v>
      </c>
      <c r="BD130">
        <v>147.40133333333333</v>
      </c>
      <c r="BE130">
        <v>1.3075866666666667</v>
      </c>
      <c r="BF130">
        <v>78.3</v>
      </c>
      <c r="BG130">
        <v>351.38833333333332</v>
      </c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</row>
    <row r="131" spans="1:83">
      <c r="A131" s="3">
        <v>40452</v>
      </c>
      <c r="B131" s="3">
        <v>40452</v>
      </c>
      <c r="C131">
        <v>292.12565976401856</v>
      </c>
      <c r="D131">
        <v>125.18189056634765</v>
      </c>
      <c r="E131">
        <v>160.7955456702546</v>
      </c>
      <c r="F131">
        <v>69.500269186442878</v>
      </c>
      <c r="G131">
        <v>131.47802060639691</v>
      </c>
      <c r="H131">
        <v>6736.3999999999942</v>
      </c>
      <c r="I131">
        <v>3196.2000000000007</v>
      </c>
      <c r="J131">
        <v>456.98638473226464</v>
      </c>
      <c r="K131">
        <v>670.632139371324</v>
      </c>
      <c r="M131">
        <v>129.24307711113792</v>
      </c>
      <c r="O131">
        <v>269.35138032575281</v>
      </c>
      <c r="P131">
        <v>151.27279283754461</v>
      </c>
      <c r="Q131">
        <v>36815.01</v>
      </c>
      <c r="T131">
        <v>118.25843748299461</v>
      </c>
      <c r="U131"/>
      <c r="V131"/>
      <c r="W131"/>
      <c r="X131"/>
      <c r="Y131"/>
      <c r="Z131"/>
      <c r="AA131"/>
      <c r="AB131">
        <v>2893</v>
      </c>
      <c r="AC131">
        <v>28984</v>
      </c>
      <c r="AD131">
        <v>4464.7</v>
      </c>
      <c r="AE131">
        <v>2956.5</v>
      </c>
      <c r="AF131">
        <v>240.1557081963596</v>
      </c>
      <c r="AG131">
        <v>201.51982197772577</v>
      </c>
      <c r="AH131">
        <v>263.02985733252643</v>
      </c>
      <c r="AI131">
        <v>229.37738665162243</v>
      </c>
      <c r="AJ131">
        <v>190.26559165845833</v>
      </c>
      <c r="AK131">
        <v>2744373</v>
      </c>
      <c r="AL131">
        <v>3161605</v>
      </c>
      <c r="AM131">
        <v>6693128</v>
      </c>
      <c r="AN131">
        <v>8660047</v>
      </c>
      <c r="AO131"/>
      <c r="AP131">
        <v>7</v>
      </c>
      <c r="AQ131"/>
      <c r="AR131"/>
      <c r="AS131"/>
      <c r="AT131"/>
      <c r="AU131">
        <v>332.3281999999997</v>
      </c>
      <c r="AV131">
        <v>342.8759000000004</v>
      </c>
      <c r="AW131">
        <v>5367640</v>
      </c>
      <c r="AX131">
        <v>2125407</v>
      </c>
      <c r="AY131">
        <v>12.5</v>
      </c>
      <c r="AZ131">
        <v>6.5</v>
      </c>
      <c r="BA131"/>
      <c r="BB131">
        <v>104.46773696861726</v>
      </c>
      <c r="BC131">
        <v>85.930264020476585</v>
      </c>
      <c r="BD131">
        <v>147.56741935483871</v>
      </c>
      <c r="BE131">
        <v>1.3907032258064516</v>
      </c>
      <c r="BF131">
        <v>83.449677419354842</v>
      </c>
      <c r="BG131">
        <v>377.49677419354839</v>
      </c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</row>
    <row r="132" spans="1:83">
      <c r="A132" s="3">
        <v>40483</v>
      </c>
      <c r="B132" s="3">
        <v>40483</v>
      </c>
      <c r="C132">
        <v>289.20440316637837</v>
      </c>
      <c r="D132">
        <v>124.55598111351591</v>
      </c>
      <c r="E132">
        <v>157.25804366550901</v>
      </c>
      <c r="F132">
        <v>77.284299335324491</v>
      </c>
      <c r="G132">
        <v>139.23522382217433</v>
      </c>
      <c r="H132">
        <v>6750.5</v>
      </c>
      <c r="I132">
        <v>3440.3999999999978</v>
      </c>
      <c r="J132">
        <v>435.96501103458047</v>
      </c>
      <c r="K132">
        <v>176.73684788295833</v>
      </c>
      <c r="M132">
        <v>143.4655018149042</v>
      </c>
      <c r="O132">
        <v>268.27397480444978</v>
      </c>
      <c r="P132">
        <v>141.57096761261337</v>
      </c>
      <c r="Q132">
        <v>36671.53</v>
      </c>
      <c r="T132">
        <v>116.94579190435104</v>
      </c>
      <c r="U132"/>
      <c r="V132"/>
      <c r="W132"/>
      <c r="X132"/>
      <c r="Y132"/>
      <c r="Z132"/>
      <c r="AA132"/>
      <c r="AB132">
        <v>2976</v>
      </c>
      <c r="AC132">
        <v>27796</v>
      </c>
      <c r="AD132">
        <v>4294.3</v>
      </c>
      <c r="AE132">
        <v>3175</v>
      </c>
      <c r="AF132">
        <v>242.07695386193046</v>
      </c>
      <c r="AG132">
        <v>202.72894090959207</v>
      </c>
      <c r="AH132">
        <v>266.18621562051675</v>
      </c>
      <c r="AI132">
        <v>230.29489619822897</v>
      </c>
      <c r="AJ132">
        <v>191.59745080006752</v>
      </c>
      <c r="AK132">
        <v>2372578</v>
      </c>
      <c r="AL132">
        <v>2970451</v>
      </c>
      <c r="AM132">
        <v>6615320</v>
      </c>
      <c r="AN132">
        <v>8526184</v>
      </c>
      <c r="AO132"/>
      <c r="AP132">
        <v>7</v>
      </c>
      <c r="AQ132"/>
      <c r="AR132"/>
      <c r="AS132"/>
      <c r="AT132"/>
      <c r="AU132">
        <v>465.98649999999998</v>
      </c>
      <c r="AV132">
        <v>422.03159999999963</v>
      </c>
      <c r="AW132">
        <v>5373638</v>
      </c>
      <c r="AX132">
        <v>2120953</v>
      </c>
      <c r="AY132">
        <v>13.2</v>
      </c>
      <c r="AZ132">
        <v>7</v>
      </c>
      <c r="BA132"/>
      <c r="BB132">
        <v>106.18778333926302</v>
      </c>
      <c r="BC132">
        <v>87.035884744958608</v>
      </c>
      <c r="BD132">
        <v>147.53100000000001</v>
      </c>
      <c r="BE132">
        <v>1.3645833333333333</v>
      </c>
      <c r="BF132">
        <v>86.141666666666666</v>
      </c>
      <c r="BG132">
        <v>384.50166666666667</v>
      </c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</row>
    <row r="133" spans="1:83">
      <c r="A133" s="3">
        <v>40513</v>
      </c>
      <c r="B133" s="3">
        <v>40513</v>
      </c>
      <c r="C133">
        <v>288.04758555371279</v>
      </c>
      <c r="D133">
        <v>128.04354858469435</v>
      </c>
      <c r="E133">
        <v>149.08062539490254</v>
      </c>
      <c r="F133">
        <v>86.017425160216149</v>
      </c>
      <c r="G133">
        <v>129.48875815462213</v>
      </c>
      <c r="H133">
        <v>7132.8000000000029</v>
      </c>
      <c r="I133">
        <v>3464</v>
      </c>
      <c r="J133">
        <v>579.39749966495754</v>
      </c>
      <c r="K133">
        <v>331.30820234546314</v>
      </c>
      <c r="M133">
        <v>166.31228578007821</v>
      </c>
      <c r="O133">
        <v>390.60690731527887</v>
      </c>
      <c r="P133">
        <v>153.56161955728655</v>
      </c>
      <c r="Q133">
        <v>37547.550000000003</v>
      </c>
      <c r="T133">
        <v>131.95573863699107</v>
      </c>
      <c r="U133"/>
      <c r="V133"/>
      <c r="W133"/>
      <c r="X133"/>
      <c r="Y133"/>
      <c r="Z133"/>
      <c r="AA133"/>
      <c r="AB133">
        <v>3052</v>
      </c>
      <c r="AC133">
        <v>28275</v>
      </c>
      <c r="AD133">
        <v>6938.8</v>
      </c>
      <c r="AE133">
        <v>3340.2</v>
      </c>
      <c r="AF133">
        <v>243.77149253896397</v>
      </c>
      <c r="AG133">
        <v>203.5398566732305</v>
      </c>
      <c r="AH133">
        <v>269.38045020796301</v>
      </c>
      <c r="AI133">
        <v>230.52519109442719</v>
      </c>
      <c r="AJ133">
        <v>192.55543805406785</v>
      </c>
      <c r="AK133">
        <v>2572217</v>
      </c>
      <c r="AL133">
        <v>3116049</v>
      </c>
      <c r="AM133">
        <v>6570099</v>
      </c>
      <c r="AN133">
        <v>8482828</v>
      </c>
      <c r="AO133"/>
      <c r="AP133">
        <v>7</v>
      </c>
      <c r="AQ133"/>
      <c r="AR133"/>
      <c r="AS133"/>
      <c r="AT133"/>
      <c r="AU133">
        <v>507.95740000000035</v>
      </c>
      <c r="AV133">
        <v>537.24929999999983</v>
      </c>
      <c r="AW133">
        <v>5480301</v>
      </c>
      <c r="AX133">
        <v>2116246</v>
      </c>
      <c r="AY133">
        <v>12.9</v>
      </c>
      <c r="AZ133">
        <v>6.3</v>
      </c>
      <c r="BA133"/>
      <c r="BB133">
        <v>107.68646947950435</v>
      </c>
      <c r="BC133">
        <v>88.087187553695316</v>
      </c>
      <c r="BD133">
        <v>147.42129032258063</v>
      </c>
      <c r="BE133">
        <v>1.3229677419354839</v>
      </c>
      <c r="BF133">
        <v>92.146451612903221</v>
      </c>
      <c r="BG133">
        <v>416.15967741935481</v>
      </c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</row>
    <row r="134" spans="1:83">
      <c r="A134" s="3">
        <v>40544</v>
      </c>
      <c r="B134" s="3">
        <v>40544</v>
      </c>
      <c r="C134">
        <v>247.72092357619303</v>
      </c>
      <c r="D134">
        <v>111.01375662292999</v>
      </c>
      <c r="E134">
        <v>145.35360976002997</v>
      </c>
      <c r="F134">
        <v>102.10268366517657</v>
      </c>
      <c r="G134">
        <v>108.9000456080372</v>
      </c>
      <c r="H134">
        <v>7072.4</v>
      </c>
      <c r="I134">
        <v>3565.7</v>
      </c>
      <c r="J134">
        <v>140.79359241858469</v>
      </c>
      <c r="K134">
        <v>105.21173047042652</v>
      </c>
      <c r="M134">
        <v>124.2098</v>
      </c>
      <c r="O134">
        <v>106.09869418612632</v>
      </c>
      <c r="P134">
        <v>115.98650000000002</v>
      </c>
      <c r="Q134">
        <v>31731.95</v>
      </c>
      <c r="T134">
        <v>114.40267771033695</v>
      </c>
      <c r="U134"/>
      <c r="V134"/>
      <c r="W134"/>
      <c r="X134"/>
      <c r="Y134"/>
      <c r="Z134"/>
      <c r="AA134"/>
      <c r="AB134">
        <v>2953</v>
      </c>
      <c r="AC134">
        <v>31158</v>
      </c>
      <c r="AD134">
        <v>3715.5</v>
      </c>
      <c r="AE134">
        <v>1918.1</v>
      </c>
      <c r="AF134">
        <v>247.91560791212635</v>
      </c>
      <c r="AG134">
        <v>204.55755595659659</v>
      </c>
      <c r="AH134">
        <v>277.46186371420191</v>
      </c>
      <c r="AI134">
        <v>233.29149338756028</v>
      </c>
      <c r="AJ134">
        <v>195.05865874877071</v>
      </c>
      <c r="AK134">
        <v>2641507</v>
      </c>
      <c r="AL134">
        <v>3112623</v>
      </c>
      <c r="AM134">
        <v>6649830</v>
      </c>
      <c r="AN134">
        <v>8608602</v>
      </c>
      <c r="AO134"/>
      <c r="AP134">
        <v>7</v>
      </c>
      <c r="AQ134"/>
      <c r="AR134"/>
      <c r="AS134"/>
      <c r="AT134"/>
      <c r="AU134">
        <v>301.6019</v>
      </c>
      <c r="AV134">
        <v>252.0104</v>
      </c>
      <c r="AW134">
        <v>5459115</v>
      </c>
      <c r="AX134">
        <v>2113814</v>
      </c>
      <c r="AY134">
        <v>12.8</v>
      </c>
      <c r="AZ134">
        <v>6.9</v>
      </c>
      <c r="BA134"/>
      <c r="BB134">
        <v>107.96023562389645</v>
      </c>
      <c r="BC134">
        <v>87.261950079333019</v>
      </c>
      <c r="BD134">
        <v>147.0358064516129</v>
      </c>
      <c r="BE134">
        <v>1.3376677419354839</v>
      </c>
      <c r="BF134">
        <v>96.858387096774194</v>
      </c>
      <c r="BG134">
        <v>435.83870967741933</v>
      </c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</row>
    <row r="135" spans="1:83">
      <c r="A135" s="3">
        <v>40575</v>
      </c>
      <c r="B135" s="3">
        <v>40575</v>
      </c>
      <c r="C135">
        <v>244.50055156970251</v>
      </c>
      <c r="D135">
        <v>104.90800000866884</v>
      </c>
      <c r="E135">
        <v>133.4346137597075</v>
      </c>
      <c r="F135">
        <v>95.057598492279382</v>
      </c>
      <c r="G135">
        <v>107.15764487830862</v>
      </c>
      <c r="H135">
        <v>6355.5</v>
      </c>
      <c r="I135">
        <v>3108.4000000000005</v>
      </c>
      <c r="J135">
        <v>151.9162862196529</v>
      </c>
      <c r="K135">
        <v>101.13467284466564</v>
      </c>
      <c r="M135">
        <v>114.75736020000001</v>
      </c>
      <c r="O135">
        <v>123.55869406158817</v>
      </c>
      <c r="P135">
        <v>107.47166080000001</v>
      </c>
      <c r="Q135">
        <v>29899.35</v>
      </c>
      <c r="T135">
        <v>113.67312101640157</v>
      </c>
      <c r="U135"/>
      <c r="V135"/>
      <c r="W135"/>
      <c r="X135"/>
      <c r="Y135"/>
      <c r="Z135"/>
      <c r="AA135"/>
      <c r="AB135">
        <v>3122</v>
      </c>
      <c r="AC135">
        <v>33449</v>
      </c>
      <c r="AD135">
        <v>6479</v>
      </c>
      <c r="AE135">
        <v>2136.5</v>
      </c>
      <c r="AF135">
        <v>251.63434203080826</v>
      </c>
      <c r="AG135">
        <v>204.96667106850981</v>
      </c>
      <c r="AH135">
        <v>283.01110098848591</v>
      </c>
      <c r="AI135">
        <v>238.42390624208662</v>
      </c>
      <c r="AJ135">
        <v>197.78947997125351</v>
      </c>
      <c r="AK135">
        <v>2630137</v>
      </c>
      <c r="AL135">
        <v>3137096</v>
      </c>
      <c r="AM135">
        <v>6802837</v>
      </c>
      <c r="AN135">
        <v>8605665</v>
      </c>
      <c r="AO135"/>
      <c r="AP135">
        <v>7</v>
      </c>
      <c r="AQ135"/>
      <c r="AR135"/>
      <c r="AS135"/>
      <c r="AT135"/>
      <c r="AU135">
        <v>416.92479999999995</v>
      </c>
      <c r="AV135">
        <v>384.90219999999994</v>
      </c>
      <c r="AW135">
        <v>5495588</v>
      </c>
      <c r="AX135">
        <v>2108685</v>
      </c>
      <c r="AY135">
        <v>13</v>
      </c>
      <c r="AZ135">
        <v>7</v>
      </c>
      <c r="BA135"/>
      <c r="BB135">
        <v>107.72466938990422</v>
      </c>
      <c r="BC135">
        <v>86.369551126595638</v>
      </c>
      <c r="BD135">
        <v>146.37928571428571</v>
      </c>
      <c r="BE135">
        <v>1.3657178571428572</v>
      </c>
      <c r="BF135">
        <v>104.01714285714286</v>
      </c>
      <c r="BG135">
        <v>449.92857142857144</v>
      </c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</row>
    <row r="136" spans="1:83">
      <c r="A136" s="3">
        <v>40603</v>
      </c>
      <c r="B136" s="3">
        <v>40603</v>
      </c>
      <c r="C136">
        <v>278.97512934103059</v>
      </c>
      <c r="D136">
        <v>118.12640800976111</v>
      </c>
      <c r="E136">
        <v>150.51424432095007</v>
      </c>
      <c r="F136">
        <v>97.624153651570921</v>
      </c>
      <c r="G136">
        <v>117.23046349686963</v>
      </c>
      <c r="H136">
        <v>7007.6</v>
      </c>
      <c r="I136">
        <v>3510.6999999999989</v>
      </c>
      <c r="J136">
        <v>221.03819644959498</v>
      </c>
      <c r="K136">
        <v>122.15372823550648</v>
      </c>
      <c r="M136">
        <v>124.44684813600001</v>
      </c>
      <c r="O136">
        <v>155.2461158257812</v>
      </c>
      <c r="P136">
        <v>116.36024108800001</v>
      </c>
      <c r="Q136">
        <v>31087.72</v>
      </c>
      <c r="T136">
        <v>120.21467771397562</v>
      </c>
      <c r="U136"/>
      <c r="V136"/>
      <c r="W136"/>
      <c r="X136"/>
      <c r="Y136"/>
      <c r="Z136"/>
      <c r="AA136"/>
      <c r="AB136">
        <v>3097</v>
      </c>
      <c r="AC136">
        <v>35189</v>
      </c>
      <c r="AD136">
        <v>6231.4</v>
      </c>
      <c r="AE136">
        <v>2436.1999999999998</v>
      </c>
      <c r="AF136">
        <v>252.8925137409623</v>
      </c>
      <c r="AG136">
        <v>205.37660441064682</v>
      </c>
      <c r="AH136">
        <v>285.55820089738233</v>
      </c>
      <c r="AI136">
        <v>238.90075405457077</v>
      </c>
      <c r="AJ136">
        <v>198.77842737110976</v>
      </c>
      <c r="AK136">
        <v>2810231</v>
      </c>
      <c r="AL136">
        <v>3440728</v>
      </c>
      <c r="AM136">
        <v>7167153</v>
      </c>
      <c r="AN136">
        <v>8923852</v>
      </c>
      <c r="AO136"/>
      <c r="AP136">
        <v>7.5</v>
      </c>
      <c r="AQ136"/>
      <c r="AR136"/>
      <c r="AS136"/>
      <c r="AT136"/>
      <c r="AU136">
        <v>356.95960000000008</v>
      </c>
      <c r="AV136">
        <v>400.40430000000003</v>
      </c>
      <c r="AW136">
        <v>5553909</v>
      </c>
      <c r="AX136">
        <v>2112038</v>
      </c>
      <c r="AY136">
        <v>12.2</v>
      </c>
      <c r="AZ136">
        <v>6.4</v>
      </c>
      <c r="BA136"/>
      <c r="BB136">
        <v>105.78494562704728</v>
      </c>
      <c r="BC136">
        <v>85.163542442592913</v>
      </c>
      <c r="BD136">
        <v>145.72419354838709</v>
      </c>
      <c r="BE136">
        <v>1.4024354838709678</v>
      </c>
      <c r="BF136">
        <v>114.71322580645162</v>
      </c>
      <c r="BG136">
        <v>432.82258064516128</v>
      </c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</row>
    <row r="137" spans="1:83">
      <c r="A137" s="3">
        <v>40634</v>
      </c>
      <c r="B137" s="3">
        <v>40634</v>
      </c>
      <c r="C137">
        <v>278.13820395300746</v>
      </c>
      <c r="D137">
        <v>112.10196120126329</v>
      </c>
      <c r="E137">
        <v>161.80281264502133</v>
      </c>
      <c r="F137">
        <v>81.125671684455426</v>
      </c>
      <c r="G137">
        <v>134.11165024041887</v>
      </c>
      <c r="H137">
        <v>6634.5</v>
      </c>
      <c r="I137">
        <v>3277.4000000000015</v>
      </c>
      <c r="J137">
        <v>284.25512063417909</v>
      </c>
      <c r="K137">
        <v>127.59606000828761</v>
      </c>
      <c r="M137">
        <v>124.14094597632</v>
      </c>
      <c r="O137">
        <v>176.55264214160442</v>
      </c>
      <c r="P137">
        <v>118.6250464117376</v>
      </c>
      <c r="Q137">
        <v>32223.65</v>
      </c>
      <c r="T137">
        <v>118.41605160046538</v>
      </c>
      <c r="U137"/>
      <c r="V137"/>
      <c r="W137"/>
      <c r="X137"/>
      <c r="Y137"/>
      <c r="Z137"/>
      <c r="AA137"/>
      <c r="AB137">
        <v>3314</v>
      </c>
      <c r="AC137">
        <v>36985</v>
      </c>
      <c r="AD137">
        <v>8435.4</v>
      </c>
      <c r="AE137">
        <v>3024.4</v>
      </c>
      <c r="AF137">
        <v>254.15697630966713</v>
      </c>
      <c r="AG137">
        <v>205.78735761946817</v>
      </c>
      <c r="AH137">
        <v>288.41378290635612</v>
      </c>
      <c r="AI137">
        <v>238.90075405457077</v>
      </c>
      <c r="AJ137">
        <v>199.77231950796528</v>
      </c>
      <c r="AK137">
        <v>2906459</v>
      </c>
      <c r="AL137">
        <v>3489824</v>
      </c>
      <c r="AM137">
        <v>7252484</v>
      </c>
      <c r="AN137">
        <v>9016130</v>
      </c>
      <c r="AO137"/>
      <c r="AP137">
        <v>7.5</v>
      </c>
      <c r="AQ137"/>
      <c r="AR137"/>
      <c r="AS137"/>
      <c r="AT137"/>
      <c r="AU137">
        <v>535.51959999999985</v>
      </c>
      <c r="AV137">
        <v>411.81420000000008</v>
      </c>
      <c r="AW137">
        <v>5625095</v>
      </c>
      <c r="AX137">
        <v>2130171</v>
      </c>
      <c r="AY137">
        <v>12.2</v>
      </c>
      <c r="AZ137">
        <v>6.1</v>
      </c>
      <c r="BA137"/>
      <c r="BB137">
        <v>103.97415547442199</v>
      </c>
      <c r="BC137">
        <v>83.739380505009379</v>
      </c>
      <c r="BD137">
        <v>145.49633333333333</v>
      </c>
      <c r="BE137">
        <v>1.4471833333333333</v>
      </c>
      <c r="BF137">
        <v>123.24233333333333</v>
      </c>
      <c r="BG137">
        <v>431.91166666666669</v>
      </c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</row>
    <row r="138" spans="1:83">
      <c r="A138" s="3">
        <v>40664</v>
      </c>
      <c r="B138" s="3">
        <v>40664</v>
      </c>
      <c r="C138">
        <v>276.74751293324243</v>
      </c>
      <c r="D138">
        <v>111.31724747285445</v>
      </c>
      <c r="E138">
        <v>166.33329139908193</v>
      </c>
      <c r="F138">
        <v>62.629018540399592</v>
      </c>
      <c r="G138">
        <v>101.25429593151624</v>
      </c>
      <c r="H138">
        <v>6559.3000000000029</v>
      </c>
      <c r="I138">
        <v>3196.8999999999978</v>
      </c>
      <c r="J138">
        <v>382.60739237360502</v>
      </c>
      <c r="K138">
        <v>151.79007747999597</v>
      </c>
      <c r="M138">
        <v>130.7146993890716</v>
      </c>
      <c r="O138">
        <v>202.77332977937789</v>
      </c>
      <c r="P138">
        <v>123.07143153250486</v>
      </c>
      <c r="Q138">
        <v>34039.64</v>
      </c>
      <c r="T138">
        <v>118.32490801526377</v>
      </c>
      <c r="U138"/>
      <c r="V138"/>
      <c r="W138"/>
      <c r="X138"/>
      <c r="Y138"/>
      <c r="Z138"/>
      <c r="AA138"/>
      <c r="AB138">
        <v>3327</v>
      </c>
      <c r="AC138">
        <v>36006</v>
      </c>
      <c r="AD138">
        <v>7145.2</v>
      </c>
      <c r="AE138">
        <v>3648.9</v>
      </c>
      <c r="AF138">
        <v>255.42776119121547</v>
      </c>
      <c r="AG138">
        <v>207.02208176518496</v>
      </c>
      <c r="AH138">
        <v>290.14426560379422</v>
      </c>
      <c r="AI138">
        <v>239.61745631673449</v>
      </c>
      <c r="AJ138">
        <v>200.57140878599714</v>
      </c>
      <c r="AK138">
        <v>2842547</v>
      </c>
      <c r="AL138">
        <v>3519077</v>
      </c>
      <c r="AM138">
        <v>7209417</v>
      </c>
      <c r="AN138">
        <v>8968234</v>
      </c>
      <c r="AO138"/>
      <c r="AP138">
        <v>7.5</v>
      </c>
      <c r="AQ138"/>
      <c r="AR138"/>
      <c r="AS138"/>
      <c r="AT138"/>
      <c r="AU138">
        <v>455.48649999999998</v>
      </c>
      <c r="AV138">
        <v>425.99729999999983</v>
      </c>
      <c r="AW138">
        <v>5655717</v>
      </c>
      <c r="AX138">
        <v>2155489</v>
      </c>
      <c r="AY138">
        <v>12.5</v>
      </c>
      <c r="AZ138">
        <v>6.9</v>
      </c>
      <c r="BA138"/>
      <c r="BB138">
        <v>104.03412777506007</v>
      </c>
      <c r="BC138">
        <v>83.698921873590848</v>
      </c>
      <c r="BD138">
        <v>145.59774193548387</v>
      </c>
      <c r="BE138">
        <v>1.4316</v>
      </c>
      <c r="BF138">
        <v>114.39129032258064</v>
      </c>
      <c r="BG138">
        <v>406.50322580645161</v>
      </c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</row>
    <row r="139" spans="1:83">
      <c r="A139" s="3">
        <v>40695</v>
      </c>
      <c r="B139" s="3">
        <v>40695</v>
      </c>
      <c r="C139">
        <v>284.21969578244</v>
      </c>
      <c r="D139">
        <v>115.54730287682291</v>
      </c>
      <c r="E139">
        <v>172.98662305504521</v>
      </c>
      <c r="F139">
        <v>60.499631910026004</v>
      </c>
      <c r="G139">
        <v>106.11450213622902</v>
      </c>
      <c r="H139">
        <v>6695.2999999999956</v>
      </c>
      <c r="I139">
        <v>3280.7000000000007</v>
      </c>
      <c r="J139">
        <v>456.45061910171074</v>
      </c>
      <c r="K139">
        <v>210.6286324145766</v>
      </c>
      <c r="M139">
        <v>133.93042443366832</v>
      </c>
      <c r="O139">
        <v>266.02117766613401</v>
      </c>
      <c r="P139">
        <v>132.82302206725555</v>
      </c>
      <c r="Q139">
        <v>35206.300000000003</v>
      </c>
      <c r="T139">
        <v>121.39852009469706</v>
      </c>
      <c r="U139"/>
      <c r="V139"/>
      <c r="W139"/>
      <c r="X139"/>
      <c r="Y139"/>
      <c r="Z139"/>
      <c r="AA139"/>
      <c r="AB139">
        <v>3415</v>
      </c>
      <c r="AC139">
        <v>34615</v>
      </c>
      <c r="AD139">
        <v>9788.5</v>
      </c>
      <c r="AE139">
        <v>3016.6</v>
      </c>
      <c r="AF139">
        <v>256.19404447478911</v>
      </c>
      <c r="AG139">
        <v>208.47123633754126</v>
      </c>
      <c r="AH139">
        <v>290.72455413500177</v>
      </c>
      <c r="AI139">
        <v>240.09669122936796</v>
      </c>
      <c r="AJ139">
        <v>201.17312301235509</v>
      </c>
      <c r="AK139">
        <v>2888094</v>
      </c>
      <c r="AL139">
        <v>3684065</v>
      </c>
      <c r="AM139">
        <v>7568969</v>
      </c>
      <c r="AN139">
        <v>9360212</v>
      </c>
      <c r="AO139"/>
      <c r="AP139">
        <v>7.5</v>
      </c>
      <c r="AQ139"/>
      <c r="AR139"/>
      <c r="AS139"/>
      <c r="AT139"/>
      <c r="AU139">
        <v>540.22910000000013</v>
      </c>
      <c r="AV139">
        <v>480.23349999999999</v>
      </c>
      <c r="AW139">
        <v>5720374</v>
      </c>
      <c r="AX139">
        <v>2212314</v>
      </c>
      <c r="AY139">
        <v>11.9</v>
      </c>
      <c r="AZ139">
        <v>5.5</v>
      </c>
      <c r="BA139"/>
      <c r="BB139">
        <v>104.17395874084838</v>
      </c>
      <c r="BC139">
        <v>83.646031793400226</v>
      </c>
      <c r="BD139">
        <v>145.82366666666667</v>
      </c>
      <c r="BE139">
        <v>1.43923</v>
      </c>
      <c r="BF139">
        <v>113.72466666666666</v>
      </c>
      <c r="BG139">
        <v>410.71499999999997</v>
      </c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</row>
    <row r="140" spans="1:83">
      <c r="A140" s="3">
        <v>40725</v>
      </c>
      <c r="B140" s="3">
        <v>40725</v>
      </c>
      <c r="C140">
        <v>271.71402916801259</v>
      </c>
      <c r="D140">
        <v>110.11657964161222</v>
      </c>
      <c r="E140">
        <v>156.37990724176089</v>
      </c>
      <c r="F140">
        <v>61.225627492946316</v>
      </c>
      <c r="G140">
        <v>108.55513568536229</v>
      </c>
      <c r="H140">
        <v>6260.2000000000044</v>
      </c>
      <c r="I140">
        <v>3213.4000000000015</v>
      </c>
      <c r="J140">
        <v>472.42639077027059</v>
      </c>
      <c r="K140">
        <v>179.2646248499087</v>
      </c>
      <c r="M140">
        <v>135.58704590165109</v>
      </c>
      <c r="O140">
        <v>264.8095745857953</v>
      </c>
      <c r="P140">
        <v>130.2280705545376</v>
      </c>
      <c r="Q140">
        <v>37367.03</v>
      </c>
      <c r="T140">
        <v>127.87799049986005</v>
      </c>
      <c r="U140"/>
      <c r="V140"/>
      <c r="W140"/>
      <c r="X140"/>
      <c r="Y140"/>
      <c r="Z140"/>
      <c r="AA140"/>
      <c r="AB140">
        <v>3493</v>
      </c>
      <c r="AC140">
        <v>36984</v>
      </c>
      <c r="AD140">
        <v>4902.3999999999996</v>
      </c>
      <c r="AE140">
        <v>2870.2</v>
      </c>
      <c r="AF140">
        <v>257.47501469716303</v>
      </c>
      <c r="AG140">
        <v>209.72206375556652</v>
      </c>
      <c r="AH140">
        <v>291.30600324327179</v>
      </c>
      <c r="AI140">
        <v>241.77736806797353</v>
      </c>
      <c r="AJ140">
        <v>202.38016175042921</v>
      </c>
      <c r="AK140">
        <v>3195563</v>
      </c>
      <c r="AL140">
        <v>3866985</v>
      </c>
      <c r="AM140">
        <v>8014382</v>
      </c>
      <c r="AN140">
        <v>9741556</v>
      </c>
      <c r="AO140"/>
      <c r="AP140">
        <v>7.5</v>
      </c>
      <c r="AQ140"/>
      <c r="AR140"/>
      <c r="AS140"/>
      <c r="AT140"/>
      <c r="AU140">
        <v>450.77039999999988</v>
      </c>
      <c r="AV140">
        <v>435.16510000000011</v>
      </c>
      <c r="AW140">
        <v>5950635</v>
      </c>
      <c r="AX140">
        <v>2233657</v>
      </c>
      <c r="AY140">
        <v>12</v>
      </c>
      <c r="AZ140">
        <v>6</v>
      </c>
      <c r="BA140"/>
      <c r="BB140">
        <v>104.95406683000306</v>
      </c>
      <c r="BC140">
        <v>83.615110363948247</v>
      </c>
      <c r="BD140">
        <v>145.96645161290323</v>
      </c>
      <c r="BE140">
        <v>1.4309129032258063</v>
      </c>
      <c r="BF140">
        <v>116.69</v>
      </c>
      <c r="BG140">
        <v>439.65967741935481</v>
      </c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</row>
    <row r="141" spans="1:83">
      <c r="A141" s="3">
        <v>40756</v>
      </c>
      <c r="B141" s="3">
        <v>40756</v>
      </c>
      <c r="C141">
        <v>295.62486373479777</v>
      </c>
      <c r="D141">
        <v>121.5687039243399</v>
      </c>
      <c r="E141">
        <v>171.86151805869522</v>
      </c>
      <c r="F141">
        <v>59.327633040664985</v>
      </c>
      <c r="G141">
        <v>143.2927791046782</v>
      </c>
      <c r="H141">
        <v>6739.6999999999971</v>
      </c>
      <c r="I141">
        <v>3181.5999999999985</v>
      </c>
      <c r="J141">
        <v>445.49808649636515</v>
      </c>
      <c r="K141">
        <v>336.97237988307597</v>
      </c>
      <c r="M141">
        <v>142.55679190002505</v>
      </c>
      <c r="O141">
        <v>245.54565832678597</v>
      </c>
      <c r="P141">
        <v>140.54351290932334</v>
      </c>
      <c r="Q141">
        <v>39424.42</v>
      </c>
      <c r="T141">
        <v>129.27934214375347</v>
      </c>
      <c r="U141"/>
      <c r="V141"/>
      <c r="W141"/>
      <c r="X141"/>
      <c r="Y141"/>
      <c r="Z141"/>
      <c r="AA141"/>
      <c r="AB141">
        <v>3953</v>
      </c>
      <c r="AC141">
        <v>36015</v>
      </c>
      <c r="AD141">
        <v>8635.5</v>
      </c>
      <c r="AE141">
        <v>3351.3</v>
      </c>
      <c r="AF141">
        <v>258.24743974125454</v>
      </c>
      <c r="AG141">
        <v>210.77067407434433</v>
      </c>
      <c r="AH141">
        <v>291.01469724002857</v>
      </c>
      <c r="AI141">
        <v>242.98625490831341</v>
      </c>
      <c r="AJ141">
        <v>203.39206255918134</v>
      </c>
      <c r="AK141">
        <v>2885672</v>
      </c>
      <c r="AL141">
        <v>3673637</v>
      </c>
      <c r="AM141">
        <v>7769597</v>
      </c>
      <c r="AN141">
        <v>9514333</v>
      </c>
      <c r="AO141"/>
      <c r="AP141">
        <v>7.5</v>
      </c>
      <c r="AQ141"/>
      <c r="AR141"/>
      <c r="AS141"/>
      <c r="AT141"/>
      <c r="AU141">
        <v>452.4272000000002</v>
      </c>
      <c r="AV141">
        <v>437.95</v>
      </c>
      <c r="AW141">
        <v>6055998</v>
      </c>
      <c r="AX141">
        <v>2225131</v>
      </c>
      <c r="AY141">
        <v>11.8</v>
      </c>
      <c r="AZ141">
        <v>6</v>
      </c>
      <c r="BA141"/>
      <c r="BB141">
        <v>104.82011136220406</v>
      </c>
      <c r="BC141">
        <v>83.401331613142105</v>
      </c>
      <c r="BD141">
        <v>146.64161290322582</v>
      </c>
      <c r="BE141">
        <v>1.4343387096774194</v>
      </c>
      <c r="BF141">
        <v>109.77612903225807</v>
      </c>
      <c r="BG141">
        <v>407.35806451612905</v>
      </c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</row>
    <row r="142" spans="1:83">
      <c r="A142" s="3">
        <v>40787</v>
      </c>
      <c r="B142" s="3">
        <v>40787</v>
      </c>
      <c r="C142">
        <v>271.67924977227915</v>
      </c>
      <c r="D142">
        <v>105.64320371025138</v>
      </c>
      <c r="E142">
        <v>173.40827172122351</v>
      </c>
      <c r="F142">
        <v>60.158219903234297</v>
      </c>
      <c r="G142">
        <v>138.27753183601445</v>
      </c>
      <c r="H142">
        <v>6444.4000000000015</v>
      </c>
      <c r="I142">
        <v>2938.7999999999993</v>
      </c>
      <c r="J142">
        <v>475.79195637811796</v>
      </c>
      <c r="K142">
        <v>1584.4131410639466</v>
      </c>
      <c r="M142">
        <v>140.3109660223449</v>
      </c>
      <c r="O142">
        <v>268.83587529163657</v>
      </c>
      <c r="P142">
        <v>172.34405182194871</v>
      </c>
      <c r="Q142">
        <v>40634.47</v>
      </c>
      <c r="T142">
        <v>127.48827752986853</v>
      </c>
      <c r="U142"/>
      <c r="V142"/>
      <c r="W142"/>
      <c r="X142"/>
      <c r="Y142"/>
      <c r="Z142"/>
      <c r="AA142"/>
      <c r="AB142">
        <v>3689</v>
      </c>
      <c r="AC142">
        <v>32489</v>
      </c>
      <c r="AD142">
        <v>8363.5</v>
      </c>
      <c r="AE142">
        <v>3287</v>
      </c>
      <c r="AF142">
        <v>259.02218206047831</v>
      </c>
      <c r="AG142">
        <v>211.61375677064171</v>
      </c>
      <c r="AH142">
        <v>290.43266784554845</v>
      </c>
      <c r="AI142">
        <v>245.41611745739652</v>
      </c>
      <c r="AJ142">
        <v>204.61241493453642</v>
      </c>
      <c r="AK142">
        <v>2883088</v>
      </c>
      <c r="AL142">
        <v>3704025</v>
      </c>
      <c r="AM142">
        <v>8006900</v>
      </c>
      <c r="AN142">
        <v>9820950</v>
      </c>
      <c r="AO142"/>
      <c r="AP142">
        <v>7.5</v>
      </c>
      <c r="AQ142"/>
      <c r="AR142"/>
      <c r="AS142"/>
      <c r="AT142"/>
      <c r="AU142">
        <v>468.30629999999979</v>
      </c>
      <c r="AV142">
        <v>476.74989999999991</v>
      </c>
      <c r="AW142">
        <v>6157911</v>
      </c>
      <c r="AX142">
        <v>2262868</v>
      </c>
      <c r="AY142">
        <v>11.3</v>
      </c>
      <c r="AZ142">
        <v>6.1</v>
      </c>
      <c r="BA142"/>
      <c r="BB142">
        <v>108.12337313054923</v>
      </c>
      <c r="BC142">
        <v>86.274645514738452</v>
      </c>
      <c r="BD142">
        <v>147.30933333333334</v>
      </c>
      <c r="BE142">
        <v>1.37622</v>
      </c>
      <c r="BF142">
        <v>110.01633333333334</v>
      </c>
      <c r="BG142">
        <v>377.29666666666668</v>
      </c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</row>
    <row r="143" spans="1:83">
      <c r="A143" s="3">
        <v>40817</v>
      </c>
      <c r="B143" s="3">
        <v>40817</v>
      </c>
      <c r="C143">
        <v>296.40206150155655</v>
      </c>
      <c r="D143">
        <v>122.54611630389161</v>
      </c>
      <c r="E143">
        <v>170.46033110196268</v>
      </c>
      <c r="F143">
        <v>69.783535087751787</v>
      </c>
      <c r="G143">
        <v>146.15935115066728</v>
      </c>
      <c r="H143">
        <v>6786.9999999999927</v>
      </c>
      <c r="I143">
        <v>3196.2000000000007</v>
      </c>
      <c r="J143">
        <v>383.96410879714125</v>
      </c>
      <c r="K143">
        <v>1060.761574665303</v>
      </c>
      <c r="M143">
        <v>145.65694790425243</v>
      </c>
      <c r="O143">
        <v>257.2305682110939</v>
      </c>
      <c r="P143">
        <v>169.27425518521241</v>
      </c>
      <c r="Q143">
        <v>43292.17</v>
      </c>
      <c r="T143">
        <v>130.35311835095922</v>
      </c>
      <c r="U143"/>
      <c r="V143"/>
      <c r="W143"/>
      <c r="X143"/>
      <c r="Y143"/>
      <c r="Z143"/>
      <c r="AA143"/>
      <c r="AB143">
        <v>4065</v>
      </c>
      <c r="AC143">
        <v>32632</v>
      </c>
      <c r="AD143">
        <v>5486.9</v>
      </c>
      <c r="AE143">
        <v>3409.5</v>
      </c>
      <c r="AF143">
        <v>259.54022642459927</v>
      </c>
      <c r="AG143">
        <v>212.4602117977243</v>
      </c>
      <c r="AH143">
        <v>290.723100513394</v>
      </c>
      <c r="AI143">
        <v>246.15236580976872</v>
      </c>
      <c r="AJ143">
        <v>205.43086459427457</v>
      </c>
      <c r="AK143">
        <v>3063973</v>
      </c>
      <c r="AL143">
        <v>3627006</v>
      </c>
      <c r="AM143">
        <v>7909954</v>
      </c>
      <c r="AN143">
        <v>9818461</v>
      </c>
      <c r="AO143"/>
      <c r="AP143">
        <v>7.5</v>
      </c>
      <c r="AQ143"/>
      <c r="AR143"/>
      <c r="AS143"/>
      <c r="AT143"/>
      <c r="AU143">
        <v>337.55460000000011</v>
      </c>
      <c r="AV143">
        <v>441.40699999999998</v>
      </c>
      <c r="AW143">
        <v>6155915</v>
      </c>
      <c r="AX143">
        <v>2288475</v>
      </c>
      <c r="AY143">
        <v>11.2</v>
      </c>
      <c r="AZ143">
        <v>6</v>
      </c>
      <c r="BA143"/>
      <c r="BB143">
        <v>108.49748921006865</v>
      </c>
      <c r="BC143">
        <v>86.78554080321193</v>
      </c>
      <c r="BD143">
        <v>147.99096774193549</v>
      </c>
      <c r="BE143">
        <v>1.3731032258064517</v>
      </c>
      <c r="BF143">
        <v>108.71290322580646</v>
      </c>
      <c r="BG143">
        <v>334.9661290322581</v>
      </c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</row>
    <row r="144" spans="1:83">
      <c r="A144" s="3">
        <v>40848</v>
      </c>
      <c r="B144" s="3">
        <v>40848</v>
      </c>
      <c r="C144">
        <v>294.6236491325472</v>
      </c>
      <c r="D144">
        <v>123.15884688541105</v>
      </c>
      <c r="E144">
        <v>164.66467984449594</v>
      </c>
      <c r="F144">
        <v>86.392016438636716</v>
      </c>
      <c r="G144">
        <v>157.26746183811798</v>
      </c>
      <c r="H144">
        <v>6784.5</v>
      </c>
      <c r="I144">
        <v>3440.3999999999978</v>
      </c>
      <c r="J144">
        <v>458.83711001258382</v>
      </c>
      <c r="K144">
        <v>255.14271908787541</v>
      </c>
      <c r="M144">
        <v>159.39017251635858</v>
      </c>
      <c r="O144">
        <v>279.27320777143223</v>
      </c>
      <c r="P144">
        <v>154.87863856819905</v>
      </c>
      <c r="Q144">
        <v>44296.08</v>
      </c>
      <c r="T144">
        <v>129.97083550989944</v>
      </c>
      <c r="U144"/>
      <c r="V144"/>
      <c r="W144"/>
      <c r="X144"/>
      <c r="Y144"/>
      <c r="Z144"/>
      <c r="AA144"/>
      <c r="AB144">
        <v>4032</v>
      </c>
      <c r="AC144">
        <v>32178</v>
      </c>
      <c r="AD144">
        <v>7644.4</v>
      </c>
      <c r="AE144">
        <v>3900.8</v>
      </c>
      <c r="AF144">
        <v>261.09746778314684</v>
      </c>
      <c r="AG144">
        <v>213.3100526449152</v>
      </c>
      <c r="AH144">
        <v>293.04888531750117</v>
      </c>
      <c r="AI144">
        <v>247.13697527300781</v>
      </c>
      <c r="AJ144">
        <v>206.66344978184023</v>
      </c>
      <c r="AK144">
        <v>2964336</v>
      </c>
      <c r="AL144">
        <v>3537250</v>
      </c>
      <c r="AM144">
        <v>7754881</v>
      </c>
      <c r="AN144">
        <v>9607044</v>
      </c>
      <c r="AO144"/>
      <c r="AP144">
        <v>7.5</v>
      </c>
      <c r="AQ144"/>
      <c r="AR144"/>
      <c r="AS144"/>
      <c r="AT144"/>
      <c r="AU144">
        <v>615.61620000000016</v>
      </c>
      <c r="AV144">
        <v>514.58750000000043</v>
      </c>
      <c r="AW144">
        <v>6255760</v>
      </c>
      <c r="AX144">
        <v>2314315</v>
      </c>
      <c r="AY144">
        <v>11.3</v>
      </c>
      <c r="AZ144">
        <v>6.2</v>
      </c>
      <c r="BA144"/>
      <c r="BB144">
        <v>109.53960115433385</v>
      </c>
      <c r="BC144">
        <v>87.253002575554234</v>
      </c>
      <c r="BD144">
        <v>147.87100000000001</v>
      </c>
      <c r="BE144">
        <v>1.3560266666666667</v>
      </c>
      <c r="BF144">
        <v>110.36633333333333</v>
      </c>
      <c r="BG144">
        <v>343.35166666666669</v>
      </c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</row>
    <row r="145" spans="1:83">
      <c r="A145" s="3">
        <v>40878</v>
      </c>
      <c r="B145" s="3">
        <v>40878</v>
      </c>
      <c r="C145">
        <v>289.02579979902879</v>
      </c>
      <c r="D145">
        <v>125.8683415168901</v>
      </c>
      <c r="E145">
        <v>150.00952333833578</v>
      </c>
      <c r="F145">
        <v>93.130593720850371</v>
      </c>
      <c r="G145">
        <v>154.90844991054621</v>
      </c>
      <c r="H145">
        <v>6698.7000000000116</v>
      </c>
      <c r="I145">
        <v>3464</v>
      </c>
      <c r="J145">
        <v>594.19405746629604</v>
      </c>
      <c r="K145">
        <v>330.77015589049194</v>
      </c>
      <c r="M145">
        <v>194.41906207691144</v>
      </c>
      <c r="O145">
        <v>426.93334969559982</v>
      </c>
      <c r="P145">
        <v>160.62545405692171</v>
      </c>
      <c r="Q145">
        <v>45157.51</v>
      </c>
      <c r="T145">
        <v>150.36597253562348</v>
      </c>
      <c r="U145"/>
      <c r="V145"/>
      <c r="W145"/>
      <c r="X145"/>
      <c r="Y145"/>
      <c r="Z145"/>
      <c r="AA145"/>
      <c r="AB145">
        <v>4151</v>
      </c>
      <c r="AC145">
        <v>29328</v>
      </c>
      <c r="AD145">
        <v>7508.2</v>
      </c>
      <c r="AE145">
        <v>3906.3</v>
      </c>
      <c r="AF145">
        <v>261.88076018649627</v>
      </c>
      <c r="AG145">
        <v>214.16329285549486</v>
      </c>
      <c r="AH145">
        <v>293.9280319734537</v>
      </c>
      <c r="AI145">
        <v>247.63124922355382</v>
      </c>
      <c r="AJ145">
        <v>207.28344013118573</v>
      </c>
      <c r="AK145">
        <v>2837356</v>
      </c>
      <c r="AL145">
        <v>3844996</v>
      </c>
      <c r="AM145">
        <v>7967502</v>
      </c>
      <c r="AN145">
        <v>9752236</v>
      </c>
      <c r="AO145"/>
      <c r="AP145">
        <v>7.5</v>
      </c>
      <c r="AQ145"/>
      <c r="AR145"/>
      <c r="AS145"/>
      <c r="AT145"/>
      <c r="AU145">
        <v>439.42980133987965</v>
      </c>
      <c r="AV145">
        <v>762.03370093427975</v>
      </c>
      <c r="AW145">
        <v>6434929</v>
      </c>
      <c r="AX145">
        <v>2346440</v>
      </c>
      <c r="AY145">
        <v>10.8</v>
      </c>
      <c r="AZ145">
        <v>6.4</v>
      </c>
      <c r="BA145"/>
      <c r="BB145">
        <v>111.43661731423589</v>
      </c>
      <c r="BC145">
        <v>88.755890258263875</v>
      </c>
      <c r="BD145">
        <v>148.01645161290321</v>
      </c>
      <c r="BE145">
        <v>1.3160451612903226</v>
      </c>
      <c r="BF145">
        <v>107.65354838709678</v>
      </c>
      <c r="BG145">
        <v>344.50322580645161</v>
      </c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</row>
    <row r="146" spans="1:83">
      <c r="A146" s="3">
        <v>40909</v>
      </c>
      <c r="B146" s="3">
        <v>40909</v>
      </c>
      <c r="C146">
        <v>252.42762112414064</v>
      </c>
      <c r="D146">
        <v>110.89000887638016</v>
      </c>
      <c r="E146">
        <v>152.5596852350875</v>
      </c>
      <c r="F146">
        <v>109.70783940316174</v>
      </c>
      <c r="G146">
        <v>88.297816449011336</v>
      </c>
      <c r="H146">
        <v>6873.4</v>
      </c>
      <c r="I146">
        <v>3573.1</v>
      </c>
      <c r="J146">
        <v>129.53430452765255</v>
      </c>
      <c r="K146">
        <v>100.98828524637408</v>
      </c>
      <c r="M146">
        <v>138.49392700000001</v>
      </c>
      <c r="O146">
        <v>102.59743727798416</v>
      </c>
      <c r="P146">
        <v>120.39398700000001</v>
      </c>
      <c r="Q146">
        <v>37878.5</v>
      </c>
      <c r="T146">
        <v>127.02823382313846</v>
      </c>
      <c r="U146"/>
      <c r="V146"/>
      <c r="W146"/>
      <c r="X146"/>
      <c r="Y146"/>
      <c r="Z146"/>
      <c r="AA146"/>
      <c r="AB146">
        <v>5008</v>
      </c>
      <c r="AC146">
        <v>33691</v>
      </c>
      <c r="AD146">
        <v>7867</v>
      </c>
      <c r="AE146">
        <v>2860.6</v>
      </c>
      <c r="AF146">
        <v>262.66640246705572</v>
      </c>
      <c r="AG146">
        <v>214.80578273406135</v>
      </c>
      <c r="AH146">
        <v>295.39767213332095</v>
      </c>
      <c r="AI146">
        <v>247.87888047277735</v>
      </c>
      <c r="AJ146">
        <v>207.90529045157928</v>
      </c>
      <c r="AK146">
        <v>3384140</v>
      </c>
      <c r="AL146">
        <v>3614004</v>
      </c>
      <c r="AM146">
        <v>7783105</v>
      </c>
      <c r="AN146">
        <v>9622127</v>
      </c>
      <c r="AO146"/>
      <c r="AP146">
        <v>7.5</v>
      </c>
      <c r="AQ146"/>
      <c r="AR146"/>
      <c r="AS146"/>
      <c r="AT146"/>
      <c r="AU146">
        <v>346.69029999999998</v>
      </c>
      <c r="AV146">
        <v>326.21530000000001</v>
      </c>
      <c r="AW146">
        <v>6451499</v>
      </c>
      <c r="AX146">
        <v>2341709</v>
      </c>
      <c r="AY146">
        <v>11.2</v>
      </c>
      <c r="AZ146">
        <v>6.6</v>
      </c>
      <c r="BA146"/>
      <c r="BB146">
        <v>112.14193232892377</v>
      </c>
      <c r="BC146">
        <v>89.158564333699914</v>
      </c>
      <c r="BD146">
        <v>148.38064516129032</v>
      </c>
      <c r="BE146">
        <v>1.2906806451612902</v>
      </c>
      <c r="BF146">
        <v>111.1258064516129</v>
      </c>
      <c r="BG146">
        <v>365.73064516129034</v>
      </c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</row>
    <row r="147" spans="1:83">
      <c r="A147" s="3">
        <v>40940</v>
      </c>
      <c r="B147" s="3">
        <v>40940</v>
      </c>
      <c r="C147">
        <v>253.30257142621178</v>
      </c>
      <c r="D147">
        <v>105.23461842368479</v>
      </c>
      <c r="E147">
        <v>147.37265593709452</v>
      </c>
      <c r="F147">
        <v>102.13799848434357</v>
      </c>
      <c r="G147">
        <v>103.13184961244524</v>
      </c>
      <c r="H147">
        <v>6448</v>
      </c>
      <c r="I147">
        <v>3365.7999999999997</v>
      </c>
      <c r="J147">
        <v>159.71579748259558</v>
      </c>
      <c r="K147">
        <v>95.520877355021753</v>
      </c>
      <c r="M147">
        <v>127.954456623</v>
      </c>
      <c r="O147">
        <v>139.62132428959464</v>
      </c>
      <c r="P147">
        <v>113.16765882240001</v>
      </c>
      <c r="Q147">
        <v>35026.699999999997</v>
      </c>
      <c r="T147">
        <v>126.80782928740452</v>
      </c>
      <c r="U147"/>
      <c r="V147"/>
      <c r="W147"/>
      <c r="X147"/>
      <c r="Y147"/>
      <c r="Z147"/>
      <c r="AA147"/>
      <c r="AB147">
        <v>5281</v>
      </c>
      <c r="AC147">
        <v>35352</v>
      </c>
      <c r="AD147">
        <v>7071.2</v>
      </c>
      <c r="AE147">
        <v>2970.9</v>
      </c>
      <c r="AF147">
        <v>263.71706807692397</v>
      </c>
      <c r="AG147">
        <v>215.45020008226351</v>
      </c>
      <c r="AH147">
        <v>297.17005816612084</v>
      </c>
      <c r="AI147">
        <v>248.37463823372295</v>
      </c>
      <c r="AJ147">
        <v>208.73691161338559</v>
      </c>
      <c r="AK147">
        <v>3469472</v>
      </c>
      <c r="AL147">
        <v>3762159</v>
      </c>
      <c r="AM147">
        <v>8050932</v>
      </c>
      <c r="AN147">
        <v>9911587</v>
      </c>
      <c r="AO147"/>
      <c r="AP147">
        <v>7</v>
      </c>
      <c r="AQ147"/>
      <c r="AR147"/>
      <c r="AS147"/>
      <c r="AT147"/>
      <c r="AU147">
        <v>530.77455049989999</v>
      </c>
      <c r="AV147">
        <v>477.59841881830005</v>
      </c>
      <c r="AW147">
        <v>6475123</v>
      </c>
      <c r="AX147">
        <v>2355850</v>
      </c>
      <c r="AY147">
        <v>11.2</v>
      </c>
      <c r="AZ147">
        <v>6.5</v>
      </c>
      <c r="BA147"/>
      <c r="BB147">
        <v>109.59963659309324</v>
      </c>
      <c r="BC147">
        <v>87.105094921083207</v>
      </c>
      <c r="BD147">
        <v>148.20620689655172</v>
      </c>
      <c r="BE147">
        <v>1.3236793103448277</v>
      </c>
      <c r="BF147">
        <v>119.10827586206896</v>
      </c>
      <c r="BG147">
        <v>383.9603448275862</v>
      </c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</row>
    <row r="148" spans="1:83">
      <c r="A148" s="3">
        <v>40969</v>
      </c>
      <c r="B148" s="3">
        <v>40969</v>
      </c>
      <c r="C148">
        <v>287.62335835060242</v>
      </c>
      <c r="D148">
        <v>116.70519183186644</v>
      </c>
      <c r="E148">
        <v>166.08898324110552</v>
      </c>
      <c r="F148">
        <v>104.89572444342085</v>
      </c>
      <c r="G148">
        <v>117.57030855818758</v>
      </c>
      <c r="H148">
        <v>6814.5000000000018</v>
      </c>
      <c r="I148">
        <v>3519.3000000000011</v>
      </c>
      <c r="J148">
        <v>221.52581110836002</v>
      </c>
      <c r="K148">
        <v>116.84385075719555</v>
      </c>
      <c r="M148">
        <v>140.74938524181601</v>
      </c>
      <c r="O148">
        <v>154.78037747830388</v>
      </c>
      <c r="P148">
        <v>121.945532660224</v>
      </c>
      <c r="Q148">
        <v>36625.440000000002</v>
      </c>
      <c r="T148">
        <v>132.16705057132526</v>
      </c>
      <c r="U148"/>
      <c r="V148"/>
      <c r="W148"/>
      <c r="X148"/>
      <c r="Y148"/>
      <c r="Z148"/>
      <c r="AA148"/>
      <c r="AB148">
        <v>5134</v>
      </c>
      <c r="AC148">
        <v>32289</v>
      </c>
      <c r="AD148">
        <v>5729.1</v>
      </c>
      <c r="AE148">
        <v>3668.5</v>
      </c>
      <c r="AF148">
        <v>264.50821928115477</v>
      </c>
      <c r="AG148">
        <v>215.88110048242805</v>
      </c>
      <c r="AH148">
        <v>298.65590845695141</v>
      </c>
      <c r="AI148">
        <v>248.87138751019035</v>
      </c>
      <c r="AJ148">
        <v>209.57185925983913</v>
      </c>
      <c r="AK148">
        <v>3282665</v>
      </c>
      <c r="AL148">
        <v>3886272</v>
      </c>
      <c r="AM148">
        <v>8418579</v>
      </c>
      <c r="AN148">
        <v>10293056</v>
      </c>
      <c r="AO148"/>
      <c r="AP148">
        <v>7</v>
      </c>
      <c r="AQ148"/>
      <c r="AR148"/>
      <c r="AS148"/>
      <c r="AT148"/>
      <c r="AU148">
        <v>505.25164950009992</v>
      </c>
      <c r="AV148">
        <v>463.65828118169992</v>
      </c>
      <c r="AW148">
        <v>6556053</v>
      </c>
      <c r="AX148">
        <v>2378463</v>
      </c>
      <c r="AY148">
        <v>11.3</v>
      </c>
      <c r="AZ148">
        <v>6.3</v>
      </c>
      <c r="BA148"/>
      <c r="BB148">
        <v>109.11215970689538</v>
      </c>
      <c r="BC148">
        <v>87.231100288196657</v>
      </c>
      <c r="BD148">
        <v>147.83354838709678</v>
      </c>
      <c r="BE148">
        <v>1.3211935483870967</v>
      </c>
      <c r="BF148">
        <v>124.64516129032258</v>
      </c>
      <c r="BG148">
        <v>384.38709677419354</v>
      </c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</row>
    <row r="149" spans="1:83">
      <c r="A149" s="3">
        <v>41000</v>
      </c>
      <c r="B149" s="3">
        <v>41000</v>
      </c>
      <c r="C149">
        <v>283.70096803206758</v>
      </c>
      <c r="D149">
        <v>112.03698415859179</v>
      </c>
      <c r="E149">
        <v>170.9055637550976</v>
      </c>
      <c r="F149">
        <v>84.860641074727468</v>
      </c>
      <c r="G149">
        <v>140.26137810991776</v>
      </c>
      <c r="H149">
        <v>6440.0999999999985</v>
      </c>
      <c r="I149">
        <v>3343.0999999999985</v>
      </c>
      <c r="J149">
        <v>296.84458688520243</v>
      </c>
      <c r="K149">
        <v>117.96816408024922</v>
      </c>
      <c r="M149">
        <v>138.16887287164417</v>
      </c>
      <c r="O149">
        <v>187.32235331224226</v>
      </c>
      <c r="P149">
        <v>123.13279817538363</v>
      </c>
      <c r="Q149">
        <v>36285.81</v>
      </c>
      <c r="T149">
        <v>131.06364709992502</v>
      </c>
      <c r="U149"/>
      <c r="V149"/>
      <c r="W149"/>
      <c r="X149"/>
      <c r="Y149"/>
      <c r="Z149"/>
      <c r="AA149"/>
      <c r="AB149">
        <v>5221</v>
      </c>
      <c r="AC149">
        <v>35038</v>
      </c>
      <c r="AD149">
        <v>7280</v>
      </c>
      <c r="AE149">
        <v>3689.4</v>
      </c>
      <c r="AF149">
        <v>266.35977681612286</v>
      </c>
      <c r="AG149">
        <v>216.96050598484021</v>
      </c>
      <c r="AH149">
        <v>299.55187618232225</v>
      </c>
      <c r="AI149">
        <v>251.85784416031262</v>
      </c>
      <c r="AJ149">
        <v>211.03886227465799</v>
      </c>
      <c r="AK149">
        <v>3490230</v>
      </c>
      <c r="AL149">
        <v>3725310</v>
      </c>
      <c r="AM149">
        <v>8618624</v>
      </c>
      <c r="AN149">
        <v>10393216</v>
      </c>
      <c r="AO149"/>
      <c r="AP149">
        <v>6.5</v>
      </c>
      <c r="AQ149"/>
      <c r="AR149"/>
      <c r="AS149"/>
      <c r="AT149"/>
      <c r="AU149">
        <v>420.93510000000009</v>
      </c>
      <c r="AV149">
        <v>502.24839999999989</v>
      </c>
      <c r="AW149">
        <v>6634262</v>
      </c>
      <c r="AX149">
        <v>2429094</v>
      </c>
      <c r="AY149">
        <v>11.3</v>
      </c>
      <c r="AZ149">
        <v>6.3</v>
      </c>
      <c r="BA149"/>
      <c r="BB149">
        <v>109.67121137594044</v>
      </c>
      <c r="BC149">
        <v>87.378008658883047</v>
      </c>
      <c r="BD149">
        <v>147.78466666666665</v>
      </c>
      <c r="BE149">
        <v>1.3169766666666667</v>
      </c>
      <c r="BF149">
        <v>120.79133333333334</v>
      </c>
      <c r="BG149">
        <v>373.11666666666667</v>
      </c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</row>
    <row r="150" spans="1:83">
      <c r="A150" s="3">
        <v>41030</v>
      </c>
      <c r="B150" s="3">
        <v>41030</v>
      </c>
      <c r="C150">
        <v>279.23824054964166</v>
      </c>
      <c r="D150">
        <v>110.69254034868869</v>
      </c>
      <c r="E150">
        <v>171.9309971376282</v>
      </c>
      <c r="F150">
        <v>65.51241490968961</v>
      </c>
      <c r="G150">
        <v>111.36753421927472</v>
      </c>
      <c r="H150">
        <v>6493.6999999999971</v>
      </c>
      <c r="I150">
        <v>3311.7999999999993</v>
      </c>
      <c r="J150">
        <v>388.56956423272999</v>
      </c>
      <c r="K150">
        <v>141.06257302653978</v>
      </c>
      <c r="M150">
        <v>146.87351186255776</v>
      </c>
      <c r="O150">
        <v>224.26730273599193</v>
      </c>
      <c r="P150">
        <v>127.25586020461003</v>
      </c>
      <c r="Q150">
        <v>37351.32</v>
      </c>
      <c r="T150">
        <v>131.43962598347701</v>
      </c>
      <c r="U150"/>
      <c r="V150"/>
      <c r="W150"/>
      <c r="X150"/>
      <c r="Y150"/>
      <c r="Z150"/>
      <c r="AA150"/>
      <c r="AB150">
        <v>5039</v>
      </c>
      <c r="AC150">
        <v>34278</v>
      </c>
      <c r="AD150">
        <v>8217.2999999999993</v>
      </c>
      <c r="AE150">
        <v>3680.7</v>
      </c>
      <c r="AF150">
        <v>268.22429525383575</v>
      </c>
      <c r="AG150">
        <v>217.39442699680987</v>
      </c>
      <c r="AH150">
        <v>300.15097993468697</v>
      </c>
      <c r="AI150">
        <v>256.13942751103798</v>
      </c>
      <c r="AJ150">
        <v>212.51613431058058</v>
      </c>
      <c r="AK150">
        <v>3304523</v>
      </c>
      <c r="AL150">
        <v>3812954</v>
      </c>
      <c r="AM150">
        <v>8454048</v>
      </c>
      <c r="AN150">
        <v>10334946</v>
      </c>
      <c r="AO150"/>
      <c r="AP150">
        <v>6.5</v>
      </c>
      <c r="AQ150"/>
      <c r="AR150"/>
      <c r="AS150"/>
      <c r="AT150"/>
      <c r="AU150">
        <v>480.48619999999971</v>
      </c>
      <c r="AV150">
        <v>517.43439999999987</v>
      </c>
      <c r="AW150">
        <v>6691390</v>
      </c>
      <c r="AX150">
        <v>2476042</v>
      </c>
      <c r="AY150">
        <v>11.4</v>
      </c>
      <c r="AZ150">
        <v>6.3</v>
      </c>
      <c r="BA150"/>
      <c r="BB150">
        <v>112.8444923051662</v>
      </c>
      <c r="BC150">
        <v>89.367299896852543</v>
      </c>
      <c r="BD150">
        <v>147.91677419354838</v>
      </c>
      <c r="BE150">
        <v>1.2797419354838711</v>
      </c>
      <c r="BF150">
        <v>110.17612903225806</v>
      </c>
      <c r="BG150">
        <v>356.71612903225804</v>
      </c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</row>
    <row r="151" spans="1:83">
      <c r="A151" s="3">
        <v>41061</v>
      </c>
      <c r="B151" s="3">
        <v>41061</v>
      </c>
      <c r="C151">
        <v>279.38796095413852</v>
      </c>
      <c r="D151">
        <v>115.12024196263624</v>
      </c>
      <c r="E151">
        <v>162.64672329219627</v>
      </c>
      <c r="F151">
        <v>63.54704246239892</v>
      </c>
      <c r="G151">
        <v>110.58796147973979</v>
      </c>
      <c r="H151">
        <v>6597.7000000000044</v>
      </c>
      <c r="I151">
        <v>3355.7000000000007</v>
      </c>
      <c r="J151">
        <v>464.72919882234504</v>
      </c>
      <c r="K151">
        <v>196.12411079475081</v>
      </c>
      <c r="M151">
        <v>155.098428526861</v>
      </c>
      <c r="O151">
        <v>254.31624584882411</v>
      </c>
      <c r="P151">
        <v>135.74512855273517</v>
      </c>
      <c r="Q151">
        <v>38924.480000000003</v>
      </c>
      <c r="T151">
        <v>135.7393728212127</v>
      </c>
      <c r="U151"/>
      <c r="V151"/>
      <c r="W151"/>
      <c r="X151"/>
      <c r="Y151"/>
      <c r="Z151"/>
      <c r="AA151"/>
      <c r="AB151">
        <v>5124</v>
      </c>
      <c r="AC151">
        <v>32326</v>
      </c>
      <c r="AD151">
        <v>7747.3</v>
      </c>
      <c r="AE151">
        <v>3879.6</v>
      </c>
      <c r="AF151">
        <v>269.02896813959723</v>
      </c>
      <c r="AG151">
        <v>217.82921585080351</v>
      </c>
      <c r="AH151">
        <v>300.75128189455637</v>
      </c>
      <c r="AI151">
        <v>257.1639852210821</v>
      </c>
      <c r="AJ151">
        <v>213.1536827135123</v>
      </c>
      <c r="AK151">
        <v>3454684</v>
      </c>
      <c r="AL151">
        <v>3993464</v>
      </c>
      <c r="AM151">
        <v>8490391</v>
      </c>
      <c r="AN151">
        <v>10405602</v>
      </c>
      <c r="AO151"/>
      <c r="AP151">
        <v>6</v>
      </c>
      <c r="AQ151"/>
      <c r="AR151"/>
      <c r="AS151"/>
      <c r="AT151"/>
      <c r="AU151">
        <v>940.37610000000006</v>
      </c>
      <c r="AV151">
        <v>561.87930000000028</v>
      </c>
      <c r="AW151">
        <v>6725205</v>
      </c>
      <c r="AX151">
        <v>2528042</v>
      </c>
      <c r="AY151">
        <v>11.2</v>
      </c>
      <c r="AZ151">
        <v>6.4</v>
      </c>
      <c r="BA151"/>
      <c r="BB151">
        <v>115.42112300223857</v>
      </c>
      <c r="BC151">
        <v>91.102406158625953</v>
      </c>
      <c r="BD151">
        <v>148.96066666666667</v>
      </c>
      <c r="BE151">
        <v>1.2549833333333333</v>
      </c>
      <c r="BF151">
        <v>96.174999999999997</v>
      </c>
      <c r="BG151">
        <v>334.60333333333335</v>
      </c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</row>
    <row r="152" spans="1:83">
      <c r="A152" s="3">
        <v>41091</v>
      </c>
      <c r="B152" s="3">
        <v>41091</v>
      </c>
      <c r="C152">
        <v>270.35545902217257</v>
      </c>
      <c r="D152">
        <v>117.5377670438516</v>
      </c>
      <c r="E152">
        <v>138.24971479836682</v>
      </c>
      <c r="F152">
        <v>59.988408084504584</v>
      </c>
      <c r="G152">
        <v>92.783299681501688</v>
      </c>
      <c r="H152">
        <v>6768.7999999999956</v>
      </c>
      <c r="I152">
        <v>3385.5</v>
      </c>
      <c r="J152">
        <v>560.46341377974807</v>
      </c>
      <c r="K152">
        <v>177.75551418287364</v>
      </c>
      <c r="M152">
        <v>153.54744424159239</v>
      </c>
      <c r="O152">
        <v>267.19286075706748</v>
      </c>
      <c r="P152">
        <v>133.87445653006463</v>
      </c>
      <c r="Q152">
        <v>40916.400000000001</v>
      </c>
      <c r="T152">
        <v>138.99401534735711</v>
      </c>
      <c r="U152"/>
      <c r="V152"/>
      <c r="W152"/>
      <c r="X152"/>
      <c r="Y152"/>
      <c r="Z152"/>
      <c r="AA152"/>
      <c r="AB152">
        <v>5371</v>
      </c>
      <c r="AC152">
        <v>28976</v>
      </c>
      <c r="AD152">
        <v>6980.9</v>
      </c>
      <c r="AE152">
        <v>4119.8</v>
      </c>
      <c r="AF152">
        <v>269.83605504401601</v>
      </c>
      <c r="AG152">
        <v>217.61138663495271</v>
      </c>
      <c r="AH152">
        <v>301.05203317645089</v>
      </c>
      <c r="AI152">
        <v>259.47846108807181</v>
      </c>
      <c r="AJ152">
        <v>213.7931437616528</v>
      </c>
      <c r="AK152">
        <v>2951901</v>
      </c>
      <c r="AL152">
        <v>3888499</v>
      </c>
      <c r="AM152">
        <v>8602644</v>
      </c>
      <c r="AN152">
        <v>10582891</v>
      </c>
      <c r="AO152"/>
      <c r="AP152">
        <v>6</v>
      </c>
      <c r="AQ152"/>
      <c r="AR152"/>
      <c r="AS152"/>
      <c r="AT152"/>
      <c r="AU152">
        <v>358.25689999999992</v>
      </c>
      <c r="AV152">
        <v>518.79369999999972</v>
      </c>
      <c r="AW152">
        <v>6704266</v>
      </c>
      <c r="AX152">
        <v>2584988</v>
      </c>
      <c r="AY152">
        <v>11.1</v>
      </c>
      <c r="AZ152">
        <v>6.2</v>
      </c>
      <c r="BA152"/>
      <c r="BB152">
        <v>115.76205375402753</v>
      </c>
      <c r="BC152">
        <v>91.064094748381549</v>
      </c>
      <c r="BD152">
        <v>149.78258064516129</v>
      </c>
      <c r="BE152">
        <v>1.2295064516129033</v>
      </c>
      <c r="BF152">
        <v>102.75806451612904</v>
      </c>
      <c r="BG152">
        <v>344.52258064516127</v>
      </c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</row>
    <row r="153" spans="1:83">
      <c r="A153" s="3">
        <v>41122</v>
      </c>
      <c r="B153" s="3">
        <v>41122</v>
      </c>
      <c r="C153">
        <v>284.68674377661017</v>
      </c>
      <c r="D153">
        <v>115.30454947001842</v>
      </c>
      <c r="E153">
        <v>165.62315832844345</v>
      </c>
      <c r="F153">
        <v>61.968025551293231</v>
      </c>
      <c r="G153">
        <v>105.95852823627493</v>
      </c>
      <c r="H153">
        <v>5925.7000000000044</v>
      </c>
      <c r="I153">
        <v>3115.1000000000022</v>
      </c>
      <c r="J153">
        <v>483.1194626781429</v>
      </c>
      <c r="K153">
        <v>360.62393856048794</v>
      </c>
      <c r="M153">
        <v>162.76029089608792</v>
      </c>
      <c r="O153">
        <v>258.80512387643239</v>
      </c>
      <c r="P153">
        <v>143.91655721914711</v>
      </c>
      <c r="Q153">
        <v>41386.78</v>
      </c>
      <c r="T153">
        <v>137.03727559166873</v>
      </c>
      <c r="U153"/>
      <c r="V153"/>
      <c r="W153"/>
      <c r="X153"/>
      <c r="Y153"/>
      <c r="Z153"/>
      <c r="AA153"/>
      <c r="AB153">
        <v>5562</v>
      </c>
      <c r="AC153">
        <v>29576</v>
      </c>
      <c r="AD153">
        <v>7286.8</v>
      </c>
      <c r="AE153">
        <v>4237.2</v>
      </c>
      <c r="AF153">
        <v>270.64556320914807</v>
      </c>
      <c r="AG153">
        <v>218.26422079485758</v>
      </c>
      <c r="AH153">
        <v>301.65413724280381</v>
      </c>
      <c r="AI153">
        <v>260.51637493242413</v>
      </c>
      <c r="AJ153">
        <v>214.43452319293775</v>
      </c>
      <c r="AK153">
        <v>2809970</v>
      </c>
      <c r="AL153">
        <v>3732979</v>
      </c>
      <c r="AM153">
        <v>8409751</v>
      </c>
      <c r="AN153">
        <v>10328235</v>
      </c>
      <c r="AO153"/>
      <c r="AP153">
        <v>5.5</v>
      </c>
      <c r="AQ153"/>
      <c r="AR153"/>
      <c r="AS153"/>
      <c r="AT153"/>
      <c r="AU153">
        <v>506.16278488670008</v>
      </c>
      <c r="AV153">
        <v>518.95646940630024</v>
      </c>
      <c r="AW153">
        <v>6750874</v>
      </c>
      <c r="AX153">
        <v>2643081</v>
      </c>
      <c r="AY153">
        <v>11.2</v>
      </c>
      <c r="AZ153">
        <v>5.9</v>
      </c>
      <c r="BA153"/>
      <c r="BB153">
        <v>114.87803537285694</v>
      </c>
      <c r="BC153">
        <v>90.352883609299553</v>
      </c>
      <c r="BD153">
        <v>149.54225806451612</v>
      </c>
      <c r="BE153">
        <v>1.239783870967742</v>
      </c>
      <c r="BF153">
        <v>112.58</v>
      </c>
      <c r="BG153">
        <v>341.36129032258066</v>
      </c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</row>
    <row r="154" spans="1:83">
      <c r="A154" s="3">
        <v>41153</v>
      </c>
      <c r="B154" s="3">
        <v>41153</v>
      </c>
      <c r="C154">
        <v>269.77749502387314</v>
      </c>
      <c r="D154">
        <v>105.50366276506685</v>
      </c>
      <c r="E154">
        <v>164.62941937847282</v>
      </c>
      <c r="F154">
        <v>57.196487583843648</v>
      </c>
      <c r="G154">
        <v>147.49427130489468</v>
      </c>
      <c r="H154">
        <v>6321.9000000000015</v>
      </c>
      <c r="I154">
        <v>3091.6999999999971</v>
      </c>
      <c r="J154">
        <v>498.09616602116529</v>
      </c>
      <c r="K154">
        <v>1352.7844197054956</v>
      </c>
      <c r="M154">
        <v>158.52852333278963</v>
      </c>
      <c r="O154">
        <v>281.20232555505186</v>
      </c>
      <c r="P154">
        <v>169.75889104461947</v>
      </c>
      <c r="Q154">
        <v>42393.14</v>
      </c>
      <c r="T154">
        <v>132.66927945468299</v>
      </c>
      <c r="U154"/>
      <c r="V154"/>
      <c r="W154"/>
      <c r="X154"/>
      <c r="Y154"/>
      <c r="Z154"/>
      <c r="AA154"/>
      <c r="AB154">
        <v>5955</v>
      </c>
      <c r="AC154">
        <v>30091</v>
      </c>
      <c r="AD154">
        <v>6933.6</v>
      </c>
      <c r="AE154">
        <v>4275</v>
      </c>
      <c r="AF154">
        <v>272.26943658840293</v>
      </c>
      <c r="AG154">
        <v>218.70074923644731</v>
      </c>
      <c r="AH154">
        <v>302.86075379177504</v>
      </c>
      <c r="AI154">
        <v>263.90308780654567</v>
      </c>
      <c r="AJ154">
        <v>215.72113033209538</v>
      </c>
      <c r="AK154">
        <v>2953136</v>
      </c>
      <c r="AL154">
        <v>3811804</v>
      </c>
      <c r="AM154">
        <v>8481616</v>
      </c>
      <c r="AN154">
        <v>10514793</v>
      </c>
      <c r="AO154"/>
      <c r="AP154">
        <v>5.5</v>
      </c>
      <c r="AQ154"/>
      <c r="AR154"/>
      <c r="AS154"/>
      <c r="AT154"/>
      <c r="AU154">
        <v>470.37861511330027</v>
      </c>
      <c r="AV154">
        <v>518.64603059369972</v>
      </c>
      <c r="AW154">
        <v>6835735</v>
      </c>
      <c r="AX154">
        <v>2695297</v>
      </c>
      <c r="AY154">
        <v>11</v>
      </c>
      <c r="AZ154">
        <v>6.3</v>
      </c>
      <c r="BA154"/>
      <c r="BB154">
        <v>112.32641031835171</v>
      </c>
      <c r="BC154">
        <v>88.40378748508121</v>
      </c>
      <c r="BD154">
        <v>149.82266666666666</v>
      </c>
      <c r="BE154">
        <v>1.2873633333333334</v>
      </c>
      <c r="BF154">
        <v>113.30866666666667</v>
      </c>
      <c r="BG154">
        <v>370.45166666666665</v>
      </c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</row>
    <row r="155" spans="1:83">
      <c r="A155" s="3">
        <v>41183</v>
      </c>
      <c r="B155" s="3">
        <v>41183</v>
      </c>
      <c r="C155">
        <v>294.03084500954407</v>
      </c>
      <c r="D155">
        <v>122.38424880747755</v>
      </c>
      <c r="E155">
        <v>160.513683894011</v>
      </c>
      <c r="F155">
        <v>66.119139646923259</v>
      </c>
      <c r="G155">
        <v>158.70383592406665</v>
      </c>
      <c r="H155">
        <v>6853.5</v>
      </c>
      <c r="I155">
        <v>3125.8000000000029</v>
      </c>
      <c r="J155">
        <v>481.16089637644569</v>
      </c>
      <c r="K155">
        <v>668.09737305004228</v>
      </c>
      <c r="M155">
        <v>163.60143607943891</v>
      </c>
      <c r="O155">
        <v>259.03118218857156</v>
      </c>
      <c r="P155">
        <v>155.39376626002499</v>
      </c>
      <c r="Q155">
        <v>43676.86</v>
      </c>
      <c r="T155">
        <v>134.84411833014559</v>
      </c>
      <c r="U155"/>
      <c r="V155"/>
      <c r="W155"/>
      <c r="X155"/>
      <c r="Y155"/>
      <c r="Z155"/>
      <c r="AA155"/>
      <c r="AB155">
        <v>6161</v>
      </c>
      <c r="AC155">
        <v>29060</v>
      </c>
      <c r="AD155">
        <v>7529.2</v>
      </c>
      <c r="AE155">
        <v>4168.7</v>
      </c>
      <c r="AF155">
        <v>274.17532264452177</v>
      </c>
      <c r="AG155">
        <v>220.01295373186599</v>
      </c>
      <c r="AH155">
        <v>304.67791831452564</v>
      </c>
      <c r="AI155">
        <v>266.27821559680461</v>
      </c>
      <c r="AJ155">
        <v>217.01545711408795</v>
      </c>
      <c r="AK155">
        <v>2832517</v>
      </c>
      <c r="AL155">
        <v>3759904</v>
      </c>
      <c r="AM155">
        <v>8761681</v>
      </c>
      <c r="AN155">
        <v>10686225</v>
      </c>
      <c r="AO155"/>
      <c r="AP155">
        <v>5.5</v>
      </c>
      <c r="AQ155"/>
      <c r="AR155"/>
      <c r="AS155"/>
      <c r="AT155"/>
      <c r="AU155">
        <v>322.21820554600004</v>
      </c>
      <c r="AV155">
        <v>499.04357441695032</v>
      </c>
      <c r="AW155">
        <v>6872624</v>
      </c>
      <c r="AX155">
        <v>2748975</v>
      </c>
      <c r="AY155">
        <v>10.6</v>
      </c>
      <c r="AZ155">
        <v>6.6</v>
      </c>
      <c r="BA155"/>
      <c r="BB155">
        <v>111.48447843224878</v>
      </c>
      <c r="BC155">
        <v>87.366738087039082</v>
      </c>
      <c r="BD155">
        <v>150.45322580645163</v>
      </c>
      <c r="BE155">
        <v>1.2975096774193549</v>
      </c>
      <c r="BF155">
        <v>111.53612903225806</v>
      </c>
      <c r="BG155">
        <v>367.05806451612904</v>
      </c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</row>
    <row r="156" spans="1:83">
      <c r="A156" s="3">
        <v>41214</v>
      </c>
      <c r="B156" s="3">
        <v>41214</v>
      </c>
      <c r="C156">
        <v>297.27526197474015</v>
      </c>
      <c r="D156">
        <v>122.99617005151492</v>
      </c>
      <c r="E156">
        <v>158.26649231949483</v>
      </c>
      <c r="F156">
        <v>87.012787775351001</v>
      </c>
      <c r="G156">
        <v>157.27550140075004</v>
      </c>
      <c r="H156">
        <v>6767.0999999999913</v>
      </c>
      <c r="I156">
        <v>3474.9000000000015</v>
      </c>
      <c r="J156">
        <v>518.21028539743202</v>
      </c>
      <c r="K156">
        <v>209.36545094964038</v>
      </c>
      <c r="M156">
        <v>178.65276819874728</v>
      </c>
      <c r="O156">
        <v>290.72340929006094</v>
      </c>
      <c r="P156">
        <v>163.24208505088183</v>
      </c>
      <c r="Q156">
        <v>42087.79</v>
      </c>
      <c r="T156">
        <v>133.84306270103426</v>
      </c>
      <c r="U156"/>
      <c r="V156"/>
      <c r="W156"/>
      <c r="X156"/>
      <c r="Y156"/>
      <c r="Z156"/>
      <c r="AA156"/>
      <c r="AB156">
        <v>6298</v>
      </c>
      <c r="AC156">
        <v>29637</v>
      </c>
      <c r="AD156">
        <v>6803.7</v>
      </c>
      <c r="AE156">
        <v>4414.6000000000004</v>
      </c>
      <c r="AF156">
        <v>276.09454990303345</v>
      </c>
      <c r="AG156">
        <v>220.89300554679346</v>
      </c>
      <c r="AH156">
        <v>306.81066374272734</v>
      </c>
      <c r="AI156">
        <v>269.20727596836946</v>
      </c>
      <c r="AJ156">
        <v>218.53456531388653</v>
      </c>
      <c r="AK156">
        <v>2686108</v>
      </c>
      <c r="AL156">
        <v>3579746</v>
      </c>
      <c r="AM156">
        <v>8513774</v>
      </c>
      <c r="AN156">
        <v>10465453</v>
      </c>
      <c r="AO156"/>
      <c r="AP156">
        <v>5.5</v>
      </c>
      <c r="AQ156"/>
      <c r="AR156"/>
      <c r="AS156"/>
      <c r="AT156"/>
      <c r="AU156">
        <v>524.49169445399934</v>
      </c>
      <c r="AV156">
        <v>526.99682558305005</v>
      </c>
      <c r="AW156">
        <v>6937966</v>
      </c>
      <c r="AX156">
        <v>2799544</v>
      </c>
      <c r="AY156">
        <v>10.7</v>
      </c>
      <c r="AZ156">
        <v>6.9</v>
      </c>
      <c r="BA156"/>
      <c r="BB156">
        <v>112.90594216823374</v>
      </c>
      <c r="BC156">
        <v>87.866163597546418</v>
      </c>
      <c r="BD156">
        <v>150.55266666666665</v>
      </c>
      <c r="BE156">
        <v>1.2832766666666666</v>
      </c>
      <c r="BF156">
        <v>109.34733333333334</v>
      </c>
      <c r="BG156">
        <v>349.55</v>
      </c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</row>
    <row r="157" spans="1:83">
      <c r="A157" s="3">
        <v>41244</v>
      </c>
      <c r="B157" s="3">
        <v>41244</v>
      </c>
      <c r="C157">
        <v>294.80631579500943</v>
      </c>
      <c r="D157">
        <v>127.42403217336945</v>
      </c>
      <c r="E157">
        <v>143.23117554914282</v>
      </c>
      <c r="F157">
        <v>95.366015401784693</v>
      </c>
      <c r="G157">
        <v>157.7473279049523</v>
      </c>
      <c r="H157">
        <v>6906.3000000000029</v>
      </c>
      <c r="I157">
        <v>3599.5</v>
      </c>
      <c r="J157">
        <v>631.69833789946961</v>
      </c>
      <c r="K157">
        <v>342.47449761218269</v>
      </c>
      <c r="M157">
        <v>220.99347426185039</v>
      </c>
      <c r="O157">
        <v>461.08801767124783</v>
      </c>
      <c r="P157">
        <v>168.81735221382471</v>
      </c>
      <c r="Q157">
        <v>42718.84</v>
      </c>
      <c r="T157">
        <v>152.49678906914878</v>
      </c>
      <c r="U157"/>
      <c r="V157"/>
      <c r="W157"/>
      <c r="X157"/>
      <c r="Y157"/>
      <c r="Z157"/>
      <c r="AA157"/>
      <c r="AB157">
        <v>6148</v>
      </c>
      <c r="AC157">
        <v>28269</v>
      </c>
      <c r="AD157">
        <v>7002.7</v>
      </c>
      <c r="AE157">
        <v>4393.3999999999996</v>
      </c>
      <c r="AF157">
        <v>277.75111720245167</v>
      </c>
      <c r="AG157">
        <v>221.55568456343389</v>
      </c>
      <c r="AH157">
        <v>309.26514905266919</v>
      </c>
      <c r="AI157">
        <v>270.82251962417968</v>
      </c>
      <c r="AJ157">
        <v>219.84577270576986</v>
      </c>
      <c r="AK157">
        <v>2890061</v>
      </c>
      <c r="AL157">
        <v>3880611</v>
      </c>
      <c r="AM157">
        <v>8546937</v>
      </c>
      <c r="AN157">
        <v>10522812</v>
      </c>
      <c r="AO157"/>
      <c r="AP157">
        <v>5.5</v>
      </c>
      <c r="AQ157"/>
      <c r="AR157"/>
      <c r="AS157"/>
      <c r="AT157"/>
      <c r="AU157">
        <v>406.98134974804054</v>
      </c>
      <c r="AV157">
        <v>837.50131155380984</v>
      </c>
      <c r="AW157">
        <v>7102691</v>
      </c>
      <c r="AX157">
        <v>2855349</v>
      </c>
      <c r="AY157">
        <v>10.3</v>
      </c>
      <c r="AZ157">
        <v>6.7</v>
      </c>
      <c r="BA157"/>
      <c r="BB157">
        <v>111.53938911189312</v>
      </c>
      <c r="BC157">
        <v>86.6319326033517</v>
      </c>
      <c r="BD157">
        <v>150.48258064516128</v>
      </c>
      <c r="BE157">
        <v>1.3116838709677419</v>
      </c>
      <c r="BF157">
        <v>109.24870967741936</v>
      </c>
      <c r="BG157">
        <v>361.94838709677418</v>
      </c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</row>
    <row r="158" spans="1:83">
      <c r="A158" s="3">
        <v>41275</v>
      </c>
      <c r="B158" s="3">
        <v>41275</v>
      </c>
      <c r="C158">
        <v>254.1946144720097</v>
      </c>
      <c r="D158">
        <v>110.73148395865806</v>
      </c>
      <c r="E158">
        <v>140.08008968706167</v>
      </c>
      <c r="F158">
        <v>109.57555169665062</v>
      </c>
      <c r="G158">
        <v>85.97229370819899</v>
      </c>
      <c r="H158">
        <v>6982.2</v>
      </c>
      <c r="I158">
        <v>3645.7</v>
      </c>
      <c r="J158">
        <v>120.65438253879871</v>
      </c>
      <c r="K158">
        <v>103.76718450811724</v>
      </c>
      <c r="M158">
        <v>154.47443850903343</v>
      </c>
      <c r="O158">
        <v>110.29224507383296</v>
      </c>
      <c r="P158">
        <v>123.52423066200001</v>
      </c>
      <c r="Q158">
        <v>34780.1</v>
      </c>
      <c r="T158">
        <v>130.07683797130647</v>
      </c>
      <c r="U158"/>
      <c r="V158"/>
      <c r="W158"/>
      <c r="X158"/>
      <c r="Y158"/>
      <c r="Z158"/>
      <c r="AA158"/>
      <c r="AB158">
        <v>6286</v>
      </c>
      <c r="AC158">
        <v>26950</v>
      </c>
      <c r="AD158">
        <v>6356</v>
      </c>
      <c r="AE158">
        <v>3012</v>
      </c>
      <c r="AF158">
        <v>280.25087725727377</v>
      </c>
      <c r="AG158">
        <v>221.99879593256077</v>
      </c>
      <c r="AH158">
        <v>310.81147479793253</v>
      </c>
      <c r="AI158">
        <v>276.78061505591165</v>
      </c>
      <c r="AJ158">
        <v>221.78041550558061</v>
      </c>
      <c r="AK158">
        <v>2746246</v>
      </c>
      <c r="AL158">
        <v>3719628</v>
      </c>
      <c r="AM158">
        <v>8565684</v>
      </c>
      <c r="AN158">
        <v>10495911</v>
      </c>
      <c r="AO158"/>
      <c r="AP158">
        <v>5.5</v>
      </c>
      <c r="AQ158"/>
      <c r="AR158"/>
      <c r="AS158"/>
      <c r="AT158"/>
      <c r="AU158">
        <v>402.16498296608</v>
      </c>
      <c r="AV158">
        <v>307.07965379110004</v>
      </c>
      <c r="AW158">
        <v>7022752</v>
      </c>
      <c r="AX158">
        <v>2879693</v>
      </c>
      <c r="AY158">
        <v>10.6</v>
      </c>
      <c r="AZ158">
        <v>6.7</v>
      </c>
      <c r="BA158"/>
      <c r="BB158">
        <v>111.31646801542023</v>
      </c>
      <c r="BC158">
        <v>85.572536489001749</v>
      </c>
      <c r="BD158">
        <v>150.79451612903225</v>
      </c>
      <c r="BE158">
        <v>1.3301322580645161</v>
      </c>
      <c r="BF158">
        <v>112.14387096774193</v>
      </c>
      <c r="BG158">
        <v>367.71129032258062</v>
      </c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</row>
    <row r="159" spans="1:83">
      <c r="A159" s="3">
        <v>41306</v>
      </c>
      <c r="B159" s="3">
        <v>41306</v>
      </c>
      <c r="C159">
        <v>256.08889971190013</v>
      </c>
      <c r="D159">
        <v>104.86271530884919</v>
      </c>
      <c r="E159">
        <v>141.62097067361935</v>
      </c>
      <c r="F159">
        <v>96.864787699839155</v>
      </c>
      <c r="G159">
        <v>100.58758363859282</v>
      </c>
      <c r="H159">
        <v>6466.5999999999995</v>
      </c>
      <c r="I159">
        <v>3467.1000000000004</v>
      </c>
      <c r="J159">
        <v>152.50713952904158</v>
      </c>
      <c r="K159">
        <v>99.054326997527511</v>
      </c>
      <c r="M159">
        <v>145.82386995252756</v>
      </c>
      <c r="O159">
        <v>144.64769196402003</v>
      </c>
      <c r="P159">
        <v>116.90219156353922</v>
      </c>
      <c r="Q159">
        <v>35996.879999999997</v>
      </c>
      <c r="T159">
        <v>128.94294101655942</v>
      </c>
      <c r="U159"/>
      <c r="V159"/>
      <c r="W159"/>
      <c r="X159"/>
      <c r="Y159"/>
      <c r="Z159"/>
      <c r="AA159"/>
      <c r="AB159">
        <v>6223</v>
      </c>
      <c r="AC159">
        <v>26649</v>
      </c>
      <c r="AD159">
        <v>6613</v>
      </c>
      <c r="AE159">
        <v>3156.2</v>
      </c>
      <c r="AF159">
        <v>282.49288427533196</v>
      </c>
      <c r="AG159">
        <v>222.44279352442584</v>
      </c>
      <c r="AH159">
        <v>312.05472069712425</v>
      </c>
      <c r="AI159">
        <v>281.76266612691802</v>
      </c>
      <c r="AJ159">
        <v>223.48812470497359</v>
      </c>
      <c r="AK159">
        <v>2628804</v>
      </c>
      <c r="AL159">
        <v>3759364</v>
      </c>
      <c r="AM159">
        <v>8625526</v>
      </c>
      <c r="AN159">
        <v>10536193</v>
      </c>
      <c r="AO159"/>
      <c r="AP159">
        <v>5.5</v>
      </c>
      <c r="AQ159"/>
      <c r="AR159"/>
      <c r="AS159"/>
      <c r="AT159"/>
      <c r="AU159">
        <v>756.8471017785298</v>
      </c>
      <c r="AV159">
        <v>590.50535248122992</v>
      </c>
      <c r="AW159">
        <v>7083472</v>
      </c>
      <c r="AX159">
        <v>2919248</v>
      </c>
      <c r="AY159">
        <v>10.4</v>
      </c>
      <c r="AZ159">
        <v>6.4</v>
      </c>
      <c r="BA159"/>
      <c r="BB159">
        <v>111.77409000936144</v>
      </c>
      <c r="BC159">
        <v>85.668910957013722</v>
      </c>
      <c r="BD159">
        <v>150.51892857142857</v>
      </c>
      <c r="BE159">
        <v>1.3353642857142858</v>
      </c>
      <c r="BF159">
        <v>116.29607142857142</v>
      </c>
      <c r="BG159">
        <v>368.3</v>
      </c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</row>
    <row r="160" spans="1:83">
      <c r="A160" s="3">
        <v>41334</v>
      </c>
      <c r="B160" s="3">
        <v>41334</v>
      </c>
      <c r="C160">
        <v>298.55304596792536</v>
      </c>
      <c r="D160">
        <v>120.38239717455886</v>
      </c>
      <c r="E160">
        <v>161.73114850927331</v>
      </c>
      <c r="F160">
        <v>95.799275035140923</v>
      </c>
      <c r="G160">
        <v>119.39746177900969</v>
      </c>
      <c r="H160">
        <v>7133.2999999999993</v>
      </c>
      <c r="I160">
        <v>3812.9000000000005</v>
      </c>
      <c r="J160">
        <v>213.66250248018724</v>
      </c>
      <c r="K160">
        <v>119.05547806424207</v>
      </c>
      <c r="M160">
        <v>158.2188988984924</v>
      </c>
      <c r="O160">
        <v>175.98528919283152</v>
      </c>
      <c r="P160">
        <v>128.04280929323519</v>
      </c>
      <c r="Q160">
        <v>37883.43</v>
      </c>
      <c r="T160">
        <v>136.08417488056875</v>
      </c>
      <c r="U160"/>
      <c r="V160"/>
      <c r="W160"/>
      <c r="X160"/>
      <c r="Y160"/>
      <c r="Z160"/>
      <c r="AA160"/>
      <c r="AB160">
        <v>6331</v>
      </c>
      <c r="AC160">
        <v>28109</v>
      </c>
      <c r="AD160">
        <v>7676.3</v>
      </c>
      <c r="AE160">
        <v>3670.2</v>
      </c>
      <c r="AF160">
        <v>283.05787004388264</v>
      </c>
      <c r="AG160">
        <v>222.88767911147471</v>
      </c>
      <c r="AH160">
        <v>312.67883013851849</v>
      </c>
      <c r="AI160">
        <v>281.76266612691802</v>
      </c>
      <c r="AJ160">
        <v>223.80100807956057</v>
      </c>
      <c r="AK160">
        <v>3044985</v>
      </c>
      <c r="AL160">
        <v>3844133</v>
      </c>
      <c r="AM160">
        <v>9055443</v>
      </c>
      <c r="AN160">
        <v>11078229</v>
      </c>
      <c r="AO160"/>
      <c r="AP160">
        <v>5.5</v>
      </c>
      <c r="AQ160"/>
      <c r="AR160"/>
      <c r="AS160"/>
      <c r="AT160"/>
      <c r="AU160">
        <v>345.45357437853005</v>
      </c>
      <c r="AV160">
        <v>459.75693464118007</v>
      </c>
      <c r="AW160">
        <v>7152364</v>
      </c>
      <c r="AX160">
        <v>2965843</v>
      </c>
      <c r="AY160">
        <v>10.6</v>
      </c>
      <c r="AZ160">
        <v>6.2</v>
      </c>
      <c r="BA160"/>
      <c r="BB160">
        <v>113.29473719168644</v>
      </c>
      <c r="BC160">
        <v>87.086536633812671</v>
      </c>
      <c r="BD160">
        <v>150.84548387096774</v>
      </c>
      <c r="BE160">
        <v>1.2964903225806452</v>
      </c>
      <c r="BF160">
        <v>109.62451612903226</v>
      </c>
      <c r="BG160">
        <v>346.51935483870966</v>
      </c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</row>
    <row r="161" spans="1:83">
      <c r="A161" s="3">
        <v>41365</v>
      </c>
      <c r="B161" s="3">
        <v>41365</v>
      </c>
      <c r="C161">
        <v>288.8075854566448</v>
      </c>
      <c r="D161">
        <v>112.79830615256165</v>
      </c>
      <c r="E161">
        <v>162.05461080629186</v>
      </c>
      <c r="F161">
        <v>83.441168555607746</v>
      </c>
      <c r="G161">
        <v>135.635516580955</v>
      </c>
      <c r="H161">
        <v>6592.4000000000015</v>
      </c>
      <c r="I161">
        <v>3303.2999999999993</v>
      </c>
      <c r="J161">
        <v>286.30775332345087</v>
      </c>
      <c r="K161">
        <v>121.02972644976568</v>
      </c>
      <c r="M161">
        <v>157.26958550510145</v>
      </c>
      <c r="O161">
        <v>200.06027333747471</v>
      </c>
      <c r="P161">
        <v>128.55064129510052</v>
      </c>
      <c r="Q161">
        <v>37199.79</v>
      </c>
      <c r="T161">
        <v>136.17088052353162</v>
      </c>
      <c r="U161"/>
      <c r="V161"/>
      <c r="W161"/>
      <c r="X161"/>
      <c r="Y161"/>
      <c r="Z161"/>
      <c r="AA161"/>
      <c r="AB161">
        <v>5943</v>
      </c>
      <c r="AC161">
        <v>26424</v>
      </c>
      <c r="AD161">
        <v>7944.4</v>
      </c>
      <c r="AE161">
        <v>4264.5</v>
      </c>
      <c r="AF161">
        <v>283.90704365401427</v>
      </c>
      <c r="AG161">
        <v>223.3334544696977</v>
      </c>
      <c r="AH161">
        <v>313.30418779879557</v>
      </c>
      <c r="AI161">
        <v>283.17147945755261</v>
      </c>
      <c r="AJ161">
        <v>224.53955140622315</v>
      </c>
      <c r="AK161">
        <v>2852896</v>
      </c>
      <c r="AL161">
        <v>3884077</v>
      </c>
      <c r="AM161">
        <v>9054066</v>
      </c>
      <c r="AN161">
        <v>11051547</v>
      </c>
      <c r="AO161"/>
      <c r="AP161">
        <v>5.5</v>
      </c>
      <c r="AQ161"/>
      <c r="AR161"/>
      <c r="AS161"/>
      <c r="AT161"/>
      <c r="AU161">
        <v>591.2630297653601</v>
      </c>
      <c r="AV161">
        <v>508.22936878976992</v>
      </c>
      <c r="AW161">
        <v>7207721</v>
      </c>
      <c r="AX161">
        <v>3050911</v>
      </c>
      <c r="AY161">
        <v>10.6</v>
      </c>
      <c r="AZ161">
        <v>6.4</v>
      </c>
      <c r="BA161"/>
      <c r="BB161">
        <v>113.25894193387795</v>
      </c>
      <c r="BC161">
        <v>86.973579663531694</v>
      </c>
      <c r="BD161">
        <v>151.05633333333333</v>
      </c>
      <c r="BE161">
        <v>1.3030833333333334</v>
      </c>
      <c r="BF161">
        <v>103.181</v>
      </c>
      <c r="BG161">
        <v>327.27999999999997</v>
      </c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</row>
    <row r="162" spans="1:83">
      <c r="A162" s="3">
        <v>41395</v>
      </c>
      <c r="B162" s="3">
        <v>41395</v>
      </c>
      <c r="C162">
        <v>282.58909943623735</v>
      </c>
      <c r="D162">
        <v>109.4143569679848</v>
      </c>
      <c r="E162">
        <v>163.83721152516105</v>
      </c>
      <c r="F162">
        <v>71.258757946489027</v>
      </c>
      <c r="G162">
        <v>98.607020554354293</v>
      </c>
      <c r="H162">
        <v>6490.3000000000029</v>
      </c>
      <c r="I162">
        <v>3093.7999999999993</v>
      </c>
      <c r="J162">
        <v>400.83085465283119</v>
      </c>
      <c r="K162">
        <v>142.97692458816564</v>
      </c>
      <c r="M162">
        <v>165.60487353687182</v>
      </c>
      <c r="O162">
        <v>245.34842919317518</v>
      </c>
      <c r="P162">
        <v>132.47335047299902</v>
      </c>
      <c r="Q162">
        <v>38383.14</v>
      </c>
      <c r="T162">
        <v>136.45034962647691</v>
      </c>
      <c r="U162"/>
      <c r="V162"/>
      <c r="W162"/>
      <c r="X162"/>
      <c r="Y162"/>
      <c r="Z162"/>
      <c r="AA162"/>
      <c r="AB162">
        <v>5871</v>
      </c>
      <c r="AC162">
        <v>28356</v>
      </c>
      <c r="AD162">
        <v>7043.2</v>
      </c>
      <c r="AE162">
        <v>4218.3999999999996</v>
      </c>
      <c r="AF162">
        <v>284.4748577413223</v>
      </c>
      <c r="AG162">
        <v>223.55678792416737</v>
      </c>
      <c r="AH162">
        <v>313.93079617439315</v>
      </c>
      <c r="AI162">
        <v>284.02099389592524</v>
      </c>
      <c r="AJ162">
        <v>224.92126864361373</v>
      </c>
      <c r="AK162">
        <v>3038715</v>
      </c>
      <c r="AL162">
        <v>3811101</v>
      </c>
      <c r="AM162">
        <v>9217374</v>
      </c>
      <c r="AN162">
        <v>11318411</v>
      </c>
      <c r="AO162"/>
      <c r="AP162">
        <v>5.5</v>
      </c>
      <c r="AQ162"/>
      <c r="AR162"/>
      <c r="AS162"/>
      <c r="AT162"/>
      <c r="AU162">
        <v>531.60662411150008</v>
      </c>
      <c r="AV162">
        <v>559.69942529671994</v>
      </c>
      <c r="AW162">
        <v>7234645</v>
      </c>
      <c r="AX162">
        <v>3138983</v>
      </c>
      <c r="AY162">
        <v>10.9</v>
      </c>
      <c r="AZ162">
        <v>6.4</v>
      </c>
      <c r="BA162"/>
      <c r="BB162">
        <v>113.46752339073052</v>
      </c>
      <c r="BC162">
        <v>87.042023762941639</v>
      </c>
      <c r="BD162">
        <v>151.05387096774194</v>
      </c>
      <c r="BE162">
        <v>1.2975451612903226</v>
      </c>
      <c r="BF162">
        <v>103.42322580645161</v>
      </c>
      <c r="BG162">
        <v>330.45967741935482</v>
      </c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</row>
    <row r="163" spans="1:83">
      <c r="A163" s="3">
        <v>41426</v>
      </c>
      <c r="B163" s="3">
        <v>41426</v>
      </c>
      <c r="C163">
        <v>284.97572017322125</v>
      </c>
      <c r="D163">
        <v>115.32273224425599</v>
      </c>
      <c r="E163">
        <v>157.11988585262944</v>
      </c>
      <c r="F163">
        <v>61.638825623713011</v>
      </c>
      <c r="G163">
        <v>83.520146409538086</v>
      </c>
      <c r="H163">
        <v>6701.6999999999971</v>
      </c>
      <c r="I163">
        <v>3489.7999999999993</v>
      </c>
      <c r="J163">
        <v>490.61696609506544</v>
      </c>
      <c r="K163">
        <v>201.66093130962668</v>
      </c>
      <c r="M163">
        <v>170.07620512236736</v>
      </c>
      <c r="O163">
        <v>272.37269930409059</v>
      </c>
      <c r="P163">
        <v>142.26089472326646</v>
      </c>
      <c r="Q163">
        <v>39904</v>
      </c>
      <c r="T163">
        <v>138.57284106374686</v>
      </c>
      <c r="U163"/>
      <c r="V163"/>
      <c r="W163"/>
      <c r="X163"/>
      <c r="Y163"/>
      <c r="Z163"/>
      <c r="AA163"/>
      <c r="AB163">
        <v>5064</v>
      </c>
      <c r="AC163">
        <v>26118</v>
      </c>
      <c r="AD163">
        <v>7038.7</v>
      </c>
      <c r="AE163">
        <v>4299.1000000000004</v>
      </c>
      <c r="AF163">
        <v>285.32828231454624</v>
      </c>
      <c r="AG163">
        <v>224.0039015000157</v>
      </c>
      <c r="AH163">
        <v>314.24472697056751</v>
      </c>
      <c r="AI163">
        <v>285.44109886540485</v>
      </c>
      <c r="AJ163">
        <v>225.39360330776532</v>
      </c>
      <c r="AK163">
        <v>3094682</v>
      </c>
      <c r="AL163">
        <v>3973997</v>
      </c>
      <c r="AM163">
        <v>9142394</v>
      </c>
      <c r="AN163">
        <v>11578872</v>
      </c>
      <c r="AO163"/>
      <c r="AP163">
        <v>5.5</v>
      </c>
      <c r="AQ163"/>
      <c r="AR163"/>
      <c r="AS163"/>
      <c r="AT163"/>
      <c r="AU163">
        <v>521.11127831242982</v>
      </c>
      <c r="AV163">
        <v>654.11950251560006</v>
      </c>
      <c r="AW163">
        <v>7324039</v>
      </c>
      <c r="AX163">
        <v>3220945</v>
      </c>
      <c r="AY163">
        <v>10.3</v>
      </c>
      <c r="AZ163">
        <v>6.1</v>
      </c>
      <c r="BA163"/>
      <c r="BB163">
        <v>113.48926668178194</v>
      </c>
      <c r="BC163">
        <v>86.907967038444625</v>
      </c>
      <c r="BD163">
        <v>151.49166666666667</v>
      </c>
      <c r="BE163">
        <v>1.31796</v>
      </c>
      <c r="BF163">
        <v>103.15733333333333</v>
      </c>
      <c r="BG163">
        <v>318.05166666666668</v>
      </c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</row>
    <row r="164" spans="1:83">
      <c r="A164" s="3">
        <v>41456</v>
      </c>
      <c r="B164" s="3">
        <v>41456</v>
      </c>
      <c r="C164">
        <v>276.30327912066036</v>
      </c>
      <c r="D164">
        <v>121.43483705320155</v>
      </c>
      <c r="E164">
        <v>127.10998765477721</v>
      </c>
      <c r="F164">
        <v>60.097854983120186</v>
      </c>
      <c r="G164">
        <v>65.813875370716005</v>
      </c>
      <c r="H164">
        <v>7052.3000000000029</v>
      </c>
      <c r="I164">
        <v>3639.5</v>
      </c>
      <c r="J164">
        <v>403.28714613014381</v>
      </c>
      <c r="K164">
        <v>188.10984818116918</v>
      </c>
      <c r="M164">
        <v>173.30765301969234</v>
      </c>
      <c r="O164">
        <v>277.88057518735019</v>
      </c>
      <c r="P164">
        <v>140.56817935656787</v>
      </c>
      <c r="Q164">
        <v>42843</v>
      </c>
      <c r="T164">
        <v>142.05657820828762</v>
      </c>
      <c r="U164"/>
      <c r="V164"/>
      <c r="W164"/>
      <c r="X164"/>
      <c r="Y164"/>
      <c r="Z164"/>
      <c r="AA164"/>
      <c r="AB164">
        <v>5650</v>
      </c>
      <c r="AC164">
        <v>25469</v>
      </c>
      <c r="AD164">
        <v>7191.1</v>
      </c>
      <c r="AE164">
        <v>4382.5</v>
      </c>
      <c r="AF164">
        <v>285.89893887917532</v>
      </c>
      <c r="AG164">
        <v>224.22790540151573</v>
      </c>
      <c r="AH164">
        <v>314.55897169753808</v>
      </c>
      <c r="AI164">
        <v>286.29742216200106</v>
      </c>
      <c r="AJ164">
        <v>225.86692987471162</v>
      </c>
      <c r="AK164">
        <v>3109197</v>
      </c>
      <c r="AL164">
        <v>3748696</v>
      </c>
      <c r="AM164">
        <v>9015157</v>
      </c>
      <c r="AN164">
        <v>11681691</v>
      </c>
      <c r="AO164"/>
      <c r="AP164">
        <v>5.5</v>
      </c>
      <c r="AQ164"/>
      <c r="AR164"/>
      <c r="AS164"/>
      <c r="AT164"/>
      <c r="AU164">
        <v>603.68827503762998</v>
      </c>
      <c r="AV164">
        <v>563.12719607808026</v>
      </c>
      <c r="AW164">
        <v>7386625</v>
      </c>
      <c r="AX164">
        <v>3321067</v>
      </c>
      <c r="AY164">
        <v>10.4</v>
      </c>
      <c r="AZ164">
        <v>6</v>
      </c>
      <c r="BA164"/>
      <c r="BB164">
        <v>113.82167235770989</v>
      </c>
      <c r="BC164">
        <v>86.913515094341918</v>
      </c>
      <c r="BD164">
        <v>152.7048387096774</v>
      </c>
      <c r="BE164">
        <v>1.3090903225806452</v>
      </c>
      <c r="BF164">
        <v>107.56</v>
      </c>
      <c r="BG164">
        <v>313.94677419354838</v>
      </c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</row>
    <row r="165" spans="1:83">
      <c r="A165" s="3">
        <v>41487</v>
      </c>
      <c r="B165" s="3">
        <v>41487</v>
      </c>
      <c r="C165">
        <v>291.80391237102549</v>
      </c>
      <c r="D165">
        <v>118.64183580097792</v>
      </c>
      <c r="E165">
        <v>154.43863500055431</v>
      </c>
      <c r="F165">
        <v>61.420007792748827</v>
      </c>
      <c r="G165">
        <v>91.810356142148834</v>
      </c>
      <c r="H165">
        <v>6531.8999999999942</v>
      </c>
      <c r="I165">
        <v>3385.6000000000022</v>
      </c>
      <c r="J165">
        <v>498.46291261685769</v>
      </c>
      <c r="K165">
        <v>340.99807962194888</v>
      </c>
      <c r="M165">
        <v>183.5328045478542</v>
      </c>
      <c r="O165">
        <v>278.73311841491773</v>
      </c>
      <c r="P165">
        <v>150.82455196566616</v>
      </c>
      <c r="Q165">
        <v>43178.78</v>
      </c>
      <c r="T165">
        <v>139.84950624980084</v>
      </c>
      <c r="U165"/>
      <c r="V165"/>
      <c r="W165"/>
      <c r="X165"/>
      <c r="Y165"/>
      <c r="Z165"/>
      <c r="AA165"/>
      <c r="AB165">
        <v>6082</v>
      </c>
      <c r="AC165">
        <v>25834</v>
      </c>
      <c r="AD165">
        <v>7551.6</v>
      </c>
      <c r="AE165">
        <v>4076</v>
      </c>
      <c r="AF165">
        <v>286.47073675693372</v>
      </c>
      <c r="AG165">
        <v>224.90058911772027</v>
      </c>
      <c r="AH165">
        <v>314.55897169753808</v>
      </c>
      <c r="AI165">
        <v>287.72890927281105</v>
      </c>
      <c r="AJ165">
        <v>226.63487743628565</v>
      </c>
      <c r="AK165">
        <v>2906042</v>
      </c>
      <c r="AL165">
        <v>3505672</v>
      </c>
      <c r="AM165">
        <v>8597672</v>
      </c>
      <c r="AN165">
        <v>11350572</v>
      </c>
      <c r="AO165"/>
      <c r="AP165">
        <v>5.5</v>
      </c>
      <c r="AQ165"/>
      <c r="AR165"/>
      <c r="AS165"/>
      <c r="AT165"/>
      <c r="AU165">
        <v>545.28785262068038</v>
      </c>
      <c r="AV165">
        <v>561.22783023883028</v>
      </c>
      <c r="AW165">
        <v>7412783</v>
      </c>
      <c r="AX165">
        <v>3369994</v>
      </c>
      <c r="AY165">
        <v>10.9</v>
      </c>
      <c r="AZ165">
        <v>6.2</v>
      </c>
      <c r="BA165"/>
      <c r="BB165">
        <v>112.86711061318316</v>
      </c>
      <c r="BC165">
        <v>86.100689311760377</v>
      </c>
      <c r="BD165">
        <v>152.95967741935485</v>
      </c>
      <c r="BE165">
        <v>1.3319064516129031</v>
      </c>
      <c r="BF165">
        <v>110.35838709677419</v>
      </c>
      <c r="BG165">
        <v>328.28870967741938</v>
      </c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</row>
    <row r="166" spans="1:83">
      <c r="A166" s="3">
        <v>41518</v>
      </c>
      <c r="B166" s="3">
        <v>41518</v>
      </c>
      <c r="C166">
        <v>277.60104237956551</v>
      </c>
      <c r="D166">
        <v>107.72678690728794</v>
      </c>
      <c r="E166">
        <v>156.75521452556262</v>
      </c>
      <c r="F166">
        <v>57.550547301805658</v>
      </c>
      <c r="G166">
        <v>126.79010183230754</v>
      </c>
      <c r="H166">
        <v>6565.7000000000044</v>
      </c>
      <c r="I166">
        <v>3064.7999999999993</v>
      </c>
      <c r="J166">
        <v>529.86607611171974</v>
      </c>
      <c r="K166">
        <v>1515.7612193111479</v>
      </c>
      <c r="M166">
        <v>182.24807491601922</v>
      </c>
      <c r="O166">
        <v>314.94660462165808</v>
      </c>
      <c r="P166">
        <v>180.96297785356433</v>
      </c>
      <c r="Q166">
        <v>43734.06</v>
      </c>
      <c r="T166">
        <v>136.85866138698537</v>
      </c>
      <c r="U166"/>
      <c r="V166"/>
      <c r="W166"/>
      <c r="X166"/>
      <c r="Y166"/>
      <c r="Z166"/>
      <c r="AA166"/>
      <c r="AB166">
        <v>5885</v>
      </c>
      <c r="AC166">
        <v>24159</v>
      </c>
      <c r="AD166">
        <v>5320.1</v>
      </c>
      <c r="AE166">
        <v>4245.5</v>
      </c>
      <c r="AF166">
        <v>287.0436782304476</v>
      </c>
      <c r="AG166">
        <v>225.35039029595572</v>
      </c>
      <c r="AH166">
        <v>313.92985375414304</v>
      </c>
      <c r="AI166">
        <v>289.45528272844791</v>
      </c>
      <c r="AJ166">
        <v>227.63207089700529</v>
      </c>
      <c r="AK166">
        <v>2781820</v>
      </c>
      <c r="AL166">
        <v>3640006</v>
      </c>
      <c r="AM166">
        <v>8767001</v>
      </c>
      <c r="AN166">
        <v>11558265</v>
      </c>
      <c r="AO166"/>
      <c r="AP166">
        <v>5.5</v>
      </c>
      <c r="AQ166"/>
      <c r="AR166"/>
      <c r="AS166"/>
      <c r="AT166"/>
      <c r="AU166">
        <v>522.43251640971005</v>
      </c>
      <c r="AV166">
        <v>635.39306841082964</v>
      </c>
      <c r="AW166">
        <v>7487367</v>
      </c>
      <c r="AX166">
        <v>3448322</v>
      </c>
      <c r="AY166">
        <v>10.5</v>
      </c>
      <c r="AZ166">
        <v>5.9</v>
      </c>
      <c r="BA166"/>
      <c r="BB166">
        <v>112.12849657173179</v>
      </c>
      <c r="BC166">
        <v>85.832661380056024</v>
      </c>
      <c r="BD166">
        <v>153.35666666666665</v>
      </c>
      <c r="BE166">
        <v>1.3361700000000001</v>
      </c>
      <c r="BF166">
        <v>111.462</v>
      </c>
      <c r="BG166">
        <v>327.21833333333331</v>
      </c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</row>
    <row r="167" spans="1:83">
      <c r="A167" s="3">
        <v>41548</v>
      </c>
      <c r="B167" s="3">
        <v>41548</v>
      </c>
      <c r="C167">
        <v>305.49804796491634</v>
      </c>
      <c r="D167">
        <v>126.25579425534148</v>
      </c>
      <c r="E167">
        <v>162.39840224848288</v>
      </c>
      <c r="F167">
        <v>67.276589795810821</v>
      </c>
      <c r="G167">
        <v>146.06219731081828</v>
      </c>
      <c r="H167">
        <v>7161.2000000000044</v>
      </c>
      <c r="I167">
        <v>3782.5</v>
      </c>
      <c r="J167">
        <v>366.13745859319829</v>
      </c>
      <c r="K167">
        <v>796.08952986282736</v>
      </c>
      <c r="M167">
        <v>185.34629218959154</v>
      </c>
      <c r="O167">
        <v>284.41623804305158</v>
      </c>
      <c r="P167">
        <v>165.18357353440658</v>
      </c>
      <c r="Q167">
        <v>45852.19</v>
      </c>
      <c r="T167">
        <v>138.79320136705263</v>
      </c>
      <c r="U167"/>
      <c r="V167"/>
      <c r="W167"/>
      <c r="X167"/>
      <c r="Y167"/>
      <c r="Z167"/>
      <c r="AA167"/>
      <c r="AB167">
        <v>5980</v>
      </c>
      <c r="AC167">
        <v>23697</v>
      </c>
      <c r="AD167">
        <v>8512.2999999999993</v>
      </c>
      <c r="AE167">
        <v>4384.7</v>
      </c>
      <c r="AF167">
        <v>287.90480926513897</v>
      </c>
      <c r="AG167">
        <v>226.25179185713952</v>
      </c>
      <c r="AH167">
        <v>314.5577134616513</v>
      </c>
      <c r="AI167">
        <v>290.03419329390476</v>
      </c>
      <c r="AJ167">
        <v>228.40601993805512</v>
      </c>
      <c r="AK167">
        <v>2776294</v>
      </c>
      <c r="AL167">
        <v>3489379</v>
      </c>
      <c r="AM167">
        <v>8845021</v>
      </c>
      <c r="AN167">
        <v>11680146</v>
      </c>
      <c r="AO167"/>
      <c r="AP167">
        <v>5.5</v>
      </c>
      <c r="AQ167"/>
      <c r="AR167"/>
      <c r="AS167"/>
      <c r="AT167"/>
      <c r="AU167">
        <v>418.36643737699001</v>
      </c>
      <c r="AV167">
        <v>562.28552622278039</v>
      </c>
      <c r="AW167">
        <v>7523619</v>
      </c>
      <c r="AX167">
        <v>3516815</v>
      </c>
      <c r="AY167">
        <v>10.6</v>
      </c>
      <c r="AZ167">
        <v>5.8</v>
      </c>
      <c r="BA167"/>
      <c r="BB167">
        <v>109.83208393190134</v>
      </c>
      <c r="BC167">
        <v>83.992361751326513</v>
      </c>
      <c r="BD167">
        <v>154.0225806451613</v>
      </c>
      <c r="BE167">
        <v>1.3641225806451613</v>
      </c>
      <c r="BF167">
        <v>109.43064516129033</v>
      </c>
      <c r="BG167">
        <v>328.70806451612901</v>
      </c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</row>
    <row r="168" spans="1:83">
      <c r="A168" s="3">
        <v>41579</v>
      </c>
      <c r="B168" s="3">
        <v>41579</v>
      </c>
      <c r="C168">
        <v>305.00441878608342</v>
      </c>
      <c r="D168">
        <v>124.99323631278807</v>
      </c>
      <c r="E168">
        <v>164.67197987996167</v>
      </c>
      <c r="F168">
        <v>84.095737244763527</v>
      </c>
      <c r="G168">
        <v>140.51183381300717</v>
      </c>
      <c r="H168">
        <v>6963.2999999999884</v>
      </c>
      <c r="I168">
        <v>3401.0999999999985</v>
      </c>
      <c r="J168">
        <v>537.12365175622188</v>
      </c>
      <c r="K168">
        <v>285.69642934033112</v>
      </c>
      <c r="M168">
        <v>199.06191781162133</v>
      </c>
      <c r="O168">
        <v>329.38962272563907</v>
      </c>
      <c r="P168">
        <v>178.91332521576649</v>
      </c>
      <c r="Q168">
        <v>46498.01</v>
      </c>
      <c r="T168">
        <v>138.72252415395519</v>
      </c>
      <c r="U168"/>
      <c r="V168"/>
      <c r="W168"/>
      <c r="X168"/>
      <c r="Y168"/>
      <c r="Z168"/>
      <c r="AA168"/>
      <c r="AB168">
        <v>5658</v>
      </c>
      <c r="AC168">
        <v>24095</v>
      </c>
      <c r="AD168">
        <v>7252.4</v>
      </c>
      <c r="AE168">
        <v>4509.2</v>
      </c>
      <c r="AF168">
        <v>289.34433331146465</v>
      </c>
      <c r="AG168">
        <v>227.1567990245681</v>
      </c>
      <c r="AH168">
        <v>316.7596174558829</v>
      </c>
      <c r="AI168">
        <v>291.19433006708044</v>
      </c>
      <c r="AJ168">
        <v>229.50236883375777</v>
      </c>
      <c r="AK168">
        <v>2609637</v>
      </c>
      <c r="AL168">
        <v>3312367</v>
      </c>
      <c r="AM168">
        <v>8553673</v>
      </c>
      <c r="AN168">
        <v>11339404</v>
      </c>
      <c r="AO168"/>
      <c r="AP168">
        <v>5.5</v>
      </c>
      <c r="AQ168"/>
      <c r="AR168"/>
      <c r="AS168"/>
      <c r="AT168"/>
      <c r="AU168">
        <v>559.0278669737894</v>
      </c>
      <c r="AV168">
        <v>582.31234029833968</v>
      </c>
      <c r="AW168">
        <v>7670754</v>
      </c>
      <c r="AX168">
        <v>3580702</v>
      </c>
      <c r="AY168">
        <v>10.8</v>
      </c>
      <c r="AZ168">
        <v>6.8</v>
      </c>
      <c r="BA168"/>
      <c r="BB168">
        <v>111.81212805565718</v>
      </c>
      <c r="BC168">
        <v>85.085778351868072</v>
      </c>
      <c r="BD168">
        <v>153.50966666666665</v>
      </c>
      <c r="BE168">
        <v>1.3495200000000001</v>
      </c>
      <c r="BF168">
        <v>107.89433333333334</v>
      </c>
      <c r="BG168">
        <v>321.94</v>
      </c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</row>
    <row r="169" spans="1:83">
      <c r="A169" s="3">
        <v>41609</v>
      </c>
      <c r="B169" s="3">
        <v>41609</v>
      </c>
      <c r="C169">
        <v>302.76608632147469</v>
      </c>
      <c r="D169">
        <v>131.11790489211469</v>
      </c>
      <c r="E169">
        <v>149.35748575112524</v>
      </c>
      <c r="F169">
        <v>94.607704400358955</v>
      </c>
      <c r="G169">
        <v>141.35490481588519</v>
      </c>
      <c r="H169">
        <v>7090.5</v>
      </c>
      <c r="I169">
        <v>3825.5</v>
      </c>
      <c r="J169">
        <v>658.51359705312802</v>
      </c>
      <c r="K169">
        <v>349.65968155872702</v>
      </c>
      <c r="M169">
        <v>252.6095737029475</v>
      </c>
      <c r="O169">
        <v>440.80014489371291</v>
      </c>
      <c r="P169">
        <v>180.29693216436476</v>
      </c>
      <c r="Q169">
        <v>46966.400000000001</v>
      </c>
      <c r="T169">
        <v>158.02872075516643</v>
      </c>
      <c r="U169"/>
      <c r="V169"/>
      <c r="W169"/>
      <c r="X169"/>
      <c r="Y169"/>
      <c r="Z169"/>
      <c r="AA169"/>
      <c r="AB169">
        <v>5551</v>
      </c>
      <c r="AC169">
        <v>24715</v>
      </c>
      <c r="AD169">
        <v>6201.3</v>
      </c>
      <c r="AE169">
        <v>4587.3</v>
      </c>
      <c r="AF169">
        <v>291.36974364464493</v>
      </c>
      <c r="AG169">
        <v>228.74689661774013</v>
      </c>
      <c r="AH169">
        <v>319.29369439552994</v>
      </c>
      <c r="AI169">
        <v>292.65030171741586</v>
      </c>
      <c r="AJ169">
        <v>230.90233328364369</v>
      </c>
      <c r="AK169">
        <v>2825961</v>
      </c>
      <c r="AL169">
        <v>3518418</v>
      </c>
      <c r="AM169">
        <v>8677614</v>
      </c>
      <c r="AN169">
        <v>11598118</v>
      </c>
      <c r="AO169"/>
      <c r="AP169">
        <v>5.5</v>
      </c>
      <c r="AQ169"/>
      <c r="AR169"/>
      <c r="AS169"/>
      <c r="AT169"/>
      <c r="AU169">
        <v>585.10338461966069</v>
      </c>
      <c r="AV169">
        <v>868.97510693986999</v>
      </c>
      <c r="AW169">
        <v>7665412</v>
      </c>
      <c r="AX169">
        <v>3626137</v>
      </c>
      <c r="AY169">
        <v>10</v>
      </c>
      <c r="AZ169">
        <v>6.3</v>
      </c>
      <c r="BA169"/>
      <c r="BB169">
        <v>111.22433357323325</v>
      </c>
      <c r="BC169">
        <v>84.336616603874504</v>
      </c>
      <c r="BD169">
        <v>154.11645161290323</v>
      </c>
      <c r="BE169">
        <v>1.3703129032258066</v>
      </c>
      <c r="BF169">
        <v>110.81</v>
      </c>
      <c r="BG169">
        <v>334.25645161290322</v>
      </c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</row>
    <row r="170" spans="1:83">
      <c r="A170" s="3">
        <v>41640</v>
      </c>
      <c r="B170" s="3">
        <v>41640</v>
      </c>
      <c r="C170">
        <v>256.22817138778578</v>
      </c>
      <c r="D170">
        <v>111.50660434636868</v>
      </c>
      <c r="E170">
        <v>141.74025397781787</v>
      </c>
      <c r="F170">
        <v>109.74493710441638</v>
      </c>
      <c r="G170">
        <v>85.519717413610536</v>
      </c>
      <c r="H170">
        <v>6994.9</v>
      </c>
      <c r="I170">
        <v>3697.7</v>
      </c>
      <c r="J170">
        <v>123.80055624598808</v>
      </c>
      <c r="K170">
        <v>106.19355370421043</v>
      </c>
      <c r="L170">
        <v>100</v>
      </c>
      <c r="M170">
        <v>170.53978011397291</v>
      </c>
      <c r="O170">
        <v>114.70393487678628</v>
      </c>
      <c r="P170">
        <v>127.600530273846</v>
      </c>
      <c r="Q170">
        <v>39991.49</v>
      </c>
      <c r="T170">
        <v>134.78521742370975</v>
      </c>
      <c r="U170"/>
      <c r="V170"/>
      <c r="W170"/>
      <c r="X170"/>
      <c r="Y170"/>
      <c r="Z170"/>
      <c r="AA170"/>
      <c r="AB170">
        <v>5822</v>
      </c>
      <c r="AC170">
        <v>24519</v>
      </c>
      <c r="AD170">
        <v>7979</v>
      </c>
      <c r="AE170">
        <v>2667.8</v>
      </c>
      <c r="AF170">
        <v>293.11796210651278</v>
      </c>
      <c r="AG170">
        <v>229.43313730759334</v>
      </c>
      <c r="AH170">
        <v>320.89016286750757</v>
      </c>
      <c r="AI170">
        <v>295.57680473459004</v>
      </c>
      <c r="AJ170">
        <v>232.10302541671865</v>
      </c>
      <c r="AK170">
        <v>2861003</v>
      </c>
      <c r="AL170">
        <v>3489766</v>
      </c>
      <c r="AM170">
        <v>8852992</v>
      </c>
      <c r="AN170">
        <v>11882162</v>
      </c>
      <c r="AO170"/>
      <c r="AP170">
        <v>5.5</v>
      </c>
      <c r="AQ170"/>
      <c r="AR170"/>
      <c r="AS170"/>
      <c r="AT170"/>
      <c r="AU170">
        <v>425.85575657076998</v>
      </c>
      <c r="AV170">
        <v>392.50622429028999</v>
      </c>
      <c r="AW170">
        <v>7664206</v>
      </c>
      <c r="AX170">
        <v>3650768</v>
      </c>
      <c r="AY170">
        <v>10.5</v>
      </c>
      <c r="AZ170">
        <v>6.4</v>
      </c>
      <c r="BA170"/>
      <c r="BB170">
        <v>112.2846905717999</v>
      </c>
      <c r="BC170">
        <v>84.594671293581726</v>
      </c>
      <c r="BD170">
        <v>154.92870967741936</v>
      </c>
      <c r="BE170">
        <v>1.3621838709677418</v>
      </c>
      <c r="BF170">
        <v>107.23516129032258</v>
      </c>
      <c r="BG170">
        <v>332.10645161290324</v>
      </c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</row>
    <row r="171" spans="1:83">
      <c r="A171" s="3">
        <v>41671</v>
      </c>
      <c r="B171" s="3">
        <v>41671</v>
      </c>
      <c r="C171">
        <v>254.55236631362874</v>
      </c>
      <c r="D171">
        <v>102.55573557205452</v>
      </c>
      <c r="E171">
        <v>143.86635778748513</v>
      </c>
      <c r="F171">
        <v>99.319168079496833</v>
      </c>
      <c r="G171">
        <v>102.02502287443737</v>
      </c>
      <c r="H171">
        <v>6251.2000000000007</v>
      </c>
      <c r="I171">
        <v>3350.4000000000005</v>
      </c>
      <c r="J171">
        <v>162.42632979473635</v>
      </c>
      <c r="K171">
        <v>102.79077935421641</v>
      </c>
      <c r="L171">
        <v>94.3</v>
      </c>
      <c r="M171">
        <v>160.84372855763789</v>
      </c>
      <c r="O171">
        <v>142.91191966045179</v>
      </c>
      <c r="P171">
        <v>119.59094196950062</v>
      </c>
      <c r="Q171">
        <v>39444.730000000003</v>
      </c>
      <c r="T171">
        <v>132.77689138591418</v>
      </c>
      <c r="U171"/>
      <c r="V171"/>
      <c r="W171"/>
      <c r="X171"/>
      <c r="Y171"/>
      <c r="Z171"/>
      <c r="AA171"/>
      <c r="AB171">
        <v>6282</v>
      </c>
      <c r="AC171">
        <v>26051</v>
      </c>
      <c r="AD171">
        <v>7933.3</v>
      </c>
      <c r="AE171">
        <v>2781</v>
      </c>
      <c r="AF171">
        <v>298.10096746232352</v>
      </c>
      <c r="AG171">
        <v>233.79236691643763</v>
      </c>
      <c r="AH171">
        <v>325.70351531052017</v>
      </c>
      <c r="AI171">
        <v>300.60161041507808</v>
      </c>
      <c r="AJ171">
        <v>235.49172958780272</v>
      </c>
      <c r="AK171">
        <v>3240023</v>
      </c>
      <c r="AL171">
        <v>3345979</v>
      </c>
      <c r="AM171">
        <v>8885360</v>
      </c>
      <c r="AN171">
        <v>12432486</v>
      </c>
      <c r="AO171"/>
      <c r="AP171">
        <v>5.5</v>
      </c>
      <c r="AQ171"/>
      <c r="AR171"/>
      <c r="AS171"/>
      <c r="AT171"/>
      <c r="AU171">
        <v>706.64506441398009</v>
      </c>
      <c r="AV171">
        <v>587.67321205552992</v>
      </c>
      <c r="AW171">
        <v>8279812</v>
      </c>
      <c r="AX171">
        <v>3789564</v>
      </c>
      <c r="AY171">
        <v>10.199999999999999</v>
      </c>
      <c r="AZ171">
        <v>6.9</v>
      </c>
      <c r="BA171"/>
      <c r="BB171">
        <v>102.96754930322989</v>
      </c>
      <c r="BC171">
        <v>76.527639016033007</v>
      </c>
      <c r="BD171">
        <v>174.2475</v>
      </c>
      <c r="BE171">
        <v>1.3661285714285714</v>
      </c>
      <c r="BF171">
        <v>108.80357142857143</v>
      </c>
      <c r="BG171">
        <v>324.53392857142859</v>
      </c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</row>
    <row r="172" spans="1:83">
      <c r="A172" s="3">
        <v>41699</v>
      </c>
      <c r="B172" s="3">
        <v>41699</v>
      </c>
      <c r="C172">
        <v>295.56751550824612</v>
      </c>
      <c r="D172">
        <v>119.29895559998782</v>
      </c>
      <c r="E172">
        <v>159.40392442853351</v>
      </c>
      <c r="F172">
        <v>98.623933902940351</v>
      </c>
      <c r="G172">
        <v>118.85915164871953</v>
      </c>
      <c r="H172">
        <v>6941.9999999999982</v>
      </c>
      <c r="I172">
        <v>3812.8999999999996</v>
      </c>
      <c r="J172">
        <v>221.71194016981511</v>
      </c>
      <c r="K172">
        <v>127.22743837966853</v>
      </c>
      <c r="L172">
        <v>110.80249999999999</v>
      </c>
      <c r="M172">
        <v>171.50928640596575</v>
      </c>
      <c r="O172">
        <v>181.44083315780929</v>
      </c>
      <c r="P172">
        <v>130.6036654790999</v>
      </c>
      <c r="Q172">
        <v>41797.82</v>
      </c>
      <c r="T172">
        <v>139.72584459423891</v>
      </c>
      <c r="U172"/>
      <c r="V172"/>
      <c r="W172"/>
      <c r="X172"/>
      <c r="Y172"/>
      <c r="Z172"/>
      <c r="AA172"/>
      <c r="AB172">
        <v>6186</v>
      </c>
      <c r="AC172">
        <v>26516</v>
      </c>
      <c r="AD172">
        <v>7045</v>
      </c>
      <c r="AE172">
        <v>2964.4</v>
      </c>
      <c r="AF172">
        <v>301.08197713694676</v>
      </c>
      <c r="AG172">
        <v>236.13029058560201</v>
      </c>
      <c r="AH172">
        <v>329.9376610095569</v>
      </c>
      <c r="AI172">
        <v>302.10461846715344</v>
      </c>
      <c r="AJ172">
        <v>237.32856507858759</v>
      </c>
      <c r="AK172">
        <v>3408022</v>
      </c>
      <c r="AL172">
        <v>3461744</v>
      </c>
      <c r="AM172">
        <v>8929836</v>
      </c>
      <c r="AN172">
        <v>12796182</v>
      </c>
      <c r="AO172"/>
      <c r="AP172">
        <v>5.5</v>
      </c>
      <c r="AQ172"/>
      <c r="AR172"/>
      <c r="AS172"/>
      <c r="AT172"/>
      <c r="AU172">
        <v>608.51361218286002</v>
      </c>
      <c r="AV172">
        <v>581.98127116758997</v>
      </c>
      <c r="AW172">
        <v>8310467</v>
      </c>
      <c r="AX172">
        <v>3856146</v>
      </c>
      <c r="AY172">
        <v>10.7</v>
      </c>
      <c r="AZ172">
        <v>6.7</v>
      </c>
      <c r="BA172"/>
      <c r="BB172">
        <v>98.981915615540373</v>
      </c>
      <c r="BC172">
        <v>73.430634598588284</v>
      </c>
      <c r="BD172">
        <v>182.43</v>
      </c>
      <c r="BE172">
        <v>1.3826193548387096</v>
      </c>
      <c r="BF172">
        <v>107.93451612903226</v>
      </c>
      <c r="BG172">
        <v>307.64032258064515</v>
      </c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</row>
    <row r="173" spans="1:83">
      <c r="A173" s="3">
        <v>41730</v>
      </c>
      <c r="B173" s="3">
        <v>41730</v>
      </c>
      <c r="C173">
        <v>290.54043096938466</v>
      </c>
      <c r="D173">
        <v>114.26468413254496</v>
      </c>
      <c r="E173">
        <v>161.47617544610443</v>
      </c>
      <c r="F173">
        <v>84.422087420916938</v>
      </c>
      <c r="G173">
        <v>133.47882730151204</v>
      </c>
      <c r="H173">
        <v>6746.1000000000022</v>
      </c>
      <c r="I173">
        <v>3589.5</v>
      </c>
      <c r="J173">
        <v>315.71780280181673</v>
      </c>
      <c r="K173">
        <v>125.54378167205634</v>
      </c>
      <c r="L173">
        <v>117.67225500000001</v>
      </c>
      <c r="M173">
        <v>174.41197032515754</v>
      </c>
      <c r="O173">
        <v>205.06178017091159</v>
      </c>
      <c r="P173">
        <v>132.40716053395354</v>
      </c>
      <c r="Q173">
        <v>42452.21</v>
      </c>
      <c r="T173">
        <v>141.12816479175808</v>
      </c>
      <c r="U173"/>
      <c r="V173"/>
      <c r="W173"/>
      <c r="X173"/>
      <c r="Y173"/>
      <c r="Z173"/>
      <c r="AA173"/>
      <c r="AB173">
        <v>6290</v>
      </c>
      <c r="AC173">
        <v>28407</v>
      </c>
      <c r="AD173">
        <v>6654.4</v>
      </c>
      <c r="AE173">
        <v>3697.4</v>
      </c>
      <c r="AF173">
        <v>302.88846899976841</v>
      </c>
      <c r="AG173">
        <v>237.54707232911562</v>
      </c>
      <c r="AH173">
        <v>333.23703761965248</v>
      </c>
      <c r="AI173">
        <v>302.70882770408775</v>
      </c>
      <c r="AJ173">
        <v>238.5152079039805</v>
      </c>
      <c r="AK173">
        <v>3633316</v>
      </c>
      <c r="AL173">
        <v>3559615</v>
      </c>
      <c r="AM173">
        <v>8958985</v>
      </c>
      <c r="AN173">
        <v>12782103</v>
      </c>
      <c r="AO173"/>
      <c r="AP173">
        <v>5.5</v>
      </c>
      <c r="AQ173"/>
      <c r="AR173"/>
      <c r="AS173"/>
      <c r="AT173"/>
      <c r="AU173">
        <v>680.01990689602985</v>
      </c>
      <c r="AV173">
        <v>586.02366322580008</v>
      </c>
      <c r="AW173">
        <v>8318990</v>
      </c>
      <c r="AX173">
        <v>3910645</v>
      </c>
      <c r="AY173">
        <v>10.8</v>
      </c>
      <c r="AZ173">
        <v>7.9</v>
      </c>
      <c r="BA173"/>
      <c r="BB173">
        <v>99.610303358646036</v>
      </c>
      <c r="BC173">
        <v>73.797197688534126</v>
      </c>
      <c r="BD173">
        <v>182.06800000000001</v>
      </c>
      <c r="BE173">
        <v>1.3810433333333334</v>
      </c>
      <c r="BF173">
        <v>108.19133333333333</v>
      </c>
      <c r="BG173">
        <v>305.245</v>
      </c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</row>
    <row r="174" spans="1:83">
      <c r="A174" s="3">
        <v>41760</v>
      </c>
      <c r="B174" s="3">
        <v>41760</v>
      </c>
      <c r="C174">
        <v>285.41499043059974</v>
      </c>
      <c r="D174">
        <v>111.49322975037653</v>
      </c>
      <c r="E174">
        <v>163.89831807779601</v>
      </c>
      <c r="F174">
        <v>70.830131346149315</v>
      </c>
      <c r="G174">
        <v>92.767784974550864</v>
      </c>
      <c r="H174">
        <v>6598.2999999999993</v>
      </c>
      <c r="I174">
        <v>3397.4000000000015</v>
      </c>
      <c r="J174">
        <v>418.64180651520894</v>
      </c>
      <c r="K174">
        <v>147.11887803108331</v>
      </c>
      <c r="L174">
        <v>122.26147294500001</v>
      </c>
      <c r="M174">
        <v>184.31822424653834</v>
      </c>
      <c r="O174">
        <v>256.63445693606121</v>
      </c>
      <c r="P174">
        <v>136.58002433766197</v>
      </c>
      <c r="Q174">
        <v>44424.97</v>
      </c>
      <c r="T174">
        <v>142.5844207839429</v>
      </c>
      <c r="U174"/>
      <c r="V174"/>
      <c r="W174"/>
      <c r="X174"/>
      <c r="Y174"/>
      <c r="Z174"/>
      <c r="AA174"/>
      <c r="AB174">
        <v>6214</v>
      </c>
      <c r="AC174">
        <v>27556</v>
      </c>
      <c r="AD174">
        <v>6406.1</v>
      </c>
      <c r="AE174">
        <v>3405.6</v>
      </c>
      <c r="AF174">
        <v>304.70579981376699</v>
      </c>
      <c r="AG174">
        <v>238.97235476309032</v>
      </c>
      <c r="AH174">
        <v>335.90293392060971</v>
      </c>
      <c r="AI174">
        <v>303.61695418720001</v>
      </c>
      <c r="AJ174">
        <v>239.56467481875799</v>
      </c>
      <c r="AK174">
        <v>3595581</v>
      </c>
      <c r="AL174">
        <v>3583133</v>
      </c>
      <c r="AM174">
        <v>9207866</v>
      </c>
      <c r="AN174">
        <v>12921548</v>
      </c>
      <c r="AO174"/>
      <c r="AP174">
        <v>5.5</v>
      </c>
      <c r="AQ174"/>
      <c r="AR174"/>
      <c r="AS174"/>
      <c r="AT174"/>
      <c r="AU174">
        <v>667.16817732756022</v>
      </c>
      <c r="AV174">
        <v>658.37197853612997</v>
      </c>
      <c r="AW174">
        <v>8360895</v>
      </c>
      <c r="AX174">
        <v>3945474</v>
      </c>
      <c r="AY174">
        <v>11</v>
      </c>
      <c r="AZ174">
        <v>7.5</v>
      </c>
      <c r="BA174"/>
      <c r="BB174">
        <v>99.401964652417149</v>
      </c>
      <c r="BC174">
        <v>73.467166762690482</v>
      </c>
      <c r="BD174">
        <v>182.53</v>
      </c>
      <c r="BE174">
        <v>1.3730870967741935</v>
      </c>
      <c r="BF174">
        <v>109.23258064516129</v>
      </c>
      <c r="BG174">
        <v>313.22741935483873</v>
      </c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</row>
    <row r="175" spans="1:83">
      <c r="A175" s="3">
        <v>41791</v>
      </c>
      <c r="B175" s="3">
        <v>41791</v>
      </c>
      <c r="C175">
        <v>276.7114242881978</v>
      </c>
      <c r="D175">
        <v>110.47917748999724</v>
      </c>
      <c r="E175">
        <v>153.90052067505047</v>
      </c>
      <c r="F175">
        <v>65.730361889226558</v>
      </c>
      <c r="G175">
        <v>69.204767591014942</v>
      </c>
      <c r="H175">
        <v>6190.6999999999971</v>
      </c>
      <c r="I175">
        <v>3289.2999999999993</v>
      </c>
      <c r="J175">
        <v>513.25485478764608</v>
      </c>
      <c r="K175">
        <v>208.18630513415908</v>
      </c>
      <c r="L175">
        <v>142.434615980925</v>
      </c>
      <c r="M175">
        <v>200.68992204439346</v>
      </c>
      <c r="O175">
        <v>306.4192867171019</v>
      </c>
      <c r="P175">
        <v>144.25254724939219</v>
      </c>
      <c r="Q175">
        <v>44553.78</v>
      </c>
      <c r="T175">
        <v>144.74877046203025</v>
      </c>
      <c r="U175"/>
      <c r="V175"/>
      <c r="W175"/>
      <c r="X175"/>
      <c r="Y175"/>
      <c r="Z175"/>
      <c r="AA175"/>
      <c r="AB175">
        <v>6576</v>
      </c>
      <c r="AC175">
        <v>26468</v>
      </c>
      <c r="AD175">
        <v>6513.6</v>
      </c>
      <c r="AE175">
        <v>3762.4</v>
      </c>
      <c r="AF175">
        <v>305.61991721320828</v>
      </c>
      <c r="AG175">
        <v>239.68927182737957</v>
      </c>
      <c r="AH175">
        <v>337.2465456562922</v>
      </c>
      <c r="AI175">
        <v>304.22418809557439</v>
      </c>
      <c r="AJ175">
        <v>240.30732531069617</v>
      </c>
      <c r="AK175">
        <v>3715258</v>
      </c>
      <c r="AL175">
        <v>3958367</v>
      </c>
      <c r="AM175">
        <v>9735037</v>
      </c>
      <c r="AN175">
        <v>13411461</v>
      </c>
      <c r="AO175"/>
      <c r="AP175">
        <v>5.5</v>
      </c>
      <c r="AQ175"/>
      <c r="AR175"/>
      <c r="AS175"/>
      <c r="AT175"/>
      <c r="AU175">
        <v>672.19604743593982</v>
      </c>
      <c r="AV175">
        <v>810.10698568437988</v>
      </c>
      <c r="AW175">
        <v>8200400</v>
      </c>
      <c r="AX175">
        <v>3962924</v>
      </c>
      <c r="AY175">
        <v>10.4</v>
      </c>
      <c r="AZ175">
        <v>7.2</v>
      </c>
      <c r="BA175"/>
      <c r="BB175">
        <v>99.081221719927157</v>
      </c>
      <c r="BC175">
        <v>73.131864914226043</v>
      </c>
      <c r="BD175">
        <v>183.54266666666666</v>
      </c>
      <c r="BE175">
        <v>1.36036</v>
      </c>
      <c r="BF175">
        <v>112.03266666666667</v>
      </c>
      <c r="BG175">
        <v>309.63499999999999</v>
      </c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</row>
    <row r="176" spans="1:83">
      <c r="A176" s="3">
        <v>41821</v>
      </c>
      <c r="B176" s="3">
        <v>41821</v>
      </c>
      <c r="C176">
        <v>276.57958239978103</v>
      </c>
      <c r="D176">
        <v>121.19196737909515</v>
      </c>
      <c r="E176">
        <v>127.42963111894178</v>
      </c>
      <c r="F176">
        <v>62.180922347208316</v>
      </c>
      <c r="G176">
        <v>64.983276767963034</v>
      </c>
      <c r="H176">
        <v>6929.4000000000015</v>
      </c>
      <c r="I176">
        <v>3701.7999999999993</v>
      </c>
      <c r="J176">
        <v>625.65766798614061</v>
      </c>
      <c r="K176">
        <v>190.6021508436165</v>
      </c>
      <c r="L176">
        <v>132.46419286226026</v>
      </c>
      <c r="M176">
        <v>200.86356984982342</v>
      </c>
      <c r="O176">
        <v>295.1091708489659</v>
      </c>
      <c r="P176">
        <v>144.92579291662148</v>
      </c>
      <c r="Q176">
        <v>48837.93</v>
      </c>
      <c r="T176">
        <v>146.78432236954626</v>
      </c>
      <c r="U176"/>
      <c r="V176"/>
      <c r="W176"/>
      <c r="X176"/>
      <c r="Y176"/>
      <c r="Z176"/>
      <c r="AA176"/>
      <c r="AB176">
        <v>6543</v>
      </c>
      <c r="AC176">
        <v>26997</v>
      </c>
      <c r="AD176">
        <v>6414.3</v>
      </c>
      <c r="AE176">
        <v>3720.1</v>
      </c>
      <c r="AF176">
        <v>305.92553713042145</v>
      </c>
      <c r="AG176">
        <v>240.4083396428617</v>
      </c>
      <c r="AH176">
        <v>336.57205256497957</v>
      </c>
      <c r="AI176">
        <v>305.13686065986104</v>
      </c>
      <c r="AJ176">
        <v>241.55692340231181</v>
      </c>
      <c r="AK176">
        <v>3859730</v>
      </c>
      <c r="AL176">
        <v>3863590</v>
      </c>
      <c r="AM176">
        <v>9753108</v>
      </c>
      <c r="AN176">
        <v>13424662</v>
      </c>
      <c r="AO176"/>
      <c r="AP176">
        <v>5.5</v>
      </c>
      <c r="AQ176"/>
      <c r="AR176"/>
      <c r="AS176"/>
      <c r="AT176"/>
      <c r="AU176">
        <v>650.9442914847001</v>
      </c>
      <c r="AV176">
        <v>673.71194454069018</v>
      </c>
      <c r="AW176">
        <v>8166226</v>
      </c>
      <c r="AX176">
        <v>4019371</v>
      </c>
      <c r="AY176">
        <v>10.5</v>
      </c>
      <c r="AZ176">
        <v>7.7</v>
      </c>
      <c r="BA176"/>
      <c r="BB176">
        <v>99.558681104069791</v>
      </c>
      <c r="BC176">
        <v>73.24220426818124</v>
      </c>
      <c r="BD176">
        <v>183.5541935483871</v>
      </c>
      <c r="BE176">
        <v>1.3538064516129031</v>
      </c>
      <c r="BF176">
        <v>108.19741935483871</v>
      </c>
      <c r="BG176">
        <v>322.90645161290325</v>
      </c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</row>
    <row r="177" spans="1:83">
      <c r="A177" s="3">
        <v>41852</v>
      </c>
      <c r="B177" s="3">
        <v>41852</v>
      </c>
      <c r="C177">
        <v>295.59736323184882</v>
      </c>
      <c r="D177">
        <v>122.43837454660921</v>
      </c>
      <c r="E177">
        <v>151.51383140042179</v>
      </c>
      <c r="F177">
        <v>61.807836813125071</v>
      </c>
      <c r="G177">
        <v>87.987356743821948</v>
      </c>
      <c r="H177">
        <v>6932.2000000000044</v>
      </c>
      <c r="I177">
        <v>3647.4000000000015</v>
      </c>
      <c r="J177">
        <v>529.30638711627489</v>
      </c>
      <c r="K177">
        <v>342.52339495344057</v>
      </c>
      <c r="L177">
        <v>133.78883479088287</v>
      </c>
      <c r="M177">
        <v>205.00614267995314</v>
      </c>
      <c r="O177">
        <v>296.57203799347246</v>
      </c>
      <c r="P177">
        <v>156.10341128446447</v>
      </c>
      <c r="Q177">
        <v>50110.720000000001</v>
      </c>
      <c r="T177">
        <v>143.57357544052755</v>
      </c>
      <c r="U177"/>
      <c r="V177"/>
      <c r="W177"/>
      <c r="X177"/>
      <c r="Y177"/>
      <c r="Z177"/>
      <c r="AA177"/>
      <c r="AB177">
        <v>7519</v>
      </c>
      <c r="AC177">
        <v>27741</v>
      </c>
      <c r="AD177">
        <v>6106.1</v>
      </c>
      <c r="AE177">
        <v>3636.8</v>
      </c>
      <c r="AF177">
        <v>307.14923927894313</v>
      </c>
      <c r="AG177">
        <v>243.05283137893312</v>
      </c>
      <c r="AH177">
        <v>336.2354805124146</v>
      </c>
      <c r="AI177">
        <v>306.35740810250053</v>
      </c>
      <c r="AJ177">
        <v>242.98210925038546</v>
      </c>
      <c r="AK177">
        <v>3654727</v>
      </c>
      <c r="AL177">
        <v>3773208</v>
      </c>
      <c r="AM177">
        <v>9567604</v>
      </c>
      <c r="AN177">
        <v>13352628</v>
      </c>
      <c r="AO177"/>
      <c r="AP177">
        <v>5.5</v>
      </c>
      <c r="AQ177"/>
      <c r="AR177"/>
      <c r="AS177"/>
      <c r="AT177"/>
      <c r="AU177">
        <v>584.8720283048898</v>
      </c>
      <c r="AV177">
        <v>656.56035886695986</v>
      </c>
      <c r="AW177">
        <v>8168059</v>
      </c>
      <c r="AX177">
        <v>4010994</v>
      </c>
      <c r="AY177">
        <v>10.199999999999999</v>
      </c>
      <c r="AZ177">
        <v>7.5</v>
      </c>
      <c r="BA177"/>
      <c r="BB177">
        <v>102.69485231739344</v>
      </c>
      <c r="BC177">
        <v>75.333462590316799</v>
      </c>
      <c r="BD177">
        <v>182.09258064516129</v>
      </c>
      <c r="BE177">
        <v>1.3316838709677419</v>
      </c>
      <c r="BF177">
        <v>103.51774193548387</v>
      </c>
      <c r="BG177">
        <v>316.36451612903227</v>
      </c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</row>
    <row r="178" spans="1:83">
      <c r="A178" s="3">
        <v>41883</v>
      </c>
      <c r="B178" s="3">
        <v>41883</v>
      </c>
      <c r="C178">
        <v>275.65783508290849</v>
      </c>
      <c r="D178">
        <v>106.2186118905859</v>
      </c>
      <c r="E178">
        <v>157.72589848783909</v>
      </c>
      <c r="F178">
        <v>58.90286848290819</v>
      </c>
      <c r="G178">
        <v>112.35985456186063</v>
      </c>
      <c r="H178">
        <v>6385.5</v>
      </c>
      <c r="I178">
        <v>3235.0999999999985</v>
      </c>
      <c r="J178">
        <v>545.71488511687937</v>
      </c>
      <c r="K178">
        <v>1531.6060970939739</v>
      </c>
      <c r="L178">
        <v>134.05641246046463</v>
      </c>
      <c r="M178">
        <v>203.38885160627743</v>
      </c>
      <c r="O178">
        <v>328.80425522501105</v>
      </c>
      <c r="P178">
        <v>183.85838549922133</v>
      </c>
      <c r="Q178">
        <v>48809.03</v>
      </c>
      <c r="T178">
        <v>140.74458696227134</v>
      </c>
      <c r="U178"/>
      <c r="V178"/>
      <c r="W178"/>
      <c r="X178"/>
      <c r="Y178"/>
      <c r="Z178"/>
      <c r="AA178"/>
      <c r="AB178">
        <v>7159</v>
      </c>
      <c r="AC178">
        <v>27961</v>
      </c>
      <c r="AD178">
        <v>7066.5</v>
      </c>
      <c r="AE178">
        <v>3753.4</v>
      </c>
      <c r="AF178">
        <v>308.68498547533784</v>
      </c>
      <c r="AG178">
        <v>244.2680955358278</v>
      </c>
      <c r="AH178">
        <v>337.24418695395184</v>
      </c>
      <c r="AI178">
        <v>308.50190995921804</v>
      </c>
      <c r="AJ178">
        <v>244.65868580421309</v>
      </c>
      <c r="AK178">
        <v>3753134</v>
      </c>
      <c r="AL178">
        <v>3639562</v>
      </c>
      <c r="AM178">
        <v>9550238</v>
      </c>
      <c r="AN178">
        <v>13466829</v>
      </c>
      <c r="AO178"/>
      <c r="AP178">
        <v>5.5</v>
      </c>
      <c r="AQ178"/>
      <c r="AR178"/>
      <c r="AS178"/>
      <c r="AT178"/>
      <c r="AU178">
        <v>394.91271498646029</v>
      </c>
      <c r="AV178">
        <v>626.28049891673027</v>
      </c>
      <c r="AW178">
        <v>8203703</v>
      </c>
      <c r="AX178">
        <v>4024582</v>
      </c>
      <c r="AY178">
        <v>10.1</v>
      </c>
      <c r="AZ178">
        <v>7.6</v>
      </c>
      <c r="BA178"/>
      <c r="BB178">
        <v>105.26030390745633</v>
      </c>
      <c r="BC178">
        <v>77.323594708968585</v>
      </c>
      <c r="BD178">
        <v>181.96966666666665</v>
      </c>
      <c r="BE178">
        <v>1.28847</v>
      </c>
      <c r="BF178">
        <v>98.506</v>
      </c>
      <c r="BG178">
        <v>309.42166666666668</v>
      </c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</row>
    <row r="179" spans="1:83">
      <c r="A179" s="3">
        <v>41913</v>
      </c>
      <c r="B179" s="3">
        <v>41913</v>
      </c>
      <c r="C179">
        <v>300.61007919747766</v>
      </c>
      <c r="D179">
        <v>118.93295818853169</v>
      </c>
      <c r="E179">
        <v>170.50169626535404</v>
      </c>
      <c r="F179">
        <v>71.331373732801808</v>
      </c>
      <c r="G179">
        <v>133.25878751036669</v>
      </c>
      <c r="H179">
        <v>6665.0999999999913</v>
      </c>
      <c r="I179">
        <v>3670.3000000000029</v>
      </c>
      <c r="J179">
        <v>606.28923736485297</v>
      </c>
      <c r="K179">
        <v>694.45022677699637</v>
      </c>
      <c r="L179">
        <v>129.36443802434837</v>
      </c>
      <c r="M179">
        <v>207.77319354453212</v>
      </c>
      <c r="O179">
        <v>290.38897904195562</v>
      </c>
      <c r="P179">
        <v>165.01838996087218</v>
      </c>
      <c r="Q179">
        <v>51183.49</v>
      </c>
      <c r="T179">
        <v>142.64669551606335</v>
      </c>
      <c r="U179"/>
      <c r="V179"/>
      <c r="W179"/>
      <c r="X179"/>
      <c r="Y179"/>
      <c r="Z179"/>
      <c r="AA179"/>
      <c r="AB179">
        <v>7013</v>
      </c>
      <c r="AC179">
        <v>28271</v>
      </c>
      <c r="AD179">
        <v>6639.1</v>
      </c>
      <c r="AE179">
        <v>3679.4</v>
      </c>
      <c r="AF179">
        <v>309.91972541723919</v>
      </c>
      <c r="AG179">
        <v>245.48943601350692</v>
      </c>
      <c r="AH179">
        <v>338.93040788872162</v>
      </c>
      <c r="AI179">
        <v>309.11891377913645</v>
      </c>
      <c r="AJ179">
        <v>245.5639229416887</v>
      </c>
      <c r="AK179">
        <v>3723626</v>
      </c>
      <c r="AL179">
        <v>3406501</v>
      </c>
      <c r="AM179">
        <v>9203084</v>
      </c>
      <c r="AN179">
        <v>13550620</v>
      </c>
      <c r="AO179"/>
      <c r="AP179">
        <v>5.5</v>
      </c>
      <c r="AQ179"/>
      <c r="AR179"/>
      <c r="AS179"/>
      <c r="AT179"/>
      <c r="AU179">
        <v>393.53015433159004</v>
      </c>
      <c r="AV179">
        <v>655.82775850425014</v>
      </c>
      <c r="AW179">
        <v>8125175</v>
      </c>
      <c r="AX179">
        <v>4038248</v>
      </c>
      <c r="AY179">
        <v>10.3</v>
      </c>
      <c r="AZ179">
        <v>7.4</v>
      </c>
      <c r="BA179"/>
      <c r="BB179">
        <v>108.17025590000992</v>
      </c>
      <c r="BC179">
        <v>79.426060976082695</v>
      </c>
      <c r="BD179">
        <v>181.53806451612903</v>
      </c>
      <c r="BE179">
        <v>1.2672225806451614</v>
      </c>
      <c r="BF179">
        <v>88.218064516129033</v>
      </c>
      <c r="BG179">
        <v>303.03870967741938</v>
      </c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</row>
    <row r="180" spans="1:83">
      <c r="A180" s="3">
        <v>41944</v>
      </c>
      <c r="B180" s="3">
        <v>41944</v>
      </c>
      <c r="C180">
        <v>315.98457786238237</v>
      </c>
      <c r="D180">
        <v>128.86802663848451</v>
      </c>
      <c r="E180">
        <v>173.22972340559969</v>
      </c>
      <c r="F180">
        <v>86.524956337888597</v>
      </c>
      <c r="G180">
        <v>134.05834023542889</v>
      </c>
      <c r="H180">
        <v>7033.3000000000029</v>
      </c>
      <c r="I180">
        <v>3623.1999999999971</v>
      </c>
      <c r="J180">
        <v>554.14836295147563</v>
      </c>
      <c r="K180">
        <v>344.99295074794043</v>
      </c>
      <c r="L180">
        <v>148.25164597590322</v>
      </c>
      <c r="M180">
        <v>222.9493479490159</v>
      </c>
      <c r="O180">
        <v>318.19037555296728</v>
      </c>
      <c r="P180">
        <v>188.57464477741789</v>
      </c>
      <c r="Q180">
        <v>50327.05</v>
      </c>
      <c r="T180">
        <v>142.33786920171966</v>
      </c>
      <c r="U180"/>
      <c r="V180"/>
      <c r="W180"/>
      <c r="X180"/>
      <c r="Y180"/>
      <c r="Z180"/>
      <c r="AA180"/>
      <c r="AB180">
        <v>7145</v>
      </c>
      <c r="AC180">
        <v>28615</v>
      </c>
      <c r="AD180">
        <v>5468</v>
      </c>
      <c r="AE180">
        <v>3410.6</v>
      </c>
      <c r="AF180">
        <v>311.77924376974261</v>
      </c>
      <c r="AG180">
        <v>246.71688319357443</v>
      </c>
      <c r="AH180">
        <v>341.30292074394265</v>
      </c>
      <c r="AI180">
        <v>310.66450834803214</v>
      </c>
      <c r="AJ180">
        <v>246.71807337951461</v>
      </c>
      <c r="AK180">
        <v>3414322</v>
      </c>
      <c r="AL180">
        <v>3196190</v>
      </c>
      <c r="AM180">
        <v>8583963</v>
      </c>
      <c r="AN180">
        <v>12973924</v>
      </c>
      <c r="AO180"/>
      <c r="AP180">
        <v>5.5</v>
      </c>
      <c r="AQ180"/>
      <c r="AR180"/>
      <c r="AS180"/>
      <c r="AT180"/>
      <c r="AU180">
        <v>596.99043822897966</v>
      </c>
      <c r="AV180">
        <v>644.38763789306017</v>
      </c>
      <c r="AW180">
        <v>8213180</v>
      </c>
      <c r="AX180">
        <v>3999733</v>
      </c>
      <c r="AY180">
        <v>11.3</v>
      </c>
      <c r="AZ180">
        <v>7.3</v>
      </c>
      <c r="BA180"/>
      <c r="BB180">
        <v>113.31149522693215</v>
      </c>
      <c r="BC180">
        <v>82.848609054505502</v>
      </c>
      <c r="BD180">
        <v>181.00333333333333</v>
      </c>
      <c r="BE180">
        <v>1.24729</v>
      </c>
      <c r="BF180">
        <v>79.697333333333333</v>
      </c>
      <c r="BG180">
        <v>300.625</v>
      </c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</row>
    <row r="181" spans="1:83">
      <c r="A181" s="3">
        <v>41974</v>
      </c>
      <c r="B181" s="3">
        <v>41974</v>
      </c>
      <c r="C181">
        <v>308.51864196158272</v>
      </c>
      <c r="D181">
        <v>132.82243765571218</v>
      </c>
      <c r="E181">
        <v>156.42644023525651</v>
      </c>
      <c r="F181">
        <v>95.696601709704794</v>
      </c>
      <c r="G181">
        <v>134.46051525613518</v>
      </c>
      <c r="H181">
        <v>7176.6999999999971</v>
      </c>
      <c r="I181">
        <v>4168</v>
      </c>
      <c r="J181">
        <v>698.81599702867675</v>
      </c>
      <c r="K181">
        <v>372.1617880488937</v>
      </c>
      <c r="L181">
        <v>200.58447700539705</v>
      </c>
      <c r="M181">
        <v>280.1440172365688</v>
      </c>
      <c r="O181">
        <v>454.02414924052425</v>
      </c>
      <c r="P181">
        <v>189.31177877258298</v>
      </c>
      <c r="Q181">
        <v>51983.360000000001</v>
      </c>
      <c r="T181">
        <v>164.21455821981701</v>
      </c>
      <c r="U181"/>
      <c r="V181"/>
      <c r="W181"/>
      <c r="X181"/>
      <c r="Y181"/>
      <c r="Z181"/>
      <c r="AA181"/>
      <c r="AB181">
        <v>7395</v>
      </c>
      <c r="AC181">
        <v>29209</v>
      </c>
      <c r="AD181">
        <v>5234.3999999999996</v>
      </c>
      <c r="AE181">
        <v>3816.6</v>
      </c>
      <c r="AF181">
        <v>313.33813998859131</v>
      </c>
      <c r="AG181">
        <v>246.71688319357443</v>
      </c>
      <c r="AH181">
        <v>345.05725287212601</v>
      </c>
      <c r="AI181">
        <v>311.59650187307625</v>
      </c>
      <c r="AJ181">
        <v>248.05035097576399</v>
      </c>
      <c r="AK181">
        <v>3413841</v>
      </c>
      <c r="AL181">
        <v>2980974</v>
      </c>
      <c r="AM181">
        <v>7963822</v>
      </c>
      <c r="AN181">
        <v>12801495</v>
      </c>
      <c r="AO181"/>
      <c r="AP181">
        <v>5.5</v>
      </c>
      <c r="AQ181"/>
      <c r="AR181"/>
      <c r="AS181"/>
      <c r="AT181"/>
      <c r="AU181">
        <v>939.62846447779054</v>
      </c>
      <c r="AV181">
        <v>918.43596367840939</v>
      </c>
      <c r="AW181">
        <v>8091296</v>
      </c>
      <c r="AX181">
        <v>4014846</v>
      </c>
      <c r="AY181">
        <v>14.4</v>
      </c>
      <c r="AZ181">
        <v>7</v>
      </c>
      <c r="BA181"/>
      <c r="BB181">
        <v>118.12905474697051</v>
      </c>
      <c r="BC181">
        <v>86.443702586883475</v>
      </c>
      <c r="BD181">
        <v>182.37096774193549</v>
      </c>
      <c r="BE181">
        <v>1.2302225806451612</v>
      </c>
      <c r="BF181">
        <v>63.083870967741937</v>
      </c>
      <c r="BG181">
        <v>289.79193548387099</v>
      </c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</row>
    <row r="182" spans="1:83">
      <c r="A182" s="3">
        <v>42005</v>
      </c>
      <c r="B182" s="3">
        <v>42005</v>
      </c>
      <c r="C182">
        <v>254.17834601668346</v>
      </c>
      <c r="D182">
        <v>110.72605811594408</v>
      </c>
      <c r="E182">
        <v>140.94022265196611</v>
      </c>
      <c r="F182">
        <v>108.04146333025672</v>
      </c>
      <c r="G182">
        <v>76.373572665484787</v>
      </c>
      <c r="H182">
        <v>6867.2</v>
      </c>
      <c r="I182">
        <v>4105.2</v>
      </c>
      <c r="J182">
        <v>120.19635148893239</v>
      </c>
      <c r="K182">
        <v>109.00013371323479</v>
      </c>
      <c r="L182">
        <v>102.89983670376868</v>
      </c>
      <c r="M182">
        <v>178.55514977932967</v>
      </c>
      <c r="O182">
        <v>117.34212537895235</v>
      </c>
      <c r="P182">
        <v>129.00413610685828</v>
      </c>
      <c r="Q182">
        <v>40693.56</v>
      </c>
      <c r="T182">
        <v>137.8089315491514</v>
      </c>
      <c r="U182"/>
      <c r="V182"/>
      <c r="W182"/>
      <c r="X182"/>
      <c r="Y182"/>
      <c r="Z182"/>
      <c r="AA182"/>
      <c r="AB182">
        <v>7858</v>
      </c>
      <c r="AC182">
        <v>29055</v>
      </c>
      <c r="AD182">
        <v>4803.3999999999996</v>
      </c>
      <c r="AE182">
        <v>2699.7</v>
      </c>
      <c r="AF182">
        <v>315.21816882852283</v>
      </c>
      <c r="AG182">
        <v>246.4701663103809</v>
      </c>
      <c r="AH182">
        <v>349.19793990659144</v>
      </c>
      <c r="AI182">
        <v>313.7776773861878</v>
      </c>
      <c r="AJ182">
        <v>249.53865308161858</v>
      </c>
      <c r="AK182">
        <v>3109020</v>
      </c>
      <c r="AL182">
        <v>2800476</v>
      </c>
      <c r="AM182">
        <v>7629678</v>
      </c>
      <c r="AN182">
        <v>12389730</v>
      </c>
      <c r="AO182"/>
      <c r="AP182">
        <v>5.5</v>
      </c>
      <c r="AQ182"/>
      <c r="AR182"/>
      <c r="AS182"/>
      <c r="AT182"/>
      <c r="AU182">
        <v>471.09412545356997</v>
      </c>
      <c r="AV182">
        <v>436.44637689445</v>
      </c>
      <c r="AW182">
        <v>8178150</v>
      </c>
      <c r="AX182">
        <v>3987803</v>
      </c>
      <c r="AY182">
        <v>17.399999999999999</v>
      </c>
      <c r="AZ182">
        <v>8</v>
      </c>
      <c r="BA182"/>
      <c r="BB182">
        <v>124.36392126840539</v>
      </c>
      <c r="BC182">
        <v>90.638818051894958</v>
      </c>
      <c r="BD182">
        <v>183.70903225806452</v>
      </c>
      <c r="BE182">
        <v>1.1624935483870968</v>
      </c>
      <c r="BF182">
        <v>50.523225806451613</v>
      </c>
      <c r="BG182">
        <v>263.60806451612905</v>
      </c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</row>
    <row r="183" spans="1:83">
      <c r="A183" s="3">
        <v>42036</v>
      </c>
      <c r="B183" s="3">
        <v>42036</v>
      </c>
      <c r="C183">
        <v>258.62520417464674</v>
      </c>
      <c r="D183">
        <v>105.11962896135589</v>
      </c>
      <c r="E183">
        <v>145.59124999948099</v>
      </c>
      <c r="F183">
        <v>95.724736510607457</v>
      </c>
      <c r="G183">
        <v>93.023011506560465</v>
      </c>
      <c r="H183">
        <v>6430.9000000000005</v>
      </c>
      <c r="I183">
        <v>3708.8</v>
      </c>
      <c r="J183">
        <v>169.47685559939467</v>
      </c>
      <c r="K183">
        <v>103.91712913022162</v>
      </c>
      <c r="L183">
        <v>97.137445848357643</v>
      </c>
      <c r="M183">
        <v>165.82988414292464</v>
      </c>
      <c r="O183">
        <v>146.62762957162352</v>
      </c>
      <c r="P183">
        <v>122.81989740267714</v>
      </c>
      <c r="Q183">
        <v>37776.699999999997</v>
      </c>
      <c r="T183">
        <v>137.13122744261594</v>
      </c>
      <c r="U183"/>
      <c r="V183"/>
      <c r="W183"/>
      <c r="X183"/>
      <c r="Y183"/>
      <c r="Z183"/>
      <c r="AA183"/>
      <c r="AB183">
        <v>7598</v>
      </c>
      <c r="AC183">
        <v>29080</v>
      </c>
      <c r="AD183">
        <v>3763</v>
      </c>
      <c r="AE183">
        <v>2221.4</v>
      </c>
      <c r="AF183">
        <v>316.47904150383698</v>
      </c>
      <c r="AG183">
        <v>245.23781547882896</v>
      </c>
      <c r="AH183">
        <v>349.89633578640462</v>
      </c>
      <c r="AI183">
        <v>317.85678719220817</v>
      </c>
      <c r="AJ183">
        <v>250.91111567356751</v>
      </c>
      <c r="AK183">
        <v>3144815</v>
      </c>
      <c r="AL183">
        <v>2908663</v>
      </c>
      <c r="AM183">
        <v>7652501</v>
      </c>
      <c r="AN183">
        <v>12271762</v>
      </c>
      <c r="AO183"/>
      <c r="AP183">
        <v>5.5</v>
      </c>
      <c r="AQ183"/>
      <c r="AR183"/>
      <c r="AS183"/>
      <c r="AT183"/>
      <c r="AU183">
        <v>674.39121861539013</v>
      </c>
      <c r="AV183">
        <v>626.15072629791985</v>
      </c>
      <c r="AW183">
        <v>8096621</v>
      </c>
      <c r="AX183">
        <v>3984142</v>
      </c>
      <c r="AY183">
        <v>19</v>
      </c>
      <c r="AZ183">
        <v>6.9</v>
      </c>
      <c r="BA183"/>
      <c r="BB183">
        <v>126.08203669011495</v>
      </c>
      <c r="BC183">
        <v>92.464596307468966</v>
      </c>
      <c r="BD183">
        <v>185.05535714285713</v>
      </c>
      <c r="BE183">
        <v>1.1348214285714286</v>
      </c>
      <c r="BF183">
        <v>58.948214285714286</v>
      </c>
      <c r="BG183">
        <v>260.18928571428569</v>
      </c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</row>
    <row r="184" spans="1:83">
      <c r="A184" s="3">
        <v>42064</v>
      </c>
      <c r="B184" s="3">
        <v>42064</v>
      </c>
      <c r="C184">
        <v>298.22762314782034</v>
      </c>
      <c r="D184">
        <v>120.96914097838766</v>
      </c>
      <c r="E184">
        <v>160.73273999942703</v>
      </c>
      <c r="F184">
        <v>95.724736510607457</v>
      </c>
      <c r="G184">
        <v>108.55785442815606</v>
      </c>
      <c r="H184">
        <v>7038.3000000000011</v>
      </c>
      <c r="I184">
        <v>4069.2000000000007</v>
      </c>
      <c r="J184">
        <v>226.92950964758947</v>
      </c>
      <c r="K184">
        <v>130.91996877378079</v>
      </c>
      <c r="L184">
        <v>113.84508653427515</v>
      </c>
      <c r="M184">
        <v>176.82607428455066</v>
      </c>
      <c r="O184">
        <v>191.96440148096224</v>
      </c>
      <c r="P184">
        <v>133.4769461196401</v>
      </c>
      <c r="Q184">
        <v>39916.14</v>
      </c>
      <c r="T184">
        <v>136.89997052411746</v>
      </c>
      <c r="U184"/>
      <c r="V184"/>
      <c r="W184"/>
      <c r="X184"/>
      <c r="Y184"/>
      <c r="Z184"/>
      <c r="AA184"/>
      <c r="AB184">
        <v>7522</v>
      </c>
      <c r="AC184">
        <v>29120</v>
      </c>
      <c r="AD184">
        <v>3483</v>
      </c>
      <c r="AE184">
        <v>2346.8000000000002</v>
      </c>
      <c r="AF184">
        <v>316.79552054534082</v>
      </c>
      <c r="AG184">
        <v>245.23781547882896</v>
      </c>
      <c r="AH184">
        <v>350.59612845797744</v>
      </c>
      <c r="AI184">
        <v>318.1746439794004</v>
      </c>
      <c r="AJ184">
        <v>251.08675345453898</v>
      </c>
      <c r="AK184">
        <v>3287005</v>
      </c>
      <c r="AL184">
        <v>3060341</v>
      </c>
      <c r="AM184">
        <v>7792061</v>
      </c>
      <c r="AN184">
        <v>12308527</v>
      </c>
      <c r="AO184"/>
      <c r="AP184">
        <v>5.5</v>
      </c>
      <c r="AQ184"/>
      <c r="AR184"/>
      <c r="AS184"/>
      <c r="AT184"/>
      <c r="AU184">
        <v>617.93111783197992</v>
      </c>
      <c r="AV184">
        <v>610.14943633886003</v>
      </c>
      <c r="AW184">
        <v>8103499</v>
      </c>
      <c r="AX184">
        <v>3941940</v>
      </c>
      <c r="AY184">
        <v>18.100000000000001</v>
      </c>
      <c r="AZ184">
        <v>8</v>
      </c>
      <c r="BA184"/>
      <c r="BB184">
        <v>125.66505503036483</v>
      </c>
      <c r="BC184">
        <v>93.16172065097112</v>
      </c>
      <c r="BD184">
        <v>185.51354838709676</v>
      </c>
      <c r="BE184">
        <v>1.0823322580645161</v>
      </c>
      <c r="BF184">
        <v>57.015806451612903</v>
      </c>
      <c r="BG184">
        <v>270.94354838709677</v>
      </c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</row>
    <row r="185" spans="1:83">
      <c r="A185" s="3">
        <v>42095</v>
      </c>
      <c r="B185" s="3">
        <v>42095</v>
      </c>
      <c r="C185">
        <v>289.37826924550711</v>
      </c>
      <c r="D185">
        <v>113.69336071188224</v>
      </c>
      <c r="E185">
        <v>161.69713643942359</v>
      </c>
      <c r="F185">
        <v>82.610447608654226</v>
      </c>
      <c r="G185">
        <v>121.91047052281925</v>
      </c>
      <c r="H185">
        <v>6591.6999999999971</v>
      </c>
      <c r="I185">
        <v>3684.1999999999989</v>
      </c>
      <c r="J185">
        <v>323.82841026711014</v>
      </c>
      <c r="K185">
        <v>127.85132685219349</v>
      </c>
      <c r="L185">
        <v>119.76503103405747</v>
      </c>
      <c r="M185">
        <v>177.37697382068524</v>
      </c>
      <c r="O185">
        <v>208.75289221398799</v>
      </c>
      <c r="P185">
        <v>134.2608607814289</v>
      </c>
      <c r="Q185">
        <v>38526.19</v>
      </c>
      <c r="T185">
        <v>147.29490177265444</v>
      </c>
      <c r="U185"/>
      <c r="V185"/>
      <c r="W185"/>
      <c r="X185"/>
      <c r="Y185"/>
      <c r="Z185"/>
      <c r="AA185"/>
      <c r="AB185">
        <v>7777</v>
      </c>
      <c r="AC185">
        <v>28737</v>
      </c>
      <c r="AD185">
        <v>4003.6</v>
      </c>
      <c r="AE185">
        <v>2835.7</v>
      </c>
      <c r="AF185">
        <v>317.11231606588615</v>
      </c>
      <c r="AG185">
        <v>245.72829110978665</v>
      </c>
      <c r="AH185">
        <v>351.64791684335131</v>
      </c>
      <c r="AI185">
        <v>317.85646933542102</v>
      </c>
      <c r="AJ185">
        <v>251.13697080522988</v>
      </c>
      <c r="AK185">
        <v>3418576</v>
      </c>
      <c r="AL185">
        <v>3036984</v>
      </c>
      <c r="AM185">
        <v>7593353</v>
      </c>
      <c r="AN185">
        <v>12250000</v>
      </c>
      <c r="AO185"/>
      <c r="AP185">
        <v>5.5</v>
      </c>
      <c r="AQ185"/>
      <c r="AR185"/>
      <c r="AS185"/>
      <c r="AT185"/>
      <c r="AU185">
        <v>839.35555358230999</v>
      </c>
      <c r="AV185">
        <v>713.14105464569991</v>
      </c>
      <c r="AW185">
        <v>8137355</v>
      </c>
      <c r="AX185">
        <v>3965674</v>
      </c>
      <c r="AY185">
        <v>15.1</v>
      </c>
      <c r="AZ185">
        <v>7.9</v>
      </c>
      <c r="BA185"/>
      <c r="BB185">
        <v>121.54538991321549</v>
      </c>
      <c r="BC185">
        <v>90.675340571103149</v>
      </c>
      <c r="BD185">
        <v>185.82166666666666</v>
      </c>
      <c r="BE185">
        <v>1.0816300000000001</v>
      </c>
      <c r="BF185">
        <v>60.73</v>
      </c>
      <c r="BG185">
        <v>274.4133333333333</v>
      </c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</row>
    <row r="186" spans="1:83">
      <c r="A186" s="3">
        <v>42125</v>
      </c>
      <c r="B186" s="3">
        <v>42125</v>
      </c>
      <c r="C186">
        <v>288.55455532533631</v>
      </c>
      <c r="D186">
        <v>114.28056049413594</v>
      </c>
      <c r="E186">
        <v>162.99071353093896</v>
      </c>
      <c r="F186">
        <v>69.475386438878203</v>
      </c>
      <c r="G186">
        <v>82.045746661857351</v>
      </c>
      <c r="H186">
        <v>6929.2000000000044</v>
      </c>
      <c r="I186">
        <v>3915.6000000000004</v>
      </c>
      <c r="J186">
        <v>462.42696986143329</v>
      </c>
      <c r="K186">
        <v>149.38152099836947</v>
      </c>
      <c r="L186">
        <v>124.79516233748789</v>
      </c>
      <c r="M186">
        <v>188.74186162845527</v>
      </c>
      <c r="O186">
        <v>272.28915880916094</v>
      </c>
      <c r="P186">
        <v>140.40426501911651</v>
      </c>
      <c r="Q186">
        <v>40872.06</v>
      </c>
      <c r="T186">
        <v>146.64087298110826</v>
      </c>
      <c r="U186"/>
      <c r="V186"/>
      <c r="W186"/>
      <c r="X186"/>
      <c r="Y186"/>
      <c r="Z186"/>
      <c r="AA186"/>
      <c r="AB186">
        <v>7785</v>
      </c>
      <c r="AC186">
        <v>28734</v>
      </c>
      <c r="AD186">
        <v>4169.1000000000004</v>
      </c>
      <c r="AE186">
        <v>2751.9</v>
      </c>
      <c r="AF186">
        <v>318.0636530140838</v>
      </c>
      <c r="AG186">
        <v>247.69411743866496</v>
      </c>
      <c r="AH186">
        <v>351.64791684335131</v>
      </c>
      <c r="AI186">
        <v>317.85646933542102</v>
      </c>
      <c r="AJ186">
        <v>251.36299407895456</v>
      </c>
      <c r="AK186">
        <v>3644795</v>
      </c>
      <c r="AL186">
        <v>3434338</v>
      </c>
      <c r="AM186">
        <v>7828329</v>
      </c>
      <c r="AN186">
        <v>12514449</v>
      </c>
      <c r="AO186"/>
      <c r="AP186">
        <v>5.5</v>
      </c>
      <c r="AQ186"/>
      <c r="AR186"/>
      <c r="AS186"/>
      <c r="AT186"/>
      <c r="AU186">
        <v>748.52121622034019</v>
      </c>
      <c r="AV186">
        <v>682.80170988277996</v>
      </c>
      <c r="AW186">
        <v>8094079</v>
      </c>
      <c r="AX186">
        <v>3974171</v>
      </c>
      <c r="AY186">
        <v>15.3</v>
      </c>
      <c r="AZ186">
        <v>7.6</v>
      </c>
      <c r="BA186"/>
      <c r="BB186">
        <v>118.14597316810556</v>
      </c>
      <c r="BC186">
        <v>88.103176646906235</v>
      </c>
      <c r="BD186">
        <v>185.94225806451612</v>
      </c>
      <c r="BE186">
        <v>1.1161161290322581</v>
      </c>
      <c r="BF186">
        <v>65.708387096774189</v>
      </c>
      <c r="BG186">
        <v>288.35483870967744</v>
      </c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</row>
    <row r="187" spans="1:83">
      <c r="A187" s="3">
        <v>42156</v>
      </c>
      <c r="B187" s="3">
        <v>42156</v>
      </c>
      <c r="C187">
        <v>280.30867280394432</v>
      </c>
      <c r="D187">
        <v>112.13636515234721</v>
      </c>
      <c r="E187">
        <v>155.33014999498482</v>
      </c>
      <c r="F187">
        <v>65.515289411862142</v>
      </c>
      <c r="G187">
        <v>61.452264249731158</v>
      </c>
      <c r="H187">
        <v>6385.6999999999971</v>
      </c>
      <c r="I187">
        <v>3588</v>
      </c>
      <c r="J187">
        <v>546.58867837621415</v>
      </c>
      <c r="K187">
        <v>214.46218622868284</v>
      </c>
      <c r="L187">
        <v>143.01525603876112</v>
      </c>
      <c r="M187">
        <v>206.71061970572526</v>
      </c>
      <c r="O187">
        <v>326.6429596404306</v>
      </c>
      <c r="P187">
        <v>147.71460838337762</v>
      </c>
      <c r="Q187">
        <v>40691.480000000003</v>
      </c>
      <c r="T187">
        <v>146.5993822152688</v>
      </c>
      <c r="U187"/>
      <c r="V187"/>
      <c r="W187"/>
      <c r="X187"/>
      <c r="Y187"/>
      <c r="Z187"/>
      <c r="AA187"/>
      <c r="AB187">
        <v>7769</v>
      </c>
      <c r="AC187">
        <v>28891</v>
      </c>
      <c r="AD187">
        <v>4357.6000000000004</v>
      </c>
      <c r="AE187">
        <v>2859.1</v>
      </c>
      <c r="AF187">
        <v>317.74558936106973</v>
      </c>
      <c r="AG187">
        <v>248.43719979098097</v>
      </c>
      <c r="AH187">
        <v>349.8896772591346</v>
      </c>
      <c r="AI187">
        <v>318.17432580475639</v>
      </c>
      <c r="AJ187">
        <v>251.74003857007301</v>
      </c>
      <c r="AK187">
        <v>4191185</v>
      </c>
      <c r="AL187">
        <v>3602481</v>
      </c>
      <c r="AM187">
        <v>8521942</v>
      </c>
      <c r="AN187">
        <v>13061565</v>
      </c>
      <c r="AO187"/>
      <c r="AP187">
        <v>5.5</v>
      </c>
      <c r="AQ187"/>
      <c r="AR187"/>
      <c r="AS187"/>
      <c r="AT187"/>
      <c r="AU187">
        <v>670.20978720779999</v>
      </c>
      <c r="AV187">
        <v>711.24851012257022</v>
      </c>
      <c r="AW187">
        <v>6713194</v>
      </c>
      <c r="AX187">
        <v>3998258</v>
      </c>
      <c r="AY187">
        <v>14.2</v>
      </c>
      <c r="AZ187">
        <v>7.6</v>
      </c>
      <c r="BA187"/>
      <c r="BB187">
        <v>119.5337849757934</v>
      </c>
      <c r="BC187">
        <v>89.206989209976584</v>
      </c>
      <c r="BD187">
        <v>186.108</v>
      </c>
      <c r="BE187">
        <v>1.12324</v>
      </c>
      <c r="BF187">
        <v>63.649333333333331</v>
      </c>
      <c r="BG187">
        <v>265.36666666666667</v>
      </c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</row>
    <row r="188" spans="1:83">
      <c r="A188" s="3">
        <v>42186</v>
      </c>
      <c r="B188" s="3">
        <v>42186</v>
      </c>
      <c r="C188">
        <v>270.7714111693856</v>
      </c>
      <c r="D188">
        <v>115.13236901014039</v>
      </c>
      <c r="E188">
        <v>132.49661794572205</v>
      </c>
      <c r="F188">
        <v>60.470612127148755</v>
      </c>
      <c r="G188">
        <v>60.161766700486808</v>
      </c>
      <c r="H188">
        <v>6719.6999999999971</v>
      </c>
      <c r="I188">
        <v>3805.5999999999985</v>
      </c>
      <c r="J188">
        <v>658.09276876496176</v>
      </c>
      <c r="K188">
        <v>196.89573919198392</v>
      </c>
      <c r="L188">
        <v>134.72037118851298</v>
      </c>
      <c r="M188">
        <v>207.49206765486761</v>
      </c>
      <c r="O188">
        <v>302.782009291039</v>
      </c>
      <c r="P188">
        <v>145.50549608828797</v>
      </c>
      <c r="Q188">
        <v>43658.86</v>
      </c>
      <c r="T188">
        <v>150.2327405875125</v>
      </c>
      <c r="U188"/>
      <c r="V188"/>
      <c r="W188"/>
      <c r="X188"/>
      <c r="Y188"/>
      <c r="Z188"/>
      <c r="AA188"/>
      <c r="AB188">
        <v>7228</v>
      </c>
      <c r="AC188">
        <v>28977</v>
      </c>
      <c r="AD188">
        <v>3938</v>
      </c>
      <c r="AE188">
        <v>2721.6</v>
      </c>
      <c r="AF188">
        <v>318.06333495043077</v>
      </c>
      <c r="AG188">
        <v>248.93407419056294</v>
      </c>
      <c r="AH188">
        <v>348.84000822735726</v>
      </c>
      <c r="AI188">
        <v>319.7651974337802</v>
      </c>
      <c r="AJ188">
        <v>252.52043268964027</v>
      </c>
      <c r="AK188">
        <v>3871600</v>
      </c>
      <c r="AL188">
        <v>3457335</v>
      </c>
      <c r="AM188">
        <v>8178410</v>
      </c>
      <c r="AN188">
        <v>12910216</v>
      </c>
      <c r="AO188"/>
      <c r="AP188">
        <v>5.5</v>
      </c>
      <c r="AQ188"/>
      <c r="AR188"/>
      <c r="AS188"/>
      <c r="AT188"/>
      <c r="AU188">
        <v>373.76029578013021</v>
      </c>
      <c r="AV188">
        <v>696.3689285003901</v>
      </c>
      <c r="AW188">
        <v>6634132</v>
      </c>
      <c r="AX188">
        <v>4005859</v>
      </c>
      <c r="AY188">
        <v>14</v>
      </c>
      <c r="AZ188">
        <v>7.4</v>
      </c>
      <c r="BA188"/>
      <c r="BB188">
        <v>121.76853612329637</v>
      </c>
      <c r="BC188">
        <v>90.619401830384689</v>
      </c>
      <c r="BD188">
        <v>186.84806451612903</v>
      </c>
      <c r="BE188">
        <v>1.1004645161290323</v>
      </c>
      <c r="BF188">
        <v>57.003870967741932</v>
      </c>
      <c r="BG188">
        <v>249.56935483870967</v>
      </c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</row>
    <row r="189" spans="1:83">
      <c r="A189" s="3">
        <v>42217</v>
      </c>
      <c r="B189" s="3">
        <v>42217</v>
      </c>
      <c r="C189">
        <v>276.67913198501049</v>
      </c>
      <c r="D189">
        <v>112.27598945924065</v>
      </c>
      <c r="E189">
        <v>149.72117827866592</v>
      </c>
      <c r="F189">
        <v>60.652023963530198</v>
      </c>
      <c r="G189">
        <v>82.000488012763526</v>
      </c>
      <c r="H189">
        <v>6452.7000000000044</v>
      </c>
      <c r="I189">
        <v>3705.8000000000029</v>
      </c>
      <c r="J189">
        <v>547.53318361244817</v>
      </c>
      <c r="K189">
        <v>355.66129158912423</v>
      </c>
      <c r="L189">
        <v>129.46627671216098</v>
      </c>
      <c r="M189">
        <v>210.54130853231189</v>
      </c>
      <c r="O189">
        <v>312.58692804511998</v>
      </c>
      <c r="P189">
        <v>150.79589530079267</v>
      </c>
      <c r="Q189">
        <v>44294.26</v>
      </c>
      <c r="T189">
        <v>149.82935629382746</v>
      </c>
      <c r="U189"/>
      <c r="V189"/>
      <c r="W189"/>
      <c r="X189"/>
      <c r="Y189"/>
      <c r="Z189"/>
      <c r="AA189"/>
      <c r="AB189">
        <v>7608</v>
      </c>
      <c r="AC189">
        <v>29085</v>
      </c>
      <c r="AD189">
        <v>3659.8</v>
      </c>
      <c r="AE189">
        <v>2689.8</v>
      </c>
      <c r="AF189">
        <v>319.01752495528206</v>
      </c>
      <c r="AG189">
        <v>250.17874456151574</v>
      </c>
      <c r="AH189">
        <v>348.14232821090252</v>
      </c>
      <c r="AI189">
        <v>322.00355381581664</v>
      </c>
      <c r="AJ189">
        <v>253.98505119924019</v>
      </c>
      <c r="AK189">
        <v>4307271</v>
      </c>
      <c r="AL189">
        <v>3340687</v>
      </c>
      <c r="AM189">
        <v>8231989</v>
      </c>
      <c r="AN189">
        <v>14356579</v>
      </c>
      <c r="AO189"/>
      <c r="AP189">
        <v>5.5</v>
      </c>
      <c r="AQ189"/>
      <c r="AR189"/>
      <c r="AS189"/>
      <c r="AT189"/>
      <c r="AU189">
        <v>559.69709669058955</v>
      </c>
      <c r="AV189">
        <v>652.19461940976976</v>
      </c>
      <c r="AW189">
        <v>7258227</v>
      </c>
      <c r="AX189">
        <v>4120655</v>
      </c>
      <c r="AY189">
        <v>13.8</v>
      </c>
      <c r="AZ189">
        <v>7.9</v>
      </c>
      <c r="BA189"/>
      <c r="BB189">
        <v>114.90242916406663</v>
      </c>
      <c r="BC189">
        <v>85.319591195977594</v>
      </c>
      <c r="BD189">
        <v>208.04645161290324</v>
      </c>
      <c r="BE189">
        <v>1.1139096774193549</v>
      </c>
      <c r="BF189">
        <v>48.48516129032258</v>
      </c>
      <c r="BG189">
        <v>233.08709677419355</v>
      </c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</row>
    <row r="190" spans="1:83">
      <c r="A190" s="3">
        <v>42248</v>
      </c>
      <c r="B190" s="3">
        <v>42248</v>
      </c>
      <c r="C190">
        <v>264.08020600942638</v>
      </c>
      <c r="D190">
        <v>96.658936820433169</v>
      </c>
      <c r="E190">
        <v>161.54915136268053</v>
      </c>
      <c r="F190">
        <v>56.89159847779132</v>
      </c>
      <c r="G190">
        <v>103.89461831217139</v>
      </c>
      <c r="H190">
        <v>6074.9000000000015</v>
      </c>
      <c r="I190">
        <v>3360.1999999999971</v>
      </c>
      <c r="J190">
        <v>592.97843785228133</v>
      </c>
      <c r="K190">
        <v>1569.0598768571301</v>
      </c>
      <c r="L190">
        <v>131.66720341626771</v>
      </c>
      <c r="M190">
        <v>201.96512964503347</v>
      </c>
      <c r="O190">
        <v>330.11947224591108</v>
      </c>
      <c r="P190">
        <v>183.30681034272365</v>
      </c>
      <c r="Q190">
        <v>45256.27</v>
      </c>
      <c r="T190">
        <v>148.07848524448195</v>
      </c>
      <c r="U190"/>
      <c r="V190"/>
      <c r="W190"/>
      <c r="X190"/>
      <c r="Y190"/>
      <c r="Z190"/>
      <c r="AA190"/>
      <c r="AB190">
        <v>7704</v>
      </c>
      <c r="AC190">
        <v>28341</v>
      </c>
      <c r="AD190">
        <v>3744</v>
      </c>
      <c r="AE190">
        <v>2365.4</v>
      </c>
      <c r="AF190">
        <v>322.20770020483485</v>
      </c>
      <c r="AG190">
        <v>255.18231945274601</v>
      </c>
      <c r="AH190">
        <v>350.23118218016793</v>
      </c>
      <c r="AI190">
        <v>324.25757869252737</v>
      </c>
      <c r="AJ190">
        <v>256.3217136702732</v>
      </c>
      <c r="AK190">
        <v>4644278</v>
      </c>
      <c r="AL190">
        <v>3284925</v>
      </c>
      <c r="AM190">
        <v>8427924</v>
      </c>
      <c r="AN190">
        <v>15460006</v>
      </c>
      <c r="AO190"/>
      <c r="AP190">
        <v>12</v>
      </c>
      <c r="AQ190"/>
      <c r="AR190"/>
      <c r="AS190"/>
      <c r="AT190"/>
      <c r="AU190">
        <v>425.75709161788973</v>
      </c>
      <c r="AV190">
        <v>667.10526890756</v>
      </c>
      <c r="AW190">
        <v>7660198</v>
      </c>
      <c r="AX190">
        <v>4173896</v>
      </c>
      <c r="AY190">
        <v>14.4</v>
      </c>
      <c r="AZ190">
        <v>8.6</v>
      </c>
      <c r="BA190"/>
      <c r="BB190">
        <v>91.641641253692185</v>
      </c>
      <c r="BC190">
        <v>67.685099889727866</v>
      </c>
      <c r="BD190">
        <v>262.33100000000002</v>
      </c>
      <c r="BE190">
        <v>1.1239066666666666</v>
      </c>
      <c r="BF190">
        <v>48.517000000000003</v>
      </c>
      <c r="BG190">
        <v>236.78333333333333</v>
      </c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</row>
    <row r="191" spans="1:83">
      <c r="A191" s="3">
        <v>42278</v>
      </c>
      <c r="B191" s="3">
        <v>42278</v>
      </c>
      <c r="C191">
        <v>288.88628610877601</v>
      </c>
      <c r="D191">
        <v>112.15377957178538</v>
      </c>
      <c r="E191">
        <v>167.36492081173702</v>
      </c>
      <c r="F191">
        <v>71.455847688105891</v>
      </c>
      <c r="G191">
        <v>124.5696473562935</v>
      </c>
      <c r="H191">
        <v>6276.6999999999971</v>
      </c>
      <c r="I191">
        <v>3536.9000000000015</v>
      </c>
      <c r="J191">
        <v>613.7326831771112</v>
      </c>
      <c r="K191">
        <v>824.89947428071218</v>
      </c>
      <c r="L191">
        <v>129.16552655135862</v>
      </c>
      <c r="M191">
        <v>193.22906999641486</v>
      </c>
      <c r="O191">
        <v>307.81231778447295</v>
      </c>
      <c r="P191">
        <v>161.71802216165474</v>
      </c>
      <c r="Q191">
        <v>46291.34</v>
      </c>
      <c r="T191">
        <v>150.80143248649887</v>
      </c>
      <c r="U191"/>
      <c r="V191"/>
      <c r="W191"/>
      <c r="X191"/>
      <c r="Y191"/>
      <c r="Z191"/>
      <c r="AA191"/>
      <c r="AB191">
        <v>7983</v>
      </c>
      <c r="AC191">
        <v>28473</v>
      </c>
      <c r="AD191">
        <v>3301.6</v>
      </c>
      <c r="AE191">
        <v>2461</v>
      </c>
      <c r="AF191">
        <v>338.96250061548631</v>
      </c>
      <c r="AG191">
        <v>281.21091603692616</v>
      </c>
      <c r="AH191">
        <v>366.34181656045558</v>
      </c>
      <c r="AI191">
        <v>327.82441205814513</v>
      </c>
      <c r="AJ191">
        <v>269.41975323882411</v>
      </c>
      <c r="AK191">
        <v>4678045</v>
      </c>
      <c r="AL191">
        <v>3139300</v>
      </c>
      <c r="AM191">
        <v>8494047</v>
      </c>
      <c r="AN191">
        <v>15709825</v>
      </c>
      <c r="AO191"/>
      <c r="AP191">
        <v>16</v>
      </c>
      <c r="AQ191"/>
      <c r="AR191"/>
      <c r="AS191"/>
      <c r="AT191"/>
      <c r="AU191">
        <v>480.77849859347009</v>
      </c>
      <c r="AV191">
        <v>668.97473372573961</v>
      </c>
      <c r="AW191">
        <v>7779337</v>
      </c>
      <c r="AX191">
        <v>4185104</v>
      </c>
      <c r="AY191">
        <v>14.8</v>
      </c>
      <c r="AZ191">
        <v>8.1999999999999993</v>
      </c>
      <c r="BA191"/>
      <c r="BB191">
        <v>88.991390420152882</v>
      </c>
      <c r="BC191">
        <v>62.589875662945445</v>
      </c>
      <c r="BD191">
        <v>276.05064516129033</v>
      </c>
      <c r="BE191">
        <v>1.1216999999999999</v>
      </c>
      <c r="BF191">
        <v>49.4341935483871</v>
      </c>
      <c r="BG191">
        <v>236.64516129032259</v>
      </c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</row>
    <row r="192" spans="1:83">
      <c r="A192" s="3">
        <v>42309</v>
      </c>
      <c r="B192" s="3">
        <v>42309</v>
      </c>
      <c r="C192">
        <v>305.55708679292371</v>
      </c>
      <c r="D192">
        <v>122.94009741311423</v>
      </c>
      <c r="E192">
        <v>170.54485430716002</v>
      </c>
      <c r="F192">
        <v>83.174606708955253</v>
      </c>
      <c r="G192">
        <v>121.45540617238616</v>
      </c>
      <c r="H192">
        <v>6746.8999999999942</v>
      </c>
      <c r="I192">
        <v>4040.5</v>
      </c>
      <c r="J192">
        <v>583.04604901825564</v>
      </c>
      <c r="K192">
        <v>284.08116892658921</v>
      </c>
      <c r="L192">
        <v>145.44038289682979</v>
      </c>
      <c r="M192">
        <v>202.21505858975743</v>
      </c>
      <c r="O192">
        <v>333.78170395506271</v>
      </c>
      <c r="P192">
        <v>188.76321942219528</v>
      </c>
      <c r="Q192">
        <v>47044.81</v>
      </c>
      <c r="T192">
        <v>145.28103496297399</v>
      </c>
      <c r="U192"/>
      <c r="V192"/>
      <c r="W192"/>
      <c r="X192"/>
      <c r="Y192"/>
      <c r="Z192"/>
      <c r="AA192"/>
      <c r="AB192">
        <v>7422</v>
      </c>
      <c r="AC192">
        <v>28380</v>
      </c>
      <c r="AD192">
        <v>2841.5</v>
      </c>
      <c r="AE192">
        <v>2295.5</v>
      </c>
      <c r="AF192">
        <v>351.50411313825936</v>
      </c>
      <c r="AG192">
        <v>299.48962557932634</v>
      </c>
      <c r="AH192">
        <v>378.43109650695055</v>
      </c>
      <c r="AI192">
        <v>332.41395382695919</v>
      </c>
      <c r="AJ192">
        <v>279.33440015801284</v>
      </c>
      <c r="AK192">
        <v>4816225</v>
      </c>
      <c r="AL192">
        <v>3012824</v>
      </c>
      <c r="AM192">
        <v>8910779</v>
      </c>
      <c r="AN192">
        <v>16616282</v>
      </c>
      <c r="AO192"/>
      <c r="AP192">
        <v>16</v>
      </c>
      <c r="AQ192"/>
      <c r="AR192"/>
      <c r="AS192"/>
      <c r="AT192"/>
      <c r="AU192">
        <v>624.27778530018031</v>
      </c>
      <c r="AV192">
        <v>633.04662254266998</v>
      </c>
      <c r="AW192">
        <v>8180017</v>
      </c>
      <c r="AX192">
        <v>4188565</v>
      </c>
      <c r="AY192">
        <v>15.7</v>
      </c>
      <c r="AZ192">
        <v>8.1</v>
      </c>
      <c r="BA192"/>
      <c r="BB192">
        <v>86.634936229560608</v>
      </c>
      <c r="BC192">
        <v>58.817763858356685</v>
      </c>
      <c r="BD192">
        <v>303.88066666666668</v>
      </c>
      <c r="BE192">
        <v>1.0727599999999999</v>
      </c>
      <c r="BF192">
        <v>45.841333333333331</v>
      </c>
      <c r="BG192">
        <v>215.05</v>
      </c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</row>
    <row r="193" spans="1:83">
      <c r="A193" s="3">
        <v>42339</v>
      </c>
      <c r="B193" s="3">
        <v>42339</v>
      </c>
      <c r="C193">
        <v>300.80567591254311</v>
      </c>
      <c r="D193">
        <v>128.17365233776226</v>
      </c>
      <c r="E193">
        <v>155.87799683674427</v>
      </c>
      <c r="F193">
        <v>95.234924681753768</v>
      </c>
      <c r="G193">
        <v>120.36230751683468</v>
      </c>
      <c r="H193">
        <v>6939</v>
      </c>
      <c r="I193">
        <v>4192.8000000000029</v>
      </c>
      <c r="J193">
        <v>727.05842312576488</v>
      </c>
      <c r="K193">
        <v>389.43750710540934</v>
      </c>
      <c r="L193">
        <v>189.94514006325969</v>
      </c>
      <c r="M193">
        <v>258.57292790935298</v>
      </c>
      <c r="O193">
        <v>463.55865637457521</v>
      </c>
      <c r="P193">
        <v>189.69040233012817</v>
      </c>
      <c r="Q193">
        <v>47091.42</v>
      </c>
      <c r="T193">
        <v>143.63524492979298</v>
      </c>
      <c r="U193"/>
      <c r="V193"/>
      <c r="W193"/>
      <c r="X193"/>
      <c r="Y193"/>
      <c r="Z193"/>
      <c r="AA193"/>
      <c r="AB193">
        <v>7576</v>
      </c>
      <c r="AC193">
        <v>27871</v>
      </c>
      <c r="AD193">
        <v>3891.2</v>
      </c>
      <c r="AE193">
        <v>2319.8000000000002</v>
      </c>
      <c r="AF193">
        <v>355.72216249591844</v>
      </c>
      <c r="AG193">
        <v>302.78401146069893</v>
      </c>
      <c r="AH193">
        <v>382.97226966503393</v>
      </c>
      <c r="AI193">
        <v>337.06774918053668</v>
      </c>
      <c r="AJ193">
        <v>282.65847951989321</v>
      </c>
      <c r="AK193">
        <v>4750746</v>
      </c>
      <c r="AL193">
        <v>3032711</v>
      </c>
      <c r="AM193">
        <v>8597832</v>
      </c>
      <c r="AN193">
        <v>17125875</v>
      </c>
      <c r="AO193"/>
      <c r="AP193">
        <v>16</v>
      </c>
      <c r="AQ193"/>
      <c r="AR193"/>
      <c r="AS193"/>
      <c r="AT193"/>
      <c r="AU193">
        <v>1149.0311227416898</v>
      </c>
      <c r="AV193">
        <v>1129.4691863240303</v>
      </c>
      <c r="AW193">
        <v>8510656</v>
      </c>
      <c r="AX193">
        <v>4163589</v>
      </c>
      <c r="AY193">
        <v>16</v>
      </c>
      <c r="AZ193">
        <v>8</v>
      </c>
      <c r="BA193"/>
      <c r="BB193">
        <v>82.79446496472508</v>
      </c>
      <c r="BC193">
        <v>55.679727649015206</v>
      </c>
      <c r="BD193">
        <v>324.42774193548388</v>
      </c>
      <c r="BE193">
        <v>1.0905129032258065</v>
      </c>
      <c r="BF193">
        <v>38.876774193548385</v>
      </c>
      <c r="BG193">
        <v>208.80967741935484</v>
      </c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</row>
    <row r="194" spans="1:83">
      <c r="A194" s="3">
        <v>42370</v>
      </c>
      <c r="B194" s="3">
        <v>42370</v>
      </c>
      <c r="C194">
        <v>252.39909759456668</v>
      </c>
      <c r="D194">
        <v>109.17589330232086</v>
      </c>
      <c r="E194">
        <v>141.53722112776379</v>
      </c>
      <c r="F194">
        <v>107.42499504101825</v>
      </c>
      <c r="G194">
        <v>72.097022202583972</v>
      </c>
      <c r="H194">
        <v>6725.1</v>
      </c>
      <c r="I194">
        <v>4043.8</v>
      </c>
      <c r="J194">
        <v>121.41875666200272</v>
      </c>
      <c r="K194">
        <v>112.80766729358706</v>
      </c>
      <c r="L194">
        <v>94.592679751503312</v>
      </c>
      <c r="M194">
        <v>165.52062384543859</v>
      </c>
      <c r="O194">
        <v>120.27567851342616</v>
      </c>
      <c r="P194">
        <v>127.06907406525541</v>
      </c>
      <c r="Q194">
        <v>40149.980000000003</v>
      </c>
      <c r="T194">
        <v>139.41066335677513</v>
      </c>
      <c r="U194"/>
      <c r="V194"/>
      <c r="W194"/>
      <c r="X194"/>
      <c r="Y194"/>
      <c r="Z194"/>
      <c r="AA194"/>
      <c r="AB194">
        <v>7979</v>
      </c>
      <c r="AC194">
        <v>26855</v>
      </c>
      <c r="AD194">
        <v>2757.3</v>
      </c>
      <c r="AE194">
        <v>1594.5</v>
      </c>
      <c r="AF194">
        <v>360.34655060836536</v>
      </c>
      <c r="AG194">
        <v>305.50906756384524</v>
      </c>
      <c r="AH194">
        <v>389.86577051900457</v>
      </c>
      <c r="AI194">
        <v>341.11256217070309</v>
      </c>
      <c r="AJ194">
        <v>285.93731788232401</v>
      </c>
      <c r="AK194">
        <v>4722030</v>
      </c>
      <c r="AL194">
        <v>2971351</v>
      </c>
      <c r="AM194">
        <v>8565618</v>
      </c>
      <c r="AN194">
        <v>17618433</v>
      </c>
      <c r="AO194"/>
      <c r="AP194">
        <v>16</v>
      </c>
      <c r="AQ194"/>
      <c r="AR194"/>
      <c r="AS194"/>
      <c r="AT194"/>
      <c r="AU194">
        <v>445.95244582224001</v>
      </c>
      <c r="AV194">
        <v>735.54343777741008</v>
      </c>
      <c r="AW194">
        <v>8693724</v>
      </c>
      <c r="AX194">
        <v>4151100</v>
      </c>
      <c r="AY194">
        <v>25.8</v>
      </c>
      <c r="AZ194">
        <v>8.8000000000000007</v>
      </c>
      <c r="BA194"/>
      <c r="BB194">
        <v>77.421694762139111</v>
      </c>
      <c r="BC194">
        <v>50.449112988595033</v>
      </c>
      <c r="BD194">
        <v>362.56</v>
      </c>
      <c r="BE194">
        <v>1.0865483870967743</v>
      </c>
      <c r="BF194">
        <v>32.553870967741936</v>
      </c>
      <c r="BG194">
        <v>202.21451612903226</v>
      </c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</row>
    <row r="195" spans="1:83">
      <c r="A195" s="3">
        <v>42401</v>
      </c>
      <c r="B195" s="3">
        <v>42401</v>
      </c>
      <c r="C195">
        <v>258.88382937882142</v>
      </c>
      <c r="D195">
        <v>104.69915044551045</v>
      </c>
      <c r="E195">
        <v>147.3402471940021</v>
      </c>
      <c r="F195">
        <v>95.500820591465242</v>
      </c>
      <c r="G195">
        <v>88.24675517596279</v>
      </c>
      <c r="H195">
        <v>6401.1</v>
      </c>
      <c r="I195">
        <v>3998</v>
      </c>
      <c r="J195">
        <v>178.60699104980597</v>
      </c>
      <c r="K195">
        <v>107.5348341642481</v>
      </c>
      <c r="L195">
        <v>94.214309032497297</v>
      </c>
      <c r="M195">
        <v>164.00575541735247</v>
      </c>
      <c r="O195">
        <v>154.69214919806282</v>
      </c>
      <c r="P195">
        <v>123.18835709488518</v>
      </c>
      <c r="Q195">
        <v>38432.18</v>
      </c>
      <c r="T195">
        <v>137.93336786088472</v>
      </c>
      <c r="U195"/>
      <c r="V195"/>
      <c r="W195"/>
      <c r="X195"/>
      <c r="Y195"/>
      <c r="Z195"/>
      <c r="AA195"/>
      <c r="AB195">
        <v>8953</v>
      </c>
      <c r="AC195">
        <v>27645</v>
      </c>
      <c r="AD195">
        <v>2872.8</v>
      </c>
      <c r="AE195">
        <v>1667.8</v>
      </c>
      <c r="AF195">
        <v>364.31036266505731</v>
      </c>
      <c r="AG195">
        <v>307.95314010435595</v>
      </c>
      <c r="AH195">
        <v>393.37456245367565</v>
      </c>
      <c r="AI195">
        <v>346.57036316543429</v>
      </c>
      <c r="AJ195">
        <v>289.39715942870015</v>
      </c>
      <c r="AK195">
        <v>4566189</v>
      </c>
      <c r="AL195">
        <v>3140515</v>
      </c>
      <c r="AM195">
        <v>8781806</v>
      </c>
      <c r="AN195">
        <v>17347937</v>
      </c>
      <c r="AO195"/>
      <c r="AP195">
        <v>17</v>
      </c>
      <c r="AQ195"/>
      <c r="AR195"/>
      <c r="AS195"/>
      <c r="AT195"/>
      <c r="AU195">
        <v>800.64840721365999</v>
      </c>
      <c r="AV195">
        <v>706.62879061673004</v>
      </c>
      <c r="AW195">
        <v>8473267</v>
      </c>
      <c r="AX195">
        <v>4059298</v>
      </c>
      <c r="AY195">
        <v>19.100000000000001</v>
      </c>
      <c r="AZ195">
        <v>11.2</v>
      </c>
      <c r="BA195"/>
      <c r="BB195">
        <v>78.682077696324001</v>
      </c>
      <c r="BC195">
        <v>50.982351457379359</v>
      </c>
      <c r="BD195">
        <v>359.06620689655171</v>
      </c>
      <c r="BE195">
        <v>1.1108448275862068</v>
      </c>
      <c r="BF195">
        <v>33.625172413793102</v>
      </c>
      <c r="BG195">
        <v>207.65689655172415</v>
      </c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</row>
    <row r="196" spans="1:83">
      <c r="A196" s="3">
        <v>42430</v>
      </c>
      <c r="B196" s="3">
        <v>42430</v>
      </c>
      <c r="C196">
        <v>292.85952593115968</v>
      </c>
      <c r="D196">
        <v>117.82394331294958</v>
      </c>
      <c r="E196">
        <v>159.60761081943102</v>
      </c>
      <c r="F196">
        <v>94.450311564959136</v>
      </c>
      <c r="G196">
        <v>102.27798924894088</v>
      </c>
      <c r="H196">
        <v>6781.5999999999985</v>
      </c>
      <c r="I196">
        <v>4211.7</v>
      </c>
      <c r="J196">
        <v>246.47764764873224</v>
      </c>
      <c r="K196">
        <v>135.08924962676346</v>
      </c>
      <c r="L196">
        <v>108.06381246027441</v>
      </c>
      <c r="M196">
        <v>175.41146569027427</v>
      </c>
      <c r="O196">
        <v>252.24122354598438</v>
      </c>
      <c r="P196">
        <v>132.27565360456333</v>
      </c>
      <c r="Q196">
        <v>40140.71</v>
      </c>
      <c r="T196">
        <v>137.05556386349778</v>
      </c>
      <c r="U196"/>
      <c r="V196"/>
      <c r="W196"/>
      <c r="X196"/>
      <c r="Y196"/>
      <c r="Z196"/>
      <c r="AA196"/>
      <c r="AB196">
        <v>9056</v>
      </c>
      <c r="AC196">
        <v>28394</v>
      </c>
      <c r="AD196">
        <v>2653.6</v>
      </c>
      <c r="AE196">
        <v>1965.6</v>
      </c>
      <c r="AF196">
        <v>366.13191447838261</v>
      </c>
      <c r="AG196">
        <v>310.72471836529519</v>
      </c>
      <c r="AH196">
        <v>395.34143526594397</v>
      </c>
      <c r="AI196">
        <v>347.61007425493062</v>
      </c>
      <c r="AJ196">
        <v>291.16248210121523</v>
      </c>
      <c r="AK196">
        <v>4993159</v>
      </c>
      <c r="AL196">
        <v>3587429</v>
      </c>
      <c r="AM196">
        <v>9736667</v>
      </c>
      <c r="AN196">
        <v>17715668</v>
      </c>
      <c r="AO196"/>
      <c r="AP196">
        <v>17</v>
      </c>
      <c r="AQ196"/>
      <c r="AR196"/>
      <c r="AS196"/>
      <c r="AT196"/>
      <c r="AU196">
        <v>594.82508808650005</v>
      </c>
      <c r="AV196">
        <v>702.72931816336973</v>
      </c>
      <c r="AW196">
        <v>8491509</v>
      </c>
      <c r="AX196">
        <v>3995012</v>
      </c>
      <c r="AY196">
        <v>18</v>
      </c>
      <c r="AZ196">
        <v>11.8</v>
      </c>
      <c r="BA196"/>
      <c r="BB196">
        <v>80.064681750162308</v>
      </c>
      <c r="BC196">
        <v>51.977714905193217</v>
      </c>
      <c r="BD196">
        <v>344.9867741935484</v>
      </c>
      <c r="BE196">
        <v>1.1143870967741936</v>
      </c>
      <c r="BF196">
        <v>39.913548387096775</v>
      </c>
      <c r="BG196">
        <v>223.71290322580646</v>
      </c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</row>
    <row r="197" spans="1:83">
      <c r="A197" s="3">
        <v>42461</v>
      </c>
      <c r="B197" s="3">
        <v>42461</v>
      </c>
      <c r="C197">
        <v>280.40754289889639</v>
      </c>
      <c r="D197">
        <v>106.64437234774554</v>
      </c>
      <c r="E197">
        <v>162.99071353093896</v>
      </c>
      <c r="F197">
        <v>81.510618880559733</v>
      </c>
      <c r="G197">
        <v>113.93768002332015</v>
      </c>
      <c r="H197">
        <v>6135.5</v>
      </c>
      <c r="I197">
        <v>3466.5</v>
      </c>
      <c r="J197">
        <v>344.32927376527891</v>
      </c>
      <c r="K197">
        <v>130.52839929704427</v>
      </c>
      <c r="L197">
        <v>113.46700308328813</v>
      </c>
      <c r="M197">
        <v>177.37697382068524</v>
      </c>
      <c r="O197">
        <v>236.30827398623441</v>
      </c>
      <c r="P197">
        <v>131.97842614814462</v>
      </c>
      <c r="Q197">
        <v>38901.51</v>
      </c>
      <c r="T197">
        <v>145.24614324678262</v>
      </c>
      <c r="U197"/>
      <c r="V197"/>
      <c r="W197"/>
      <c r="X197"/>
      <c r="Y197"/>
      <c r="Z197"/>
      <c r="AA197"/>
      <c r="AB197">
        <v>9489</v>
      </c>
      <c r="AC197">
        <v>29400</v>
      </c>
      <c r="AD197">
        <v>2737.1</v>
      </c>
      <c r="AE197">
        <v>2086</v>
      </c>
      <c r="AF197">
        <v>368.32870596525288</v>
      </c>
      <c r="AG197">
        <v>313.21051611221759</v>
      </c>
      <c r="AH197">
        <v>398.10882531280566</v>
      </c>
      <c r="AI197">
        <v>349.00051455195029</v>
      </c>
      <c r="AJ197">
        <v>293.17150322771357</v>
      </c>
      <c r="AK197">
        <v>4653021</v>
      </c>
      <c r="AL197">
        <v>3866346</v>
      </c>
      <c r="AM197">
        <v>9800259</v>
      </c>
      <c r="AN197">
        <v>17673456</v>
      </c>
      <c r="AO197"/>
      <c r="AP197">
        <v>17</v>
      </c>
      <c r="AQ197"/>
      <c r="AR197"/>
      <c r="AS197"/>
      <c r="AT197"/>
      <c r="AU197">
        <v>762.71657812192984</v>
      </c>
      <c r="AV197">
        <v>702.74868991635037</v>
      </c>
      <c r="AW197">
        <v>8363344</v>
      </c>
      <c r="AX197">
        <v>3955673</v>
      </c>
      <c r="AY197">
        <v>17.8</v>
      </c>
      <c r="AZ197">
        <v>11.8</v>
      </c>
      <c r="BA197"/>
      <c r="BB197">
        <v>79.823686952909895</v>
      </c>
      <c r="BC197">
        <v>51.806831038077142</v>
      </c>
      <c r="BD197">
        <v>336.91366666666664</v>
      </c>
      <c r="BE197">
        <v>1.13391</v>
      </c>
      <c r="BF197">
        <v>43.196666666666665</v>
      </c>
      <c r="BG197">
        <v>218.16</v>
      </c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</row>
    <row r="198" spans="1:83">
      <c r="A198" s="3">
        <v>42491</v>
      </c>
      <c r="B198" s="3">
        <v>42491</v>
      </c>
      <c r="C198">
        <v>273.26116389309351</v>
      </c>
      <c r="D198">
        <v>101.93825996076926</v>
      </c>
      <c r="E198">
        <v>164.13164852565555</v>
      </c>
      <c r="F198">
        <v>68.46891985967018</v>
      </c>
      <c r="G198">
        <v>77.705497775904348</v>
      </c>
      <c r="H198">
        <v>6156.7999999999993</v>
      </c>
      <c r="I198">
        <v>3136.9000000000015</v>
      </c>
      <c r="J198">
        <v>495.14549567447108</v>
      </c>
      <c r="K198">
        <v>154.18126029297866</v>
      </c>
      <c r="L198">
        <v>122.4308963268679</v>
      </c>
      <c r="M198">
        <v>192.89418258428131</v>
      </c>
      <c r="O198">
        <v>272.83373712677928</v>
      </c>
      <c r="P198">
        <v>137.87698824877242</v>
      </c>
      <c r="Q198">
        <v>41349.99</v>
      </c>
      <c r="T198">
        <v>144.16466428232314</v>
      </c>
      <c r="U198"/>
      <c r="V198"/>
      <c r="W198"/>
      <c r="X198"/>
      <c r="Y198"/>
      <c r="Z198"/>
      <c r="AA198"/>
      <c r="AB198">
        <v>9131</v>
      </c>
      <c r="AC198">
        <v>28603</v>
      </c>
      <c r="AD198">
        <v>2735.2</v>
      </c>
      <c r="AE198">
        <v>2076.3000000000002</v>
      </c>
      <c r="AF198">
        <v>370.17034949507911</v>
      </c>
      <c r="AG198">
        <v>315.40298972500307</v>
      </c>
      <c r="AH198">
        <v>399.70126061405693</v>
      </c>
      <c r="AI198">
        <v>350.74551712471009</v>
      </c>
      <c r="AJ198">
        <v>294.95984939740265</v>
      </c>
      <c r="AK198">
        <v>4495113</v>
      </c>
      <c r="AL198">
        <v>3955149</v>
      </c>
      <c r="AM198">
        <v>10170296</v>
      </c>
      <c r="AN198">
        <v>17929948</v>
      </c>
      <c r="AO198"/>
      <c r="AP198">
        <v>15</v>
      </c>
      <c r="AQ198"/>
      <c r="AR198"/>
      <c r="AS198"/>
      <c r="AT198"/>
      <c r="AU198">
        <v>876.90004863969978</v>
      </c>
      <c r="AV198">
        <v>717.37063717592969</v>
      </c>
      <c r="AW198">
        <v>8446444</v>
      </c>
      <c r="AX198">
        <v>3981125</v>
      </c>
      <c r="AY198">
        <v>16.600000000000001</v>
      </c>
      <c r="AZ198">
        <v>12.1</v>
      </c>
      <c r="BA198"/>
      <c r="BB198">
        <v>81.364027779910003</v>
      </c>
      <c r="BC198">
        <v>52.622534851117045</v>
      </c>
      <c r="BD198">
        <v>333.13290322580644</v>
      </c>
      <c r="BE198">
        <v>1.1294193548387097</v>
      </c>
      <c r="BF198">
        <v>47.704516129032257</v>
      </c>
      <c r="BG198">
        <v>211.38064516129032</v>
      </c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</row>
    <row r="199" spans="1:83">
      <c r="A199" s="3">
        <v>42522</v>
      </c>
      <c r="B199" s="3">
        <v>42522</v>
      </c>
      <c r="C199">
        <v>280.5889814767483</v>
      </c>
      <c r="D199">
        <v>112.3606378826519</v>
      </c>
      <c r="E199">
        <v>155.79614044496978</v>
      </c>
      <c r="F199">
        <v>64.086908988651288</v>
      </c>
      <c r="G199">
        <v>81.668478162475466</v>
      </c>
      <c r="H199">
        <v>6472.0999999999985</v>
      </c>
      <c r="I199">
        <v>4146.8999999999978</v>
      </c>
      <c r="J199">
        <v>573.37848399103746</v>
      </c>
      <c r="K199">
        <v>221.35032555063196</v>
      </c>
      <c r="L199">
        <v>137.12260388609204</v>
      </c>
      <c r="M199">
        <v>207.33075156484244</v>
      </c>
      <c r="O199">
        <v>332.52253291395834</v>
      </c>
      <c r="P199">
        <v>148.15775220852774</v>
      </c>
      <c r="Q199">
        <v>41648.339999999997</v>
      </c>
      <c r="T199">
        <v>143.37846921805465</v>
      </c>
      <c r="U199"/>
      <c r="V199"/>
      <c r="W199"/>
      <c r="X199"/>
      <c r="Y199"/>
      <c r="Z199"/>
      <c r="AA199"/>
      <c r="AB199">
        <v>10085</v>
      </c>
      <c r="AC199">
        <v>30374</v>
      </c>
      <c r="AD199">
        <v>2994.2</v>
      </c>
      <c r="AE199">
        <v>1995.5</v>
      </c>
      <c r="AF199">
        <v>371.65103089305944</v>
      </c>
      <c r="AG199">
        <v>316.98000467362806</v>
      </c>
      <c r="AH199">
        <v>402.49916943835535</v>
      </c>
      <c r="AI199">
        <v>351.09626264183476</v>
      </c>
      <c r="AJ199">
        <v>295.96271288535382</v>
      </c>
      <c r="AK199">
        <v>4894149</v>
      </c>
      <c r="AL199">
        <v>4220880</v>
      </c>
      <c r="AM199">
        <v>10695805</v>
      </c>
      <c r="AN199">
        <v>18351082</v>
      </c>
      <c r="AO199"/>
      <c r="AP199">
        <v>15</v>
      </c>
      <c r="AQ199"/>
      <c r="AR199"/>
      <c r="AS199"/>
      <c r="AT199"/>
      <c r="AU199">
        <v>652.21105988937006</v>
      </c>
      <c r="AV199">
        <v>757.13765235595963</v>
      </c>
      <c r="AW199">
        <v>8464561</v>
      </c>
      <c r="AX199">
        <v>3991378</v>
      </c>
      <c r="AY199">
        <v>16.3</v>
      </c>
      <c r="AZ199">
        <v>11.2</v>
      </c>
      <c r="BA199"/>
      <c r="BB199">
        <v>80.896335509969546</v>
      </c>
      <c r="BC199">
        <v>52.148677742663438</v>
      </c>
      <c r="BD199">
        <v>336.47133333333335</v>
      </c>
      <c r="BE199">
        <v>1.1244700000000001</v>
      </c>
      <c r="BF199">
        <v>49.797333333333334</v>
      </c>
      <c r="BG199">
        <v>209.125</v>
      </c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</row>
    <row r="200" spans="1:83">
      <c r="A200" s="3">
        <v>42552</v>
      </c>
      <c r="B200" s="3">
        <v>42552</v>
      </c>
      <c r="C200">
        <v>271.04218258055499</v>
      </c>
      <c r="D200">
        <v>113.175118736968</v>
      </c>
      <c r="E200">
        <v>134.4840672149079</v>
      </c>
      <c r="F200">
        <v>60.113520631354902</v>
      </c>
      <c r="G200">
        <v>80.443450990038343</v>
      </c>
      <c r="H200">
        <v>6736.6000000000058</v>
      </c>
      <c r="I200">
        <v>4037.7000000000007</v>
      </c>
      <c r="J200">
        <v>700.66850743704777</v>
      </c>
      <c r="K200">
        <v>206.59433036750431</v>
      </c>
      <c r="L200">
        <v>130.26647369178744</v>
      </c>
      <c r="M200">
        <v>207.69955972252245</v>
      </c>
      <c r="O200">
        <v>292.48742097514366</v>
      </c>
      <c r="P200">
        <v>146.37852906481768</v>
      </c>
      <c r="Q200">
        <v>42851.61</v>
      </c>
      <c r="T200">
        <v>142.79954849380863</v>
      </c>
      <c r="U200"/>
      <c r="V200"/>
      <c r="W200"/>
      <c r="X200"/>
      <c r="Y200"/>
      <c r="Z200"/>
      <c r="AA200"/>
      <c r="AB200">
        <v>10344</v>
      </c>
      <c r="AC200">
        <v>30375</v>
      </c>
      <c r="AD200">
        <v>3161.8</v>
      </c>
      <c r="AE200">
        <v>1908.6</v>
      </c>
      <c r="AF200">
        <v>373.50928604752471</v>
      </c>
      <c r="AG200">
        <v>318.24792469232256</v>
      </c>
      <c r="AH200">
        <v>404.51166528554711</v>
      </c>
      <c r="AI200">
        <v>353.20284021768578</v>
      </c>
      <c r="AJ200">
        <v>297.85687424782009</v>
      </c>
      <c r="AK200">
        <v>4452803</v>
      </c>
      <c r="AL200">
        <v>4226445</v>
      </c>
      <c r="AM200">
        <v>11270623</v>
      </c>
      <c r="AN200">
        <v>19443342</v>
      </c>
      <c r="AO200"/>
      <c r="AP200">
        <v>15</v>
      </c>
      <c r="AQ200"/>
      <c r="AR200"/>
      <c r="AS200"/>
      <c r="AT200"/>
      <c r="AU200">
        <v>802.81412409677966</v>
      </c>
      <c r="AV200">
        <v>729.06776727108002</v>
      </c>
      <c r="AW200">
        <v>8716789</v>
      </c>
      <c r="AX200">
        <v>4026753</v>
      </c>
      <c r="AY200">
        <v>16.2</v>
      </c>
      <c r="AZ200">
        <v>11.9</v>
      </c>
      <c r="BA200"/>
      <c r="BB200">
        <v>81.09235552884131</v>
      </c>
      <c r="BC200">
        <v>51.906755740743385</v>
      </c>
      <c r="BD200">
        <v>341.61354838709678</v>
      </c>
      <c r="BE200">
        <v>1.1067548387096773</v>
      </c>
      <c r="BF200">
        <v>46.547419354838709</v>
      </c>
      <c r="BG200">
        <v>220.65967741935484</v>
      </c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</row>
    <row r="201" spans="1:83">
      <c r="A201" s="3">
        <v>42583</v>
      </c>
      <c r="B201" s="3">
        <v>42583</v>
      </c>
      <c r="C201">
        <v>255.92819708613467</v>
      </c>
      <c r="D201">
        <v>94.424107135221391</v>
      </c>
      <c r="E201">
        <v>151.5178324180099</v>
      </c>
      <c r="F201">
        <v>56.326368831579551</v>
      </c>
      <c r="G201">
        <v>105.30047734596019</v>
      </c>
      <c r="H201">
        <v>5379.3999999999942</v>
      </c>
      <c r="I201">
        <v>3288.5999999999985</v>
      </c>
      <c r="J201">
        <v>586.45954072480902</v>
      </c>
      <c r="K201">
        <v>410.65361352063803</v>
      </c>
      <c r="L201">
        <v>140.16672569236326</v>
      </c>
      <c r="M201">
        <v>219.17350218213664</v>
      </c>
      <c r="O201">
        <v>301.95897249158588</v>
      </c>
      <c r="P201">
        <v>151.09748709139424</v>
      </c>
      <c r="Q201">
        <v>43772.84</v>
      </c>
      <c r="T201">
        <v>142.54854861562433</v>
      </c>
      <c r="U201"/>
      <c r="V201"/>
      <c r="W201"/>
      <c r="X201"/>
      <c r="Y201"/>
      <c r="Z201"/>
      <c r="AA201"/>
      <c r="AB201">
        <v>10313</v>
      </c>
      <c r="AC201">
        <v>30536</v>
      </c>
      <c r="AD201">
        <v>3024.8</v>
      </c>
      <c r="AE201">
        <v>2328.8000000000002</v>
      </c>
      <c r="AF201">
        <v>374.25630461961975</v>
      </c>
      <c r="AG201">
        <v>321.11215601455353</v>
      </c>
      <c r="AH201">
        <v>402.89361862440495</v>
      </c>
      <c r="AI201">
        <v>353.90924589812113</v>
      </c>
      <c r="AJ201">
        <v>300.03122942982918</v>
      </c>
      <c r="AK201">
        <v>4524027</v>
      </c>
      <c r="AL201">
        <v>4026363</v>
      </c>
      <c r="AM201">
        <v>10963323</v>
      </c>
      <c r="AN201">
        <v>18864139</v>
      </c>
      <c r="AO201"/>
      <c r="AP201">
        <v>13</v>
      </c>
      <c r="AQ201"/>
      <c r="AR201"/>
      <c r="AS201"/>
      <c r="AT201"/>
      <c r="AU201">
        <v>850.28099366195033</v>
      </c>
      <c r="AV201">
        <v>722.8919230050501</v>
      </c>
      <c r="AW201">
        <v>8632825</v>
      </c>
      <c r="AX201">
        <v>4031235</v>
      </c>
      <c r="AY201">
        <v>16</v>
      </c>
      <c r="AZ201">
        <v>12</v>
      </c>
      <c r="BA201"/>
      <c r="BB201">
        <v>79.745924170238524</v>
      </c>
      <c r="BC201">
        <v>50.942495128029861</v>
      </c>
      <c r="BD201">
        <v>343.50354838709677</v>
      </c>
      <c r="BE201">
        <v>1.1202161290322581</v>
      </c>
      <c r="BF201">
        <v>47.378709677419351</v>
      </c>
      <c r="BG201">
        <v>214.0016129032258</v>
      </c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</row>
    <row r="202" spans="1:83">
      <c r="A202" s="3">
        <v>42614</v>
      </c>
      <c r="B202" s="3">
        <v>42614</v>
      </c>
      <c r="C202">
        <v>264.34428621543577</v>
      </c>
      <c r="D202">
        <v>95.595688515408398</v>
      </c>
      <c r="E202">
        <v>162.19534796813127</v>
      </c>
      <c r="F202">
        <v>58.241465371853252</v>
      </c>
      <c r="G202">
        <v>130.67789238633659</v>
      </c>
      <c r="H202">
        <v>6140.1000000000058</v>
      </c>
      <c r="I202">
        <v>3659.5</v>
      </c>
      <c r="J202">
        <v>638.06798030859215</v>
      </c>
      <c r="K202">
        <v>1696.7244709071103</v>
      </c>
      <c r="L202">
        <v>131.19605524805201</v>
      </c>
      <c r="M202">
        <v>202.16709477467847</v>
      </c>
      <c r="O202">
        <v>329.12911382917338</v>
      </c>
      <c r="P202">
        <v>187.5228669806063</v>
      </c>
      <c r="Q202">
        <v>45120.23</v>
      </c>
      <c r="T202">
        <v>142.00782828826846</v>
      </c>
      <c r="U202"/>
      <c r="V202"/>
      <c r="W202"/>
      <c r="X202"/>
      <c r="Y202"/>
      <c r="Z202"/>
      <c r="AA202"/>
      <c r="AB202">
        <v>10595</v>
      </c>
      <c r="AC202">
        <v>31231</v>
      </c>
      <c r="AD202">
        <v>3284</v>
      </c>
      <c r="AE202">
        <v>2259.6999999999998</v>
      </c>
      <c r="AF202">
        <v>375.00481722885905</v>
      </c>
      <c r="AG202">
        <v>323.03882895064083</v>
      </c>
      <c r="AH202">
        <v>401.68493776853165</v>
      </c>
      <c r="AI202">
        <v>355.32488288171362</v>
      </c>
      <c r="AJ202">
        <v>301.7414074375792</v>
      </c>
      <c r="AK202">
        <v>4646906</v>
      </c>
      <c r="AL202">
        <v>4038754</v>
      </c>
      <c r="AM202">
        <v>11214404</v>
      </c>
      <c r="AN202">
        <v>19156875</v>
      </c>
      <c r="AO202"/>
      <c r="AP202">
        <v>13</v>
      </c>
      <c r="AQ202"/>
      <c r="AR202"/>
      <c r="AS202"/>
      <c r="AT202"/>
      <c r="AU202">
        <v>748.61118100035003</v>
      </c>
      <c r="AV202">
        <v>766.56249358434047</v>
      </c>
      <c r="AW202">
        <v>8620998</v>
      </c>
      <c r="AX202">
        <v>4065133</v>
      </c>
      <c r="AY202">
        <v>15.1</v>
      </c>
      <c r="AZ202">
        <v>11.2</v>
      </c>
      <c r="BA202"/>
      <c r="BB202">
        <v>81.075765413619393</v>
      </c>
      <c r="BC202">
        <v>51.95576588233093</v>
      </c>
      <c r="BD202">
        <v>338.678</v>
      </c>
      <c r="BE202">
        <v>1.1207433333333332</v>
      </c>
      <c r="BF202">
        <v>47.076333333333331</v>
      </c>
      <c r="BG202">
        <v>213.28333333333333</v>
      </c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</row>
    <row r="203" spans="1:83">
      <c r="A203" s="3">
        <v>42644</v>
      </c>
      <c r="B203" s="3">
        <v>42644</v>
      </c>
      <c r="C203">
        <v>292.35292154208139</v>
      </c>
      <c r="D203">
        <v>116.86423831380036</v>
      </c>
      <c r="E203">
        <v>164.18498731631399</v>
      </c>
      <c r="F203">
        <v>67.152409573746795</v>
      </c>
      <c r="G203">
        <v>156.55211507883124</v>
      </c>
      <c r="H203">
        <v>6939.5999999999985</v>
      </c>
      <c r="I203">
        <v>4166.0999999999985</v>
      </c>
      <c r="J203">
        <v>644.44866011167812</v>
      </c>
      <c r="K203">
        <v>832.1122340507344</v>
      </c>
      <c r="L203">
        <v>132.24562369003641</v>
      </c>
      <c r="M203">
        <v>204.04989791621406</v>
      </c>
      <c r="O203">
        <v>305.65763155998161</v>
      </c>
      <c r="P203">
        <v>164.79066458272621</v>
      </c>
      <c r="Q203">
        <v>46478.18</v>
      </c>
      <c r="T203">
        <v>152.58913701459051</v>
      </c>
      <c r="U203"/>
      <c r="V203"/>
      <c r="W203"/>
      <c r="X203"/>
      <c r="Y203"/>
      <c r="Z203"/>
      <c r="AA203"/>
      <c r="AB203">
        <v>10308</v>
      </c>
      <c r="AC203">
        <v>30314</v>
      </c>
      <c r="AD203">
        <v>2826.8</v>
      </c>
      <c r="AE203">
        <v>2505.9</v>
      </c>
      <c r="AF203">
        <v>377.25484613223222</v>
      </c>
      <c r="AG203">
        <v>325.30010075329534</v>
      </c>
      <c r="AH203">
        <v>404.89841727067989</v>
      </c>
      <c r="AI203">
        <v>356.03553264747705</v>
      </c>
      <c r="AJ203">
        <v>303.34063689699838</v>
      </c>
      <c r="AK203">
        <v>4347750</v>
      </c>
      <c r="AL203">
        <v>4283330</v>
      </c>
      <c r="AM203">
        <v>11436887</v>
      </c>
      <c r="AN203">
        <v>19295184</v>
      </c>
      <c r="AO203"/>
      <c r="AP203">
        <v>12.5</v>
      </c>
      <c r="AQ203"/>
      <c r="AR203"/>
      <c r="AS203"/>
      <c r="AT203"/>
      <c r="AU203">
        <v>1040.2116851292196</v>
      </c>
      <c r="AV203">
        <v>845.43737881645006</v>
      </c>
      <c r="AW203">
        <v>8718563</v>
      </c>
      <c r="AX203">
        <v>4051477</v>
      </c>
      <c r="AY203">
        <v>15.8</v>
      </c>
      <c r="AZ203">
        <v>12</v>
      </c>
      <c r="BA203"/>
      <c r="BB203">
        <v>83.345575425482281</v>
      </c>
      <c r="BC203">
        <v>53.296650229972954</v>
      </c>
      <c r="BD203">
        <v>332.09451612903223</v>
      </c>
      <c r="BE203">
        <v>1.1034322580645162</v>
      </c>
      <c r="BF203">
        <v>51.225806451612904</v>
      </c>
      <c r="BG203">
        <v>214.86129032258066</v>
      </c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</row>
    <row r="204" spans="1:83">
      <c r="A204" s="3">
        <v>42675</v>
      </c>
      <c r="B204" s="3">
        <v>42675</v>
      </c>
      <c r="C204">
        <v>308.91821474764589</v>
      </c>
      <c r="D204">
        <v>124.04655828983226</v>
      </c>
      <c r="E204">
        <v>172.76193741315311</v>
      </c>
      <c r="F204">
        <v>80.314281850201155</v>
      </c>
      <c r="G204">
        <v>153.89072912249111</v>
      </c>
      <c r="H204">
        <v>6946.5999999999985</v>
      </c>
      <c r="I204">
        <v>4149.2000000000044</v>
      </c>
      <c r="J204">
        <v>674.73774713692706</v>
      </c>
      <c r="K204">
        <v>284.06296409999339</v>
      </c>
      <c r="L204">
        <v>141.76730859571904</v>
      </c>
      <c r="M204">
        <v>202.21505858975743</v>
      </c>
      <c r="O204">
        <v>379.50979739690627</v>
      </c>
      <c r="P204">
        <v>193.85982634659456</v>
      </c>
      <c r="Q204">
        <v>46856.77</v>
      </c>
      <c r="T204">
        <v>150.83331109122926</v>
      </c>
      <c r="U204"/>
      <c r="V204"/>
      <c r="W204"/>
      <c r="X204"/>
      <c r="Y204"/>
      <c r="Z204"/>
      <c r="AA204"/>
      <c r="AB204">
        <v>9723</v>
      </c>
      <c r="AC204">
        <v>29564</v>
      </c>
      <c r="AD204">
        <v>3686.5</v>
      </c>
      <c r="AE204">
        <v>2403.6</v>
      </c>
      <c r="AF204">
        <v>381.78190428581905</v>
      </c>
      <c r="AG204">
        <v>328.22780166007499</v>
      </c>
      <c r="AH204">
        <v>412.99638561609351</v>
      </c>
      <c r="AI204">
        <v>357.81571031071445</v>
      </c>
      <c r="AJ204">
        <v>306.07070262907132</v>
      </c>
      <c r="AK204">
        <v>4671068</v>
      </c>
      <c r="AL204">
        <v>4354953</v>
      </c>
      <c r="AM204">
        <v>11861815</v>
      </c>
      <c r="AN204">
        <v>19690861</v>
      </c>
      <c r="AO204"/>
      <c r="AP204">
        <v>12</v>
      </c>
      <c r="AQ204"/>
      <c r="AR204"/>
      <c r="AS204"/>
      <c r="AT204"/>
      <c r="AU204">
        <v>849.32067794182058</v>
      </c>
      <c r="AV204">
        <v>886.80833063342982</v>
      </c>
      <c r="AW204">
        <v>8778475</v>
      </c>
      <c r="AX204">
        <v>4066758</v>
      </c>
      <c r="AY204">
        <v>14.9</v>
      </c>
      <c r="AZ204">
        <v>12.5</v>
      </c>
      <c r="BA204"/>
      <c r="BB204">
        <v>84.269695380450202</v>
      </c>
      <c r="BC204">
        <v>53.282150971636788</v>
      </c>
      <c r="BD204">
        <v>339.56566666666669</v>
      </c>
      <c r="BE204">
        <v>1.0788</v>
      </c>
      <c r="BF204">
        <v>46.81966666666667</v>
      </c>
      <c r="BG204">
        <v>247.56333333333333</v>
      </c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</row>
    <row r="205" spans="1:83">
      <c r="A205" s="3">
        <v>42705</v>
      </c>
      <c r="B205" s="3">
        <v>42705</v>
      </c>
      <c r="C205">
        <v>306.2201780789689</v>
      </c>
      <c r="D205">
        <v>130.22443077516647</v>
      </c>
      <c r="E205">
        <v>159.46319076398939</v>
      </c>
      <c r="F205">
        <v>91.076395618128117</v>
      </c>
      <c r="G205">
        <v>153.27516620600113</v>
      </c>
      <c r="H205">
        <v>7217.3000000000029</v>
      </c>
      <c r="I205">
        <v>4372.5</v>
      </c>
      <c r="J205">
        <v>858.94115210530811</v>
      </c>
      <c r="K205">
        <v>403.43739136737406</v>
      </c>
      <c r="L205">
        <v>198.89953395979384</v>
      </c>
      <c r="M205">
        <v>275.12159529555157</v>
      </c>
      <c r="O205">
        <v>499.71623157179209</v>
      </c>
      <c r="P205">
        <v>199.17492244663458</v>
      </c>
      <c r="Q205">
        <v>49035.8</v>
      </c>
      <c r="T205">
        <v>149.5336594254498</v>
      </c>
      <c r="U205"/>
      <c r="V205"/>
      <c r="W205"/>
      <c r="X205"/>
      <c r="Y205"/>
      <c r="Z205"/>
      <c r="AA205"/>
      <c r="AB205">
        <v>9617</v>
      </c>
      <c r="AC205">
        <v>29710</v>
      </c>
      <c r="AD205">
        <v>4002.8</v>
      </c>
      <c r="AE205">
        <v>2584.4</v>
      </c>
      <c r="AF205">
        <v>385.21794142439148</v>
      </c>
      <c r="AG205">
        <v>330.85362407335555</v>
      </c>
      <c r="AH205">
        <v>420.01732417156711</v>
      </c>
      <c r="AI205">
        <v>358.53134173133594</v>
      </c>
      <c r="AJ205">
        <v>307.53984200169083</v>
      </c>
      <c r="AK205">
        <v>5162573</v>
      </c>
      <c r="AL205">
        <v>4589768</v>
      </c>
      <c r="AM205">
        <v>12566465</v>
      </c>
      <c r="AN205">
        <v>19798592</v>
      </c>
      <c r="AO205"/>
      <c r="AP205">
        <v>12</v>
      </c>
      <c r="AQ205"/>
      <c r="AR205"/>
      <c r="AS205"/>
      <c r="AT205"/>
      <c r="AU205">
        <v>883.99289708063941</v>
      </c>
      <c r="AV205">
        <v>1160.8184726705401</v>
      </c>
      <c r="AW205">
        <v>8668542</v>
      </c>
      <c r="AX205">
        <v>4039782</v>
      </c>
      <c r="AY205">
        <v>14.4</v>
      </c>
      <c r="AZ205">
        <v>12</v>
      </c>
      <c r="BA205"/>
      <c r="BB205">
        <v>87.031722414438889</v>
      </c>
      <c r="BC205">
        <v>54.710200496458469</v>
      </c>
      <c r="BD205">
        <v>334.19129032258064</v>
      </c>
      <c r="BE205">
        <v>1.0536064516129033</v>
      </c>
      <c r="BF205">
        <v>54.952903225806452</v>
      </c>
      <c r="BG205">
        <v>256.38548387096773</v>
      </c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</row>
    <row r="206" spans="1:83">
      <c r="A206" s="3">
        <v>42736</v>
      </c>
      <c r="B206" s="3">
        <v>42736</v>
      </c>
      <c r="C206">
        <v>264.76665337670045</v>
      </c>
      <c r="D206">
        <v>114.0888085009253</v>
      </c>
      <c r="E206">
        <v>150.17099161655736</v>
      </c>
      <c r="F206">
        <v>109.78834493192066</v>
      </c>
      <c r="G206">
        <v>70.078305580911618</v>
      </c>
      <c r="H206">
        <v>7120.1</v>
      </c>
      <c r="I206">
        <v>4498.7</v>
      </c>
      <c r="J206">
        <v>134.85376088053337</v>
      </c>
      <c r="K206">
        <v>114.67425775978447</v>
      </c>
      <c r="L206">
        <v>95.272876766741248</v>
      </c>
      <c r="M206">
        <v>171.31384568002895</v>
      </c>
      <c r="O206">
        <v>153.23121442610491</v>
      </c>
      <c r="P206">
        <v>131.89769887973512</v>
      </c>
      <c r="Q206">
        <v>42063.17</v>
      </c>
      <c r="T206">
        <v>142.75651927733773</v>
      </c>
      <c r="U206"/>
      <c r="V206"/>
      <c r="W206"/>
      <c r="X206"/>
      <c r="Y206"/>
      <c r="Z206"/>
      <c r="AA206"/>
      <c r="AB206">
        <v>10015</v>
      </c>
      <c r="AC206">
        <v>29376</v>
      </c>
      <c r="AD206">
        <v>3267.4</v>
      </c>
      <c r="AE206">
        <v>1988</v>
      </c>
      <c r="AF206">
        <v>388.29968495578657</v>
      </c>
      <c r="AG206">
        <v>333.16959944186902</v>
      </c>
      <c r="AH206">
        <v>425.05753206162592</v>
      </c>
      <c r="AI206">
        <v>359.96546709826129</v>
      </c>
      <c r="AJ206">
        <v>309.23131113270017</v>
      </c>
      <c r="AK206">
        <v>4678806</v>
      </c>
      <c r="AL206">
        <v>4310015</v>
      </c>
      <c r="AM206">
        <v>12121436</v>
      </c>
      <c r="AN206">
        <v>19037212</v>
      </c>
      <c r="AO206"/>
      <c r="AP206">
        <v>12</v>
      </c>
      <c r="AQ206"/>
      <c r="AR206"/>
      <c r="AS206"/>
      <c r="AT206"/>
      <c r="AU206">
        <v>554.75926451099997</v>
      </c>
      <c r="AV206">
        <v>641.11488432877002</v>
      </c>
      <c r="AW206">
        <v>8493989</v>
      </c>
      <c r="AX206">
        <v>4025889</v>
      </c>
      <c r="AY206">
        <v>15.2</v>
      </c>
      <c r="AZ206">
        <v>12.3</v>
      </c>
      <c r="BA206"/>
      <c r="BB206">
        <v>87.59736308962043</v>
      </c>
      <c r="BC206">
        <v>54.643956957777931</v>
      </c>
      <c r="BD206">
        <v>331.07870967741934</v>
      </c>
      <c r="BE206">
        <v>1.0630774193548387</v>
      </c>
      <c r="BF206">
        <v>55.65032258064516</v>
      </c>
      <c r="BG206">
        <v>262.39354838709676</v>
      </c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</row>
    <row r="207" spans="1:83">
      <c r="A207" s="3">
        <v>42767</v>
      </c>
      <c r="B207" s="3">
        <v>42767</v>
      </c>
      <c r="C207">
        <v>269.23918255397427</v>
      </c>
      <c r="D207">
        <v>107.10723090575719</v>
      </c>
      <c r="E207">
        <v>156.91736326161225</v>
      </c>
      <c r="F207">
        <v>98.079342747434808</v>
      </c>
      <c r="G207">
        <v>86.040586296563731</v>
      </c>
      <c r="H207">
        <v>6572.2999999999993</v>
      </c>
      <c r="I207">
        <v>4069.4000000000005</v>
      </c>
      <c r="J207">
        <v>192.57117053740166</v>
      </c>
      <c r="K207">
        <v>110.78514607683699</v>
      </c>
      <c r="L207">
        <v>97.178334302076067</v>
      </c>
      <c r="M207">
        <v>173.02607196530687</v>
      </c>
      <c r="O207">
        <v>152.83584340768607</v>
      </c>
      <c r="P207">
        <v>127.74632630739593</v>
      </c>
      <c r="Q207">
        <v>38839.81</v>
      </c>
      <c r="T207">
        <v>141.24376868954596</v>
      </c>
      <c r="U207"/>
      <c r="V207"/>
      <c r="W207"/>
      <c r="X207"/>
      <c r="Y207"/>
      <c r="Z207"/>
      <c r="AA207"/>
      <c r="AB207">
        <v>10620</v>
      </c>
      <c r="AC207">
        <v>29689</v>
      </c>
      <c r="AD207">
        <v>3630</v>
      </c>
      <c r="AE207">
        <v>1908.4</v>
      </c>
      <c r="AF207">
        <v>392.18268180534449</v>
      </c>
      <c r="AG207">
        <v>335.16861703852021</v>
      </c>
      <c r="AH207">
        <v>431.00833751048873</v>
      </c>
      <c r="AI207">
        <v>363.20515630214567</v>
      </c>
      <c r="AJ207">
        <v>311.5196228350822</v>
      </c>
      <c r="AK207">
        <v>4686894</v>
      </c>
      <c r="AL207">
        <v>4454442</v>
      </c>
      <c r="AM207">
        <v>11974737</v>
      </c>
      <c r="AN207">
        <v>18649438</v>
      </c>
      <c r="AO207"/>
      <c r="AP207">
        <v>11</v>
      </c>
      <c r="AQ207"/>
      <c r="AR207"/>
      <c r="AS207"/>
      <c r="AT207"/>
      <c r="AU207">
        <v>898.90526421206994</v>
      </c>
      <c r="AV207">
        <v>832.8376733542699</v>
      </c>
      <c r="AW207">
        <v>8344305</v>
      </c>
      <c r="AX207">
        <v>4010213</v>
      </c>
      <c r="AY207">
        <v>14.2</v>
      </c>
      <c r="AZ207">
        <v>11.8</v>
      </c>
      <c r="BA207"/>
      <c r="BB207">
        <v>90.360866223939624</v>
      </c>
      <c r="BC207">
        <v>55.951343232760607</v>
      </c>
      <c r="BD207">
        <v>319.68535714285713</v>
      </c>
      <c r="BE207">
        <v>1.0644035714285716</v>
      </c>
      <c r="BF207">
        <v>56.091071428571432</v>
      </c>
      <c r="BG207">
        <v>269.68928571428569</v>
      </c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</row>
    <row r="208" spans="1:83">
      <c r="A208" s="3">
        <v>42795</v>
      </c>
      <c r="B208" s="3">
        <v>42795</v>
      </c>
      <c r="C208">
        <v>317.16686658344588</v>
      </c>
      <c r="D208">
        <v>129.60633764424455</v>
      </c>
      <c r="E208">
        <v>170.4609283551523</v>
      </c>
      <c r="F208">
        <v>100.87293275137635</v>
      </c>
      <c r="G208">
        <v>102.68710120593666</v>
      </c>
      <c r="H208">
        <v>7436.0000000000018</v>
      </c>
      <c r="I208">
        <v>4670.5</v>
      </c>
      <c r="J208">
        <v>278.45791259708278</v>
      </c>
      <c r="K208">
        <v>142.41734191723788</v>
      </c>
      <c r="L208">
        <v>112.33815445319993</v>
      </c>
      <c r="M208">
        <v>188.21650268566427</v>
      </c>
      <c r="O208">
        <v>237.3589913567713</v>
      </c>
      <c r="P208">
        <v>141.27039804967364</v>
      </c>
      <c r="Q208">
        <v>44229.81</v>
      </c>
      <c r="T208">
        <v>140.48195296008521</v>
      </c>
      <c r="U208"/>
      <c r="V208"/>
      <c r="W208"/>
      <c r="X208"/>
      <c r="Y208"/>
      <c r="Z208"/>
      <c r="AA208"/>
      <c r="AB208">
        <v>10687</v>
      </c>
      <c r="AC208">
        <v>29742</v>
      </c>
      <c r="AD208">
        <v>3976.5</v>
      </c>
      <c r="AE208">
        <v>2230.1999999999998</v>
      </c>
      <c r="AF208">
        <v>394.14359521437126</v>
      </c>
      <c r="AG208">
        <v>336.50929150667434</v>
      </c>
      <c r="AH208">
        <v>433.59438753555162</v>
      </c>
      <c r="AI208">
        <v>364.65797692735424</v>
      </c>
      <c r="AJ208">
        <v>312.70339740185551</v>
      </c>
      <c r="AK208">
        <v>5198807</v>
      </c>
      <c r="AL208">
        <v>4927779</v>
      </c>
      <c r="AM208">
        <v>12746522</v>
      </c>
      <c r="AN208">
        <v>19250778</v>
      </c>
      <c r="AO208"/>
      <c r="AP208">
        <v>11</v>
      </c>
      <c r="AQ208"/>
      <c r="AR208"/>
      <c r="AS208"/>
      <c r="AT208"/>
      <c r="AU208">
        <v>852.9017936683199</v>
      </c>
      <c r="AV208">
        <v>655.0703236930301</v>
      </c>
      <c r="AW208">
        <v>8467493</v>
      </c>
      <c r="AX208">
        <v>4038458</v>
      </c>
      <c r="AY208">
        <v>13</v>
      </c>
      <c r="AZ208">
        <v>12.1</v>
      </c>
      <c r="BA208"/>
      <c r="BB208">
        <v>91.371032011069119</v>
      </c>
      <c r="BC208">
        <v>56.567733433417509</v>
      </c>
      <c r="BD208">
        <v>316.12483870967742</v>
      </c>
      <c r="BE208">
        <v>1.0692580645161291</v>
      </c>
      <c r="BF208">
        <v>52.517741935483869</v>
      </c>
      <c r="BG208">
        <v>264.23709677419356</v>
      </c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</row>
    <row r="209" spans="1:83">
      <c r="A209" s="3">
        <v>42826</v>
      </c>
      <c r="B209" s="3">
        <v>42826</v>
      </c>
      <c r="C209">
        <v>310.9719650748761</v>
      </c>
      <c r="D209">
        <v>122.0011619658209</v>
      </c>
      <c r="E209">
        <v>175.37800775929031</v>
      </c>
      <c r="F209">
        <v>87.623915296601723</v>
      </c>
      <c r="G209">
        <v>115.9885582637399</v>
      </c>
      <c r="H209">
        <v>7098.3999999999978</v>
      </c>
      <c r="I209">
        <v>4460.4999999999982</v>
      </c>
      <c r="J209">
        <v>372.85514496749386</v>
      </c>
      <c r="K209">
        <v>135.07277581014705</v>
      </c>
      <c r="L209">
        <v>113.91088861554474</v>
      </c>
      <c r="M209">
        <v>187.31008435464358</v>
      </c>
      <c r="O209">
        <v>262.53849239870641</v>
      </c>
      <c r="P209">
        <v>141.34889440466287</v>
      </c>
      <c r="Q209">
        <v>41821.15</v>
      </c>
      <c r="T209">
        <v>146.2628662495101</v>
      </c>
      <c r="U209"/>
      <c r="V209"/>
      <c r="W209"/>
      <c r="X209"/>
      <c r="Y209"/>
      <c r="Z209"/>
      <c r="AA209"/>
      <c r="AB209">
        <v>11023</v>
      </c>
      <c r="AC209">
        <v>29797</v>
      </c>
      <c r="AD209">
        <v>3976.6</v>
      </c>
      <c r="AE209">
        <v>2301.5</v>
      </c>
      <c r="AF209">
        <v>396.11431319044311</v>
      </c>
      <c r="AG209">
        <v>337.85532867270109</v>
      </c>
      <c r="AH209">
        <v>436.19595386076497</v>
      </c>
      <c r="AI209">
        <v>366.11660883506374</v>
      </c>
      <c r="AJ209">
        <v>313.76658895302182</v>
      </c>
      <c r="AK209">
        <v>5253533</v>
      </c>
      <c r="AL209">
        <v>5046178</v>
      </c>
      <c r="AM209">
        <v>13031740</v>
      </c>
      <c r="AN209">
        <v>19425747</v>
      </c>
      <c r="AO209"/>
      <c r="AP209">
        <v>11</v>
      </c>
      <c r="AQ209"/>
      <c r="AR209"/>
      <c r="AS209"/>
      <c r="AT209"/>
      <c r="AU209">
        <v>904.40657224053007</v>
      </c>
      <c r="AV209">
        <v>789.16022176398985</v>
      </c>
      <c r="AW209">
        <v>8506071</v>
      </c>
      <c r="AX209">
        <v>4082791</v>
      </c>
      <c r="AY209">
        <v>13.9</v>
      </c>
      <c r="AZ209">
        <v>12</v>
      </c>
      <c r="BA209"/>
      <c r="BB209">
        <v>91.691568594890953</v>
      </c>
      <c r="BC209">
        <v>56.741218194849395</v>
      </c>
      <c r="BD209">
        <v>312.66199999999998</v>
      </c>
      <c r="BE209">
        <v>1.0710066666666667</v>
      </c>
      <c r="BF209">
        <v>53.791666666666664</v>
      </c>
      <c r="BG209">
        <v>259.13833333333332</v>
      </c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</row>
    <row r="210" spans="1:83">
      <c r="A210" s="3">
        <v>42856</v>
      </c>
      <c r="B210" s="3">
        <v>42856</v>
      </c>
      <c r="C210">
        <v>302.50010842965452</v>
      </c>
      <c r="D210">
        <v>117.02512243496311</v>
      </c>
      <c r="E210">
        <v>175.45673227392581</v>
      </c>
      <c r="F210">
        <v>72.440117211531046</v>
      </c>
      <c r="G210">
        <v>78.482552753663398</v>
      </c>
      <c r="H210">
        <v>7230.7000000000007</v>
      </c>
      <c r="I210">
        <v>4331.9000000000015</v>
      </c>
      <c r="J210">
        <v>529.08145070887383</v>
      </c>
      <c r="K210">
        <v>158.015685278055</v>
      </c>
      <c r="L210">
        <v>126.44108636325466</v>
      </c>
      <c r="M210">
        <v>210.06176483428237</v>
      </c>
      <c r="O210">
        <v>284.56558782323077</v>
      </c>
      <c r="P210">
        <v>148.07988537918158</v>
      </c>
      <c r="Q210">
        <v>44882.37</v>
      </c>
      <c r="T210">
        <v>145.17381693229942</v>
      </c>
      <c r="U210"/>
      <c r="V210"/>
      <c r="W210"/>
      <c r="X210"/>
      <c r="Y210"/>
      <c r="Z210"/>
      <c r="AA210"/>
      <c r="AB210">
        <v>11191</v>
      </c>
      <c r="AC210">
        <v>30187</v>
      </c>
      <c r="AD210">
        <v>4159.8999999999996</v>
      </c>
      <c r="AE210">
        <v>2715.3</v>
      </c>
      <c r="AF210">
        <v>398.09488475639534</v>
      </c>
      <c r="AG210">
        <v>339.54460531606458</v>
      </c>
      <c r="AH210">
        <v>438.37693363006878</v>
      </c>
      <c r="AI210">
        <v>368.31330848807409</v>
      </c>
      <c r="AJ210">
        <v>315.11578528551979</v>
      </c>
      <c r="AK210">
        <v>5536229</v>
      </c>
      <c r="AL210">
        <v>5127913</v>
      </c>
      <c r="AM210">
        <v>13204302</v>
      </c>
      <c r="AN210">
        <v>19429278</v>
      </c>
      <c r="AO210"/>
      <c r="AP210">
        <v>10.5</v>
      </c>
      <c r="AQ210"/>
      <c r="AR210"/>
      <c r="AS210"/>
      <c r="AT210"/>
      <c r="AU210">
        <v>964.50091453337996</v>
      </c>
      <c r="AV210">
        <v>908.6086578374202</v>
      </c>
      <c r="AW210">
        <v>8475238</v>
      </c>
      <c r="AX210">
        <v>4131171</v>
      </c>
      <c r="AY210">
        <v>13.3</v>
      </c>
      <c r="AZ210">
        <v>12</v>
      </c>
      <c r="BA210"/>
      <c r="BB210">
        <v>90.5591054574992</v>
      </c>
      <c r="BC210">
        <v>55.794499016911281</v>
      </c>
      <c r="BD210">
        <v>314.00354838709677</v>
      </c>
      <c r="BE210">
        <v>1.1062709677419356</v>
      </c>
      <c r="BF210">
        <v>51.399354838709677</v>
      </c>
      <c r="BG210">
        <v>254.79354838709676</v>
      </c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</row>
    <row r="211" spans="1:83">
      <c r="A211" s="3">
        <v>42887</v>
      </c>
      <c r="B211" s="3">
        <v>42887</v>
      </c>
      <c r="C211">
        <v>301.63315508750441</v>
      </c>
      <c r="D211">
        <v>123.93378358456505</v>
      </c>
      <c r="E211">
        <v>163.27435518632831</v>
      </c>
      <c r="F211">
        <v>67.803949709993063</v>
      </c>
      <c r="G211">
        <v>82.32182598777527</v>
      </c>
      <c r="H211">
        <v>7096.9000000000015</v>
      </c>
      <c r="I211">
        <v>4393.2999999999993</v>
      </c>
      <c r="J211">
        <v>641.24671825915505</v>
      </c>
      <c r="K211">
        <v>230.37357798524408</v>
      </c>
      <c r="L211">
        <v>138.57943065412709</v>
      </c>
      <c r="M211">
        <v>216.8679661368252</v>
      </c>
      <c r="O211">
        <v>329.19730758481876</v>
      </c>
      <c r="P211">
        <v>156.75090183662235</v>
      </c>
      <c r="Q211">
        <v>45472.38</v>
      </c>
      <c r="T211">
        <v>144.38211850258102</v>
      </c>
      <c r="U211"/>
      <c r="V211"/>
      <c r="W211"/>
      <c r="X211"/>
      <c r="Y211"/>
      <c r="Z211"/>
      <c r="AA211"/>
      <c r="AB211">
        <v>11153</v>
      </c>
      <c r="AC211">
        <v>30011</v>
      </c>
      <c r="AD211">
        <v>4156.8999999999996</v>
      </c>
      <c r="AE211">
        <v>2665.4</v>
      </c>
      <c r="AF211">
        <v>399.68726429542096</v>
      </c>
      <c r="AG211">
        <v>340.90278373732883</v>
      </c>
      <c r="AH211">
        <v>441.44557216547923</v>
      </c>
      <c r="AI211">
        <v>368.68162179656213</v>
      </c>
      <c r="AJ211">
        <v>315.87206317020502</v>
      </c>
      <c r="AK211">
        <v>5173896</v>
      </c>
      <c r="AL211">
        <v>5010955</v>
      </c>
      <c r="AM211">
        <v>13612005</v>
      </c>
      <c r="AN211">
        <v>19638683</v>
      </c>
      <c r="AO211"/>
      <c r="AP211">
        <v>10.5</v>
      </c>
      <c r="AQ211"/>
      <c r="AR211"/>
      <c r="AS211"/>
      <c r="AT211"/>
      <c r="AU211">
        <v>834.71939209565983</v>
      </c>
      <c r="AV211">
        <v>840.2972641077298</v>
      </c>
      <c r="AW211">
        <v>8489875</v>
      </c>
      <c r="AX211">
        <v>4211732</v>
      </c>
      <c r="AY211">
        <v>14</v>
      </c>
      <c r="AZ211">
        <v>12.1</v>
      </c>
      <c r="BA211"/>
      <c r="BB211">
        <v>88.765024637985789</v>
      </c>
      <c r="BC211">
        <v>54.514964430998589</v>
      </c>
      <c r="BD211">
        <v>318.935</v>
      </c>
      <c r="BE211">
        <v>1.1231966666666666</v>
      </c>
      <c r="BF211">
        <v>47.606666666666669</v>
      </c>
      <c r="BG211">
        <v>260.33333333333331</v>
      </c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</row>
    <row r="212" spans="1:83">
      <c r="A212" s="3">
        <v>42917</v>
      </c>
      <c r="B212" s="3">
        <v>42917</v>
      </c>
      <c r="C212">
        <v>291.0993040915161</v>
      </c>
      <c r="D212">
        <v>124.60580572940177</v>
      </c>
      <c r="E212">
        <v>141.07378650843839</v>
      </c>
      <c r="F212">
        <v>63.539991307342135</v>
      </c>
      <c r="G212">
        <v>79.075912323207689</v>
      </c>
      <c r="H212">
        <v>7368.9000000000015</v>
      </c>
      <c r="I212">
        <v>4507.7000000000007</v>
      </c>
      <c r="J212">
        <v>636.75799123134095</v>
      </c>
      <c r="K212">
        <v>211.77328405911629</v>
      </c>
      <c r="L212">
        <v>138.16369236216471</v>
      </c>
      <c r="M212">
        <v>226.80791921699452</v>
      </c>
      <c r="O212">
        <v>322.61362533558344</v>
      </c>
      <c r="P212">
        <v>152.67280581460483</v>
      </c>
      <c r="Q212">
        <v>47729.64</v>
      </c>
      <c r="T212">
        <v>145.65553946368479</v>
      </c>
      <c r="U212"/>
      <c r="V212"/>
      <c r="W212"/>
      <c r="X212"/>
      <c r="Y212"/>
      <c r="Z212"/>
      <c r="AA212"/>
      <c r="AB212">
        <v>11439</v>
      </c>
      <c r="AC212">
        <v>32945</v>
      </c>
      <c r="AD212">
        <v>3827.7</v>
      </c>
      <c r="AE212">
        <v>2448</v>
      </c>
      <c r="AF212">
        <v>400.08695155971628</v>
      </c>
      <c r="AG212">
        <v>342.26639487227811</v>
      </c>
      <c r="AH212">
        <v>439.23834430465183</v>
      </c>
      <c r="AI212">
        <v>370.5250299055449</v>
      </c>
      <c r="AJ212">
        <v>317.48301069237311</v>
      </c>
      <c r="AK212">
        <v>5459616</v>
      </c>
      <c r="AL212">
        <v>5143578</v>
      </c>
      <c r="AM212">
        <v>13312280</v>
      </c>
      <c r="AN212">
        <v>19452259</v>
      </c>
      <c r="AO212"/>
      <c r="AP212">
        <v>10.5</v>
      </c>
      <c r="AQ212"/>
      <c r="AR212"/>
      <c r="AS212"/>
      <c r="AT212"/>
      <c r="AU212">
        <v>2004.6116691802199</v>
      </c>
      <c r="AV212">
        <v>2991.94438557382</v>
      </c>
      <c r="AW212">
        <v>8522221</v>
      </c>
      <c r="AX212">
        <v>4269705</v>
      </c>
      <c r="AY212">
        <v>13.7</v>
      </c>
      <c r="AZ212">
        <v>11.9</v>
      </c>
      <c r="BA212"/>
      <c r="BB212">
        <v>86.640109525288125</v>
      </c>
      <c r="BC212">
        <v>53.062232796188461</v>
      </c>
      <c r="BD212">
        <v>325.89838709677417</v>
      </c>
      <c r="BE212">
        <v>1.1535096774193547</v>
      </c>
      <c r="BF212">
        <v>49.043870967741938</v>
      </c>
      <c r="BG212">
        <v>272.53709677419351</v>
      </c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</row>
    <row r="213" spans="1:83">
      <c r="A213" s="3">
        <v>42948</v>
      </c>
      <c r="B213" s="3">
        <v>42948</v>
      </c>
      <c r="C213">
        <v>292.7818574665381</v>
      </c>
      <c r="D213">
        <v>117.27474106194497</v>
      </c>
      <c r="E213">
        <v>158.48765270923835</v>
      </c>
      <c r="F213">
        <v>59.593298223811161</v>
      </c>
      <c r="G213">
        <v>106.24818164207383</v>
      </c>
      <c r="H213">
        <v>7049.0999999999985</v>
      </c>
      <c r="I213">
        <v>4323.6999999999971</v>
      </c>
      <c r="J213">
        <v>597.27899577499784</v>
      </c>
      <c r="K213">
        <v>442.89431230205366</v>
      </c>
      <c r="L213">
        <v>144.1047311337378</v>
      </c>
      <c r="M213">
        <v>231.00887129997204</v>
      </c>
      <c r="O213">
        <v>317.9627980336399</v>
      </c>
      <c r="P213">
        <v>162.88309108452299</v>
      </c>
      <c r="Q213">
        <v>48862.21</v>
      </c>
      <c r="T213">
        <v>145.54206813655242</v>
      </c>
      <c r="U213"/>
      <c r="V213"/>
      <c r="W213"/>
      <c r="X213"/>
      <c r="Y213"/>
      <c r="Z213"/>
      <c r="AA213"/>
      <c r="AB213">
        <v>11992</v>
      </c>
      <c r="AC213">
        <v>32644</v>
      </c>
      <c r="AD213">
        <v>3483.3</v>
      </c>
      <c r="AE213">
        <v>2493.1999999999998</v>
      </c>
      <c r="AF213">
        <v>400.48703851127607</v>
      </c>
      <c r="AG213">
        <v>344.66225963638408</v>
      </c>
      <c r="AH213">
        <v>435.28519920590992</v>
      </c>
      <c r="AI213">
        <v>373.11870511488377</v>
      </c>
      <c r="AJ213">
        <v>319.73714006828902</v>
      </c>
      <c r="AK213">
        <v>5342897</v>
      </c>
      <c r="AL213">
        <v>4738682</v>
      </c>
      <c r="AM213">
        <v>12997472</v>
      </c>
      <c r="AN213">
        <v>19414561</v>
      </c>
      <c r="AO213"/>
      <c r="AP213">
        <v>10.25</v>
      </c>
      <c r="AQ213"/>
      <c r="AR213"/>
      <c r="AS213"/>
      <c r="AT213"/>
      <c r="AU213">
        <v>914.41575119424056</v>
      </c>
      <c r="AV213">
        <v>850.46695754279938</v>
      </c>
      <c r="AW213">
        <v>8655837</v>
      </c>
      <c r="AX213">
        <v>4379596</v>
      </c>
      <c r="AY213">
        <v>13.8</v>
      </c>
      <c r="AZ213">
        <v>11.9</v>
      </c>
      <c r="BA213"/>
      <c r="BB213">
        <v>83.584615687908183</v>
      </c>
      <c r="BC213">
        <v>51.191529347672891</v>
      </c>
      <c r="BD213">
        <v>333.40645161290325</v>
      </c>
      <c r="BE213">
        <v>1.181858064516129</v>
      </c>
      <c r="BF213">
        <v>52.01</v>
      </c>
      <c r="BG213">
        <v>295.42419354838711</v>
      </c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</row>
    <row r="214" spans="1:83">
      <c r="A214" s="3">
        <v>42979</v>
      </c>
      <c r="B214" s="3">
        <v>42979</v>
      </c>
      <c r="C214">
        <v>282.58404196430081</v>
      </c>
      <c r="D214">
        <v>106.68478838319578</v>
      </c>
      <c r="E214">
        <v>165.76364562343016</v>
      </c>
      <c r="F214">
        <v>60.512882521355529</v>
      </c>
      <c r="G214">
        <v>131.20060395588195</v>
      </c>
      <c r="H214">
        <v>7045.1999999999971</v>
      </c>
      <c r="I214">
        <v>4115.7000000000044</v>
      </c>
      <c r="J214">
        <v>804.53480730892204</v>
      </c>
      <c r="K214">
        <v>1886.7814855120278</v>
      </c>
      <c r="L214">
        <v>136.61128511478341</v>
      </c>
      <c r="M214">
        <v>217.1274597880047</v>
      </c>
      <c r="O214">
        <v>360.72550875677399</v>
      </c>
      <c r="P214">
        <v>198.77423899944267</v>
      </c>
      <c r="Q214">
        <v>48528.83</v>
      </c>
      <c r="T214">
        <v>144.98999268232208</v>
      </c>
      <c r="U214"/>
      <c r="V214"/>
      <c r="W214"/>
      <c r="X214"/>
      <c r="Y214"/>
      <c r="Z214"/>
      <c r="AA214"/>
      <c r="AB214">
        <v>11971</v>
      </c>
      <c r="AC214">
        <v>32209</v>
      </c>
      <c r="AD214">
        <v>4159.6000000000004</v>
      </c>
      <c r="AE214">
        <v>2559.5</v>
      </c>
      <c r="AF214">
        <v>401.68849962680986</v>
      </c>
      <c r="AG214">
        <v>349.14286901165713</v>
      </c>
      <c r="AH214">
        <v>433.10877320988038</v>
      </c>
      <c r="AI214">
        <v>374.61117993534327</v>
      </c>
      <c r="AJ214">
        <v>321.36779948263734</v>
      </c>
      <c r="AK214">
        <v>6067983</v>
      </c>
      <c r="AL214">
        <v>5476568</v>
      </c>
      <c r="AM214">
        <v>14096004</v>
      </c>
      <c r="AN214">
        <v>20452183</v>
      </c>
      <c r="AO214"/>
      <c r="AP214">
        <v>10.25</v>
      </c>
      <c r="AQ214"/>
      <c r="AR214"/>
      <c r="AS214"/>
      <c r="AT214"/>
      <c r="AU214">
        <v>864.39442306398973</v>
      </c>
      <c r="AV214">
        <v>861.75305502653123</v>
      </c>
      <c r="AW214">
        <v>8779306</v>
      </c>
      <c r="AX214">
        <v>4443223</v>
      </c>
      <c r="AY214">
        <v>13.1</v>
      </c>
      <c r="AZ214">
        <v>11.9</v>
      </c>
      <c r="BA214"/>
      <c r="BB214">
        <v>80.636716885878258</v>
      </c>
      <c r="BC214">
        <v>49.493791233247869</v>
      </c>
      <c r="BD214">
        <v>339.27699999999999</v>
      </c>
      <c r="BE214">
        <v>1.1914366666666667</v>
      </c>
      <c r="BF214">
        <v>55.378999999999998</v>
      </c>
      <c r="BG214">
        <v>299.04666666666668</v>
      </c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</row>
    <row r="215" spans="1:83">
      <c r="A215" s="3">
        <v>43009</v>
      </c>
      <c r="B215" s="3">
        <v>43009</v>
      </c>
      <c r="C215">
        <v>294.10703907133382</v>
      </c>
      <c r="D215">
        <v>116.98110255211415</v>
      </c>
      <c r="E215">
        <v>165.99102217679345</v>
      </c>
      <c r="F215">
        <v>68.629762584369232</v>
      </c>
      <c r="G215">
        <v>155.14314604312173</v>
      </c>
      <c r="H215">
        <v>7140.0999999999985</v>
      </c>
      <c r="I215">
        <v>4334.9000000000015</v>
      </c>
      <c r="J215">
        <v>625.92808008634131</v>
      </c>
      <c r="K215">
        <v>708.83369785893603</v>
      </c>
      <c r="L215">
        <v>138.11400925104601</v>
      </c>
      <c r="M215">
        <v>214.45644270994097</v>
      </c>
      <c r="O215">
        <v>371.06836471381774</v>
      </c>
      <c r="P215">
        <v>167.09773388688438</v>
      </c>
      <c r="Q215">
        <v>49924.35</v>
      </c>
      <c r="T215">
        <v>155.18315234383854</v>
      </c>
      <c r="U215"/>
      <c r="V215"/>
      <c r="W215"/>
      <c r="X215"/>
      <c r="Y215"/>
      <c r="Z215"/>
      <c r="AA215"/>
      <c r="AB215">
        <v>11962</v>
      </c>
      <c r="AC215">
        <v>31489</v>
      </c>
      <c r="AD215">
        <v>4034.6</v>
      </c>
      <c r="AE215">
        <v>2666.2</v>
      </c>
      <c r="AF215">
        <v>406.50876162233158</v>
      </c>
      <c r="AG215">
        <v>355.77658352287858</v>
      </c>
      <c r="AH215">
        <v>438.73918726160878</v>
      </c>
      <c r="AI215">
        <v>375.73501347514923</v>
      </c>
      <c r="AJ215">
        <v>323.45669017927446</v>
      </c>
      <c r="AK215">
        <v>5690787</v>
      </c>
      <c r="AL215">
        <v>4991002</v>
      </c>
      <c r="AM215">
        <v>13643958</v>
      </c>
      <c r="AN215">
        <v>19768109</v>
      </c>
      <c r="AO215"/>
      <c r="AP215">
        <v>10.25</v>
      </c>
      <c r="AQ215"/>
      <c r="AR215"/>
      <c r="AS215"/>
      <c r="AT215"/>
      <c r="AU215">
        <v>770.5735518667102</v>
      </c>
      <c r="AV215">
        <v>873.91692195943926</v>
      </c>
      <c r="AW215">
        <v>8622841</v>
      </c>
      <c r="AX215">
        <v>4488827</v>
      </c>
      <c r="AY215">
        <v>13.5</v>
      </c>
      <c r="AZ215">
        <v>11.5</v>
      </c>
      <c r="BA215"/>
      <c r="BB215">
        <v>82.859734889481075</v>
      </c>
      <c r="BC215">
        <v>50.369778242649019</v>
      </c>
      <c r="BD215">
        <v>337.00612903225806</v>
      </c>
      <c r="BE215">
        <v>1.1751483870967743</v>
      </c>
      <c r="BF215">
        <v>57.670322580645163</v>
      </c>
      <c r="BG215">
        <v>310.38870967741934</v>
      </c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</row>
    <row r="216" spans="1:83">
      <c r="A216" s="3">
        <v>43040</v>
      </c>
      <c r="B216" s="3">
        <v>43040</v>
      </c>
      <c r="C216">
        <v>324.36412548502818</v>
      </c>
      <c r="D216">
        <v>129.50460685458489</v>
      </c>
      <c r="E216">
        <v>182.43660590828966</v>
      </c>
      <c r="F216">
        <v>85.534710170464223</v>
      </c>
      <c r="G216">
        <v>154.50629203898109</v>
      </c>
      <c r="H216">
        <v>7409.8000000000029</v>
      </c>
      <c r="I216">
        <v>4660.2999999999956</v>
      </c>
      <c r="J216">
        <v>610.90580616426905</v>
      </c>
      <c r="K216">
        <v>287.19653782171667</v>
      </c>
      <c r="L216">
        <v>137.28532519553974</v>
      </c>
      <c r="M216">
        <v>212.32581151924529</v>
      </c>
      <c r="O216">
        <v>382.92538557347842</v>
      </c>
      <c r="P216">
        <v>198.31860235256624</v>
      </c>
      <c r="Q216">
        <v>50366.02</v>
      </c>
      <c r="T216">
        <v>153.84997731305384</v>
      </c>
      <c r="U216"/>
      <c r="V216"/>
      <c r="W216"/>
      <c r="X216"/>
      <c r="Y216"/>
      <c r="Z216"/>
      <c r="AA216"/>
      <c r="AB216">
        <v>12188</v>
      </c>
      <c r="AC216">
        <v>31073</v>
      </c>
      <c r="AD216">
        <v>4591</v>
      </c>
      <c r="AE216">
        <v>2738.8</v>
      </c>
      <c r="AF216">
        <v>410.16734047693257</v>
      </c>
      <c r="AG216">
        <v>358.62279619106164</v>
      </c>
      <c r="AH216">
        <v>442.24910075970172</v>
      </c>
      <c r="AI216">
        <v>379.49236360990074</v>
      </c>
      <c r="AJ216">
        <v>325.85026968660111</v>
      </c>
      <c r="AK216">
        <v>5782435</v>
      </c>
      <c r="AL216">
        <v>4917595</v>
      </c>
      <c r="AM216">
        <v>13557746</v>
      </c>
      <c r="AN216">
        <v>19375573</v>
      </c>
      <c r="AO216"/>
      <c r="AP216">
        <v>10.25</v>
      </c>
      <c r="AQ216"/>
      <c r="AR216"/>
      <c r="AS216"/>
      <c r="AT216"/>
      <c r="AU216">
        <v>889.68158293168062</v>
      </c>
      <c r="AV216">
        <v>911.25124554130059</v>
      </c>
      <c r="AW216">
        <v>8386590</v>
      </c>
      <c r="AX216">
        <v>4552404</v>
      </c>
      <c r="AY216">
        <v>13.4</v>
      </c>
      <c r="AZ216">
        <v>10.3</v>
      </c>
      <c r="BA216"/>
      <c r="BB216">
        <v>85.288240672898681</v>
      </c>
      <c r="BC216">
        <v>51.428224555157861</v>
      </c>
      <c r="BD216">
        <v>332.28333333333336</v>
      </c>
      <c r="BE216">
        <v>1.1745266666666667</v>
      </c>
      <c r="BF216">
        <v>62.912999999999997</v>
      </c>
      <c r="BG216">
        <v>310.23</v>
      </c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</row>
    <row r="217" spans="1:83">
      <c r="A217" s="3">
        <v>43070</v>
      </c>
      <c r="B217" s="3">
        <v>43070</v>
      </c>
      <c r="C217">
        <v>322.75606769523318</v>
      </c>
      <c r="D217">
        <v>138.68901877555228</v>
      </c>
      <c r="E217">
        <v>166.47957115760491</v>
      </c>
      <c r="F217">
        <v>94.810527838471373</v>
      </c>
      <c r="G217">
        <v>153.58171653841313</v>
      </c>
      <c r="H217">
        <v>7634.1000000000058</v>
      </c>
      <c r="I217">
        <v>4835.2000000000044</v>
      </c>
      <c r="J217">
        <v>956.06758664708104</v>
      </c>
      <c r="K217">
        <v>428.08034881337409</v>
      </c>
      <c r="L217">
        <v>210.18383287437132</v>
      </c>
      <c r="M217">
        <v>297.68156610978679</v>
      </c>
      <c r="O217">
        <v>517.20629967680486</v>
      </c>
      <c r="P217">
        <v>211.92211748321918</v>
      </c>
      <c r="Q217">
        <v>52717.99</v>
      </c>
      <c r="T217">
        <v>152.67386627338422</v>
      </c>
      <c r="U217"/>
      <c r="V217"/>
      <c r="W217"/>
      <c r="X217"/>
      <c r="Y217"/>
      <c r="Z217"/>
      <c r="AA217"/>
      <c r="AB217">
        <v>12498</v>
      </c>
      <c r="AC217">
        <v>30997</v>
      </c>
      <c r="AD217">
        <v>5239.8</v>
      </c>
      <c r="AE217">
        <v>2885.1</v>
      </c>
      <c r="AF217">
        <v>413.03851186027111</v>
      </c>
      <c r="AG217">
        <v>360.41591017201682</v>
      </c>
      <c r="AH217">
        <v>447.11384086805833</v>
      </c>
      <c r="AI217">
        <v>380.63084070073046</v>
      </c>
      <c r="AJ217">
        <v>327.47952103503405</v>
      </c>
      <c r="AK217">
        <v>5537057</v>
      </c>
      <c r="AL217">
        <v>4967992</v>
      </c>
      <c r="AM217">
        <v>13513732</v>
      </c>
      <c r="AN217">
        <v>19456330</v>
      </c>
      <c r="AO217"/>
      <c r="AP217">
        <v>10.25</v>
      </c>
      <c r="AQ217"/>
      <c r="AR217"/>
      <c r="AS217"/>
      <c r="AT217"/>
      <c r="AU217">
        <v>1113.8212755822985</v>
      </c>
      <c r="AV217">
        <v>1328.9565092952996</v>
      </c>
      <c r="AW217">
        <v>8164366</v>
      </c>
      <c r="AX217">
        <v>4540986</v>
      </c>
      <c r="AY217">
        <v>13.2</v>
      </c>
      <c r="AZ217">
        <v>10.5</v>
      </c>
      <c r="BA217"/>
      <c r="BB217">
        <v>84.764144414327376</v>
      </c>
      <c r="BC217">
        <v>50.936355309260584</v>
      </c>
      <c r="BD217">
        <v>333.81709677419354</v>
      </c>
      <c r="BE217">
        <v>1.1843774193548386</v>
      </c>
      <c r="BF217">
        <v>64.259677419354844</v>
      </c>
      <c r="BG217">
        <v>311.33548387096772</v>
      </c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</row>
    <row r="218" spans="1:83">
      <c r="A218" s="3">
        <v>43101</v>
      </c>
      <c r="B218" s="3">
        <v>43101</v>
      </c>
      <c r="C218">
        <v>278.5345193522889</v>
      </c>
      <c r="D218">
        <v>119.22280488346695</v>
      </c>
      <c r="E218">
        <v>159.48159309678394</v>
      </c>
      <c r="F218">
        <v>116.81479900756359</v>
      </c>
      <c r="G218">
        <v>67.765721496741534</v>
      </c>
      <c r="H218">
        <v>7600.6</v>
      </c>
      <c r="I218">
        <v>4817.3</v>
      </c>
      <c r="J218">
        <v>114.72811039764973</v>
      </c>
      <c r="K218">
        <v>118.96736419772346</v>
      </c>
      <c r="L218">
        <v>103.41044577419071</v>
      </c>
      <c r="M218">
        <v>178.68034104427016</v>
      </c>
      <c r="O218">
        <v>253.44442866077753</v>
      </c>
      <c r="P218">
        <v>138.09689072708267</v>
      </c>
      <c r="Q218">
        <v>45372.32</v>
      </c>
      <c r="T218">
        <v>146.02519289595523</v>
      </c>
      <c r="U218"/>
      <c r="V218"/>
      <c r="W218"/>
      <c r="X218"/>
      <c r="Y218"/>
      <c r="Z218"/>
      <c r="AA218"/>
      <c r="AB218">
        <v>13085</v>
      </c>
      <c r="AC218">
        <v>31349</v>
      </c>
      <c r="AD218">
        <v>4196.8</v>
      </c>
      <c r="AE218">
        <v>2243.1</v>
      </c>
      <c r="AF218">
        <v>415.51674293143276</v>
      </c>
      <c r="AG218">
        <v>361.49715790253288</v>
      </c>
      <c r="AH218">
        <v>449.7965239132667</v>
      </c>
      <c r="AI218">
        <v>383.6758874263362</v>
      </c>
      <c r="AJ218">
        <v>329.05142273600217</v>
      </c>
      <c r="AK218">
        <v>5208414</v>
      </c>
      <c r="AL218">
        <v>4995811</v>
      </c>
      <c r="AM218">
        <v>13338598</v>
      </c>
      <c r="AN218">
        <v>19262850</v>
      </c>
      <c r="AO218"/>
      <c r="AP218">
        <v>9.75</v>
      </c>
      <c r="AQ218"/>
      <c r="AR218"/>
      <c r="AS218"/>
      <c r="AT218"/>
      <c r="AU218">
        <v>883.28988208614999</v>
      </c>
      <c r="AV218">
        <v>814.20468805199005</v>
      </c>
      <c r="AW218">
        <v>8021818</v>
      </c>
      <c r="AX218">
        <v>4522494</v>
      </c>
      <c r="AY218">
        <v>13.4</v>
      </c>
      <c r="AZ218">
        <v>10.7</v>
      </c>
      <c r="BA218"/>
      <c r="BB218">
        <v>84.909080421816597</v>
      </c>
      <c r="BC218">
        <v>50.694560923411146</v>
      </c>
      <c r="BD218">
        <v>326.75677419354838</v>
      </c>
      <c r="BE218">
        <v>1.219967741935484</v>
      </c>
      <c r="BF218">
        <v>69.027096774193552</v>
      </c>
      <c r="BG218">
        <v>321.51612903225805</v>
      </c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</row>
    <row r="219" spans="1:83">
      <c r="A219" s="3">
        <v>43132</v>
      </c>
      <c r="B219" s="3">
        <v>43132</v>
      </c>
      <c r="C219">
        <v>285.66277268976665</v>
      </c>
      <c r="D219">
        <v>114.06920091463139</v>
      </c>
      <c r="E219">
        <v>166.33240505730896</v>
      </c>
      <c r="F219">
        <v>102.98330988480654</v>
      </c>
      <c r="G219">
        <v>85.008099261004972</v>
      </c>
      <c r="H219">
        <v>7061.6</v>
      </c>
      <c r="I219">
        <v>4427.4000000000005</v>
      </c>
      <c r="J219">
        <v>197.6765342151505</v>
      </c>
      <c r="K219">
        <v>113.99338449316188</v>
      </c>
      <c r="L219">
        <v>104.23772934038423</v>
      </c>
      <c r="M219">
        <v>179.60106269998855</v>
      </c>
      <c r="O219">
        <v>219.01376360321413</v>
      </c>
      <c r="P219">
        <v>134.90012058061009</v>
      </c>
      <c r="Q219">
        <v>43169.23</v>
      </c>
      <c r="T219">
        <v>144.88470666905334</v>
      </c>
      <c r="U219"/>
      <c r="V219"/>
      <c r="W219"/>
      <c r="X219"/>
      <c r="Y219"/>
      <c r="Z219"/>
      <c r="AA219"/>
      <c r="AB219">
        <v>13030</v>
      </c>
      <c r="AC219">
        <v>30993</v>
      </c>
      <c r="AD219">
        <v>4766</v>
      </c>
      <c r="AE219">
        <v>2360.6</v>
      </c>
      <c r="AF219">
        <v>418.42536013195274</v>
      </c>
      <c r="AG219">
        <v>363.30464369204549</v>
      </c>
      <c r="AH219">
        <v>453.39489610457287</v>
      </c>
      <c r="AI219">
        <v>386.36161863832064</v>
      </c>
      <c r="AJ219">
        <v>330.59796442286137</v>
      </c>
      <c r="AK219">
        <v>4893466</v>
      </c>
      <c r="AL219">
        <v>4807891</v>
      </c>
      <c r="AM219">
        <v>13291605</v>
      </c>
      <c r="AN219">
        <v>19013572</v>
      </c>
      <c r="AO219"/>
      <c r="AP219">
        <v>9.75</v>
      </c>
      <c r="AQ219"/>
      <c r="AR219"/>
      <c r="AS219"/>
      <c r="AT219"/>
      <c r="AU219">
        <v>925.41078306691008</v>
      </c>
      <c r="AV219">
        <v>800.62975652888997</v>
      </c>
      <c r="AW219">
        <v>8006257</v>
      </c>
      <c r="AX219">
        <v>4540305</v>
      </c>
      <c r="AY219">
        <v>12.9</v>
      </c>
      <c r="AZ219">
        <v>10.3</v>
      </c>
      <c r="BA219"/>
      <c r="BB219">
        <v>85.653606492304519</v>
      </c>
      <c r="BC219">
        <v>50.965333453183881</v>
      </c>
      <c r="BD219">
        <v>321.98607142857145</v>
      </c>
      <c r="BE219">
        <v>1.2346999999999999</v>
      </c>
      <c r="BF219">
        <v>65.773214285714289</v>
      </c>
      <c r="BG219">
        <v>317.58571428571429</v>
      </c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</row>
    <row r="220" spans="1:83">
      <c r="A220" s="3">
        <v>43160</v>
      </c>
      <c r="B220" s="3">
        <v>43160</v>
      </c>
      <c r="C220">
        <v>332.07370931286789</v>
      </c>
      <c r="D220">
        <v>135.17941016294705</v>
      </c>
      <c r="E220">
        <v>181.54088869823721</v>
      </c>
      <c r="F220">
        <v>101.88166207889012</v>
      </c>
      <c r="G220">
        <v>101.55754309267137</v>
      </c>
      <c r="H220">
        <v>7726.2000000000007</v>
      </c>
      <c r="I220">
        <v>4880.5999999999985</v>
      </c>
      <c r="J220">
        <v>329.92213560508623</v>
      </c>
      <c r="K220">
        <v>148.54390685911255</v>
      </c>
      <c r="L220">
        <v>118.72677371869764</v>
      </c>
      <c r="M220">
        <v>199.32127634411847</v>
      </c>
      <c r="O220">
        <v>286.0175845849094</v>
      </c>
      <c r="P220">
        <v>149.0402699424057</v>
      </c>
      <c r="Q220">
        <v>48019.14</v>
      </c>
      <c r="T220">
        <v>143.93659666506466</v>
      </c>
      <c r="U220"/>
      <c r="V220"/>
      <c r="W220"/>
      <c r="X220"/>
      <c r="Y220"/>
      <c r="Z220"/>
      <c r="AA220"/>
      <c r="AB220">
        <v>13198</v>
      </c>
      <c r="AC220">
        <v>30649</v>
      </c>
      <c r="AD220">
        <v>5018.6000000000004</v>
      </c>
      <c r="AE220">
        <v>2855.7</v>
      </c>
      <c r="AF220">
        <v>420.51748693261254</v>
      </c>
      <c r="AG220">
        <v>365.12116691050574</v>
      </c>
      <c r="AH220">
        <v>457.02205527340942</v>
      </c>
      <c r="AI220">
        <v>387.13434187559727</v>
      </c>
      <c r="AJ220">
        <v>332.01953566987964</v>
      </c>
      <c r="AK220">
        <v>4565508</v>
      </c>
      <c r="AL220">
        <v>4807409</v>
      </c>
      <c r="AM220">
        <v>13351482</v>
      </c>
      <c r="AN220">
        <v>18950272</v>
      </c>
      <c r="AO220"/>
      <c r="AP220">
        <v>9.5</v>
      </c>
      <c r="AQ220"/>
      <c r="AR220"/>
      <c r="AS220"/>
      <c r="AT220"/>
      <c r="AU220">
        <v>844.07300867005995</v>
      </c>
      <c r="AV220">
        <v>801.77140864160981</v>
      </c>
      <c r="AW220">
        <v>7991803</v>
      </c>
      <c r="AX220">
        <v>4574472</v>
      </c>
      <c r="AY220">
        <v>12.8</v>
      </c>
      <c r="AZ220">
        <v>10.1</v>
      </c>
      <c r="BA220"/>
      <c r="BB220">
        <v>86.165004125583138</v>
      </c>
      <c r="BC220">
        <v>51.241319244176744</v>
      </c>
      <c r="BD220">
        <v>320.82129032258064</v>
      </c>
      <c r="BE220">
        <v>1.2330580645161291</v>
      </c>
      <c r="BF220">
        <v>66.925483870967739</v>
      </c>
      <c r="BG220">
        <v>306.63870967741934</v>
      </c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</row>
    <row r="221" spans="1:83">
      <c r="A221" s="3">
        <v>43191</v>
      </c>
      <c r="B221" s="3">
        <v>43191</v>
      </c>
      <c r="C221">
        <v>324.96570350324555</v>
      </c>
      <c r="D221">
        <v>127.36921309231703</v>
      </c>
      <c r="E221">
        <v>183.97153013949554</v>
      </c>
      <c r="F221">
        <v>91.304119739059004</v>
      </c>
      <c r="G221">
        <v>113.08884430714642</v>
      </c>
      <c r="H221">
        <v>7474.1999999999971</v>
      </c>
      <c r="I221">
        <v>4691.9000000000015</v>
      </c>
      <c r="J221">
        <v>356.64582858909819</v>
      </c>
      <c r="K221">
        <v>141.204033475503</v>
      </c>
      <c r="L221">
        <v>122.52603047769597</v>
      </c>
      <c r="M221">
        <v>200.60910034382326</v>
      </c>
      <c r="O221">
        <v>281.44126385141328</v>
      </c>
      <c r="P221">
        <v>147.56824575846804</v>
      </c>
      <c r="Q221">
        <v>46491.61</v>
      </c>
      <c r="T221">
        <v>151.83061012097585</v>
      </c>
      <c r="U221"/>
      <c r="V221"/>
      <c r="W221"/>
      <c r="X221"/>
      <c r="Y221"/>
      <c r="Z221"/>
      <c r="AA221"/>
      <c r="AB221">
        <v>13317</v>
      </c>
      <c r="AC221">
        <v>31339</v>
      </c>
      <c r="AD221">
        <v>4831.3999999999996</v>
      </c>
      <c r="AE221">
        <v>2810.7</v>
      </c>
      <c r="AF221">
        <v>422.19955688034298</v>
      </c>
      <c r="AG221">
        <v>366.58165157814784</v>
      </c>
      <c r="AH221">
        <v>459.76418760504993</v>
      </c>
      <c r="AI221">
        <v>387.90861055934846</v>
      </c>
      <c r="AJ221">
        <v>333.38081576612615</v>
      </c>
      <c r="AK221">
        <v>4799905</v>
      </c>
      <c r="AL221">
        <v>4893766</v>
      </c>
      <c r="AM221">
        <v>13537134</v>
      </c>
      <c r="AN221">
        <v>19269608</v>
      </c>
      <c r="AO221"/>
      <c r="AP221">
        <v>9.25</v>
      </c>
      <c r="AQ221"/>
      <c r="AR221"/>
      <c r="AS221"/>
      <c r="AT221"/>
      <c r="AU221">
        <v>809.69593982303002</v>
      </c>
      <c r="AV221">
        <v>843.68232084900001</v>
      </c>
      <c r="AW221">
        <v>8046125</v>
      </c>
      <c r="AX221">
        <v>4654611</v>
      </c>
      <c r="AY221">
        <v>12.2</v>
      </c>
      <c r="AZ221">
        <v>10.3</v>
      </c>
      <c r="BA221"/>
      <c r="BB221">
        <v>86.534975942451638</v>
      </c>
      <c r="BC221">
        <v>51.444424934395258</v>
      </c>
      <c r="BD221">
        <v>325.19933333333336</v>
      </c>
      <c r="BE221">
        <v>1.2270933333333334</v>
      </c>
      <c r="BF221">
        <v>71.802000000000007</v>
      </c>
      <c r="BG221">
        <v>308.56333333333333</v>
      </c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</row>
    <row r="222" spans="1:83">
      <c r="A222" s="3">
        <v>43221</v>
      </c>
      <c r="B222" s="3">
        <v>43221</v>
      </c>
      <c r="C222">
        <v>321.86011536915248</v>
      </c>
      <c r="D222">
        <v>126.73820759706504</v>
      </c>
      <c r="E222">
        <v>182.47500156488283</v>
      </c>
      <c r="F222">
        <v>77.003844595857501</v>
      </c>
      <c r="G222">
        <v>76.598971487575469</v>
      </c>
      <c r="H222">
        <v>7824.5</v>
      </c>
      <c r="I222">
        <v>5157.7000000000007</v>
      </c>
      <c r="J222">
        <v>513.92663899689046</v>
      </c>
      <c r="K222">
        <v>164.39686996880516</v>
      </c>
      <c r="L222">
        <v>133.18579512925552</v>
      </c>
      <c r="M222">
        <v>220.77491484083075</v>
      </c>
      <c r="O222">
        <v>328.38868834800832</v>
      </c>
      <c r="P222">
        <v>155.3357997627615</v>
      </c>
      <c r="Q222">
        <v>49280.57</v>
      </c>
      <c r="T222">
        <v>151.02068402673808</v>
      </c>
      <c r="U222"/>
      <c r="V222"/>
      <c r="W222"/>
      <c r="X222"/>
      <c r="Y222"/>
      <c r="Z222"/>
      <c r="AA222"/>
      <c r="AB222">
        <v>13357</v>
      </c>
      <c r="AC222">
        <v>30721</v>
      </c>
      <c r="AD222">
        <v>4728.3999999999996</v>
      </c>
      <c r="AE222">
        <v>2747.1</v>
      </c>
      <c r="AF222">
        <v>423.04395599410361</v>
      </c>
      <c r="AG222">
        <v>368.04797818446042</v>
      </c>
      <c r="AH222">
        <v>460.22395179265487</v>
      </c>
      <c r="AI222">
        <v>388.68442778046716</v>
      </c>
      <c r="AJ222">
        <v>334.74767711076726</v>
      </c>
      <c r="AK222">
        <v>4787605</v>
      </c>
      <c r="AL222">
        <v>5044409</v>
      </c>
      <c r="AM222">
        <v>13591199</v>
      </c>
      <c r="AN222">
        <v>19168274</v>
      </c>
      <c r="AO222"/>
      <c r="AP222">
        <v>9.25</v>
      </c>
      <c r="AQ222"/>
      <c r="AR222"/>
      <c r="AS222"/>
      <c r="AT222"/>
      <c r="AU222">
        <v>895.14844129907942</v>
      </c>
      <c r="AV222">
        <v>859.13432384309033</v>
      </c>
      <c r="AW222">
        <v>7971245</v>
      </c>
      <c r="AX222">
        <v>4744183</v>
      </c>
      <c r="AY222">
        <v>12.5</v>
      </c>
      <c r="AZ222">
        <v>9.9</v>
      </c>
      <c r="BA222"/>
      <c r="BB222">
        <v>88.078878081067529</v>
      </c>
      <c r="BC222">
        <v>52.428116070561657</v>
      </c>
      <c r="BD222">
        <v>328.69225806451612</v>
      </c>
      <c r="BE222">
        <v>1.181741935483871</v>
      </c>
      <c r="BF222">
        <v>76.936451612903227</v>
      </c>
      <c r="BG222">
        <v>306.60967741935485</v>
      </c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</row>
    <row r="223" spans="1:83">
      <c r="A223" s="3">
        <v>43252</v>
      </c>
      <c r="B223" s="3">
        <v>43252</v>
      </c>
      <c r="C223">
        <v>314.30174760117961</v>
      </c>
      <c r="D223">
        <v>129.88260519662418</v>
      </c>
      <c r="E223">
        <v>168.98895761784982</v>
      </c>
      <c r="F223">
        <v>70.312695849262809</v>
      </c>
      <c r="G223">
        <v>79.852171208142011</v>
      </c>
      <c r="H223">
        <v>7469.0999999999985</v>
      </c>
      <c r="I223">
        <v>4633.5</v>
      </c>
      <c r="J223">
        <v>717.95551467865585</v>
      </c>
      <c r="K223">
        <v>240.98377900925746</v>
      </c>
      <c r="L223">
        <v>147.83623259347362</v>
      </c>
      <c r="M223">
        <v>231.39811986799251</v>
      </c>
      <c r="O223">
        <v>420.71415909339834</v>
      </c>
      <c r="P223">
        <v>165.05869963396333</v>
      </c>
      <c r="Q223">
        <v>49528.57</v>
      </c>
      <c r="T223">
        <v>150.67127282869319</v>
      </c>
      <c r="U223"/>
      <c r="V223"/>
      <c r="W223"/>
      <c r="X223"/>
      <c r="Y223"/>
      <c r="Z223"/>
      <c r="AA223"/>
      <c r="AB223">
        <v>12935</v>
      </c>
      <c r="AC223">
        <v>30096</v>
      </c>
      <c r="AD223">
        <v>5501.2</v>
      </c>
      <c r="AE223">
        <v>2793.6</v>
      </c>
      <c r="AF223">
        <v>423.89004390609182</v>
      </c>
      <c r="AG223">
        <v>369.52017009719833</v>
      </c>
      <c r="AH223">
        <v>459.76372784086232</v>
      </c>
      <c r="AI223">
        <v>389.85048106380862</v>
      </c>
      <c r="AJ223">
        <v>336.05319305149925</v>
      </c>
      <c r="AK223">
        <v>5734184</v>
      </c>
      <c r="AL223">
        <v>5577251</v>
      </c>
      <c r="AM223">
        <v>14433228</v>
      </c>
      <c r="AN223">
        <v>19908202</v>
      </c>
      <c r="AO223"/>
      <c r="AP223">
        <v>9</v>
      </c>
      <c r="AQ223"/>
      <c r="AR223"/>
      <c r="AS223"/>
      <c r="AT223"/>
      <c r="AU223">
        <v>894.02199267405081</v>
      </c>
      <c r="AV223">
        <v>996.73758644729992</v>
      </c>
      <c r="AW223">
        <v>7997314</v>
      </c>
      <c r="AX223">
        <v>4833817</v>
      </c>
      <c r="AY223">
        <v>12.5</v>
      </c>
      <c r="AZ223">
        <v>10</v>
      </c>
      <c r="BA223"/>
      <c r="BB223">
        <v>86.920763009431184</v>
      </c>
      <c r="BC223">
        <v>51.742790948125837</v>
      </c>
      <c r="BD223">
        <v>336.67066666666665</v>
      </c>
      <c r="BE223">
        <v>1.16726</v>
      </c>
      <c r="BF223">
        <v>75.956333333333333</v>
      </c>
      <c r="BG223">
        <v>311.99</v>
      </c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</row>
    <row r="224" spans="1:83">
      <c r="A224" s="3">
        <v>43282</v>
      </c>
      <c r="B224" s="3">
        <v>43282</v>
      </c>
      <c r="C224">
        <v>303.90767347154275</v>
      </c>
      <c r="D224">
        <v>130.96070182160125</v>
      </c>
      <c r="E224">
        <v>145.58814767670842</v>
      </c>
      <c r="F224">
        <v>66.84407085532392</v>
      </c>
      <c r="G224">
        <v>76.703634953511454</v>
      </c>
      <c r="H224">
        <v>7782.1000000000058</v>
      </c>
      <c r="I224">
        <v>4329.5</v>
      </c>
      <c r="J224">
        <v>600.21081027135619</v>
      </c>
      <c r="K224">
        <v>219.20349445443517</v>
      </c>
      <c r="L224">
        <v>149.01892245422141</v>
      </c>
      <c r="M224">
        <v>240.64320228923117</v>
      </c>
      <c r="O224">
        <v>370.6830555105854</v>
      </c>
      <c r="P224">
        <v>158.47437243555979</v>
      </c>
      <c r="Q224">
        <v>51703.49</v>
      </c>
      <c r="T224">
        <v>156.59793584797472</v>
      </c>
      <c r="U224"/>
      <c r="V224"/>
      <c r="W224"/>
      <c r="X224"/>
      <c r="Y224"/>
      <c r="Z224"/>
      <c r="AA224"/>
      <c r="AB224">
        <v>12796</v>
      </c>
      <c r="AC224">
        <v>30842</v>
      </c>
      <c r="AD224">
        <v>5170.7</v>
      </c>
      <c r="AE224">
        <v>2885.4</v>
      </c>
      <c r="AF224">
        <v>424.31393394999793</v>
      </c>
      <c r="AG224">
        <v>370.99825077758715</v>
      </c>
      <c r="AH224">
        <v>457.92467292949885</v>
      </c>
      <c r="AI224">
        <v>391.7997334691276</v>
      </c>
      <c r="AJ224">
        <v>337.80066965536707</v>
      </c>
      <c r="AK224">
        <v>6367717</v>
      </c>
      <c r="AL224">
        <v>5520420</v>
      </c>
      <c r="AM224">
        <v>14696593</v>
      </c>
      <c r="AN224">
        <v>20251145</v>
      </c>
      <c r="AO224"/>
      <c r="AP224">
        <v>9</v>
      </c>
      <c r="AQ224"/>
      <c r="AR224"/>
      <c r="AS224"/>
      <c r="AT224"/>
      <c r="AU224">
        <v>997.06390335871936</v>
      </c>
      <c r="AV224">
        <v>1101.6461788305101</v>
      </c>
      <c r="AW224">
        <v>8010988</v>
      </c>
      <c r="AX224">
        <v>4939706</v>
      </c>
      <c r="AY224">
        <v>12.4</v>
      </c>
      <c r="AZ224">
        <v>9.9</v>
      </c>
      <c r="BA224"/>
      <c r="BB224">
        <v>85.675252679739629</v>
      </c>
      <c r="BC224">
        <v>50.894613824163748</v>
      </c>
      <c r="BD224">
        <v>344.41645161290324</v>
      </c>
      <c r="BE224">
        <v>1.1690548387096775</v>
      </c>
      <c r="BF224">
        <v>75.096129032258062</v>
      </c>
      <c r="BG224">
        <v>279.78064516129035</v>
      </c>
    </row>
    <row r="225" spans="1:59">
      <c r="A225" s="3">
        <v>43313</v>
      </c>
      <c r="B225" s="3">
        <v>43313</v>
      </c>
      <c r="C225">
        <v>298.34471275840235</v>
      </c>
      <c r="D225">
        <v>118.44748847256442</v>
      </c>
      <c r="E225">
        <v>164.5101835121894</v>
      </c>
      <c r="F225">
        <v>58.937771943349247</v>
      </c>
      <c r="G225">
        <v>106.7794225502842</v>
      </c>
      <c r="H225">
        <v>7041.2999999999956</v>
      </c>
      <c r="I225">
        <v>4379.9000000000015</v>
      </c>
      <c r="J225">
        <v>603.21186432271304</v>
      </c>
      <c r="K225">
        <v>421.1533388412837</v>
      </c>
      <c r="L225">
        <v>151.25420629103473</v>
      </c>
      <c r="M225">
        <v>257.80590037076877</v>
      </c>
      <c r="O225">
        <v>346.57944985666751</v>
      </c>
      <c r="P225">
        <v>166.30363599729796</v>
      </c>
      <c r="Q225">
        <v>52649.89</v>
      </c>
      <c r="T225">
        <v>156.26764533135361</v>
      </c>
      <c r="U225"/>
      <c r="V225"/>
      <c r="W225"/>
      <c r="X225"/>
      <c r="Y225"/>
      <c r="Z225"/>
      <c r="AA225"/>
      <c r="AB225">
        <v>12821</v>
      </c>
      <c r="AC225">
        <v>30510</v>
      </c>
      <c r="AD225">
        <v>5113.6000000000004</v>
      </c>
      <c r="AE225">
        <v>2989.5</v>
      </c>
      <c r="AF225">
        <v>425.16256181789799</v>
      </c>
      <c r="AG225">
        <v>373.22424028225265</v>
      </c>
      <c r="AH225">
        <v>457.00882358363975</v>
      </c>
      <c r="AI225">
        <v>392.58333293606586</v>
      </c>
      <c r="AJ225">
        <v>339.2194324679196</v>
      </c>
      <c r="AK225">
        <v>6118672</v>
      </c>
      <c r="AL225">
        <v>5252714</v>
      </c>
      <c r="AM225">
        <v>13832165</v>
      </c>
      <c r="AN225">
        <v>19780029</v>
      </c>
      <c r="AO225"/>
      <c r="AP225">
        <v>9</v>
      </c>
      <c r="AQ225"/>
      <c r="AR225"/>
      <c r="AS225"/>
      <c r="AT225"/>
      <c r="AU225">
        <v>931.14621324488053</v>
      </c>
      <c r="AV225">
        <v>926.10644656028967</v>
      </c>
      <c r="AW225">
        <v>7992935</v>
      </c>
      <c r="AX225">
        <v>5025641</v>
      </c>
      <c r="AY225">
        <v>12.2</v>
      </c>
      <c r="AZ225">
        <v>9.6999999999999993</v>
      </c>
      <c r="BA225"/>
      <c r="BB225">
        <v>84.841839811859359</v>
      </c>
      <c r="BC225">
        <v>50.414323733631072</v>
      </c>
      <c r="BD225">
        <v>357.57580645161289</v>
      </c>
      <c r="BE225">
        <v>1.1537967741935484</v>
      </c>
      <c r="BF225">
        <v>73.732258064516131</v>
      </c>
      <c r="BG225">
        <v>270.2161290322581</v>
      </c>
    </row>
    <row r="226" spans="1:59">
      <c r="A226" s="3">
        <v>43344</v>
      </c>
      <c r="B226" s="3">
        <v>43344</v>
      </c>
      <c r="C226">
        <v>298.12616427233741</v>
      </c>
      <c r="D226">
        <v>112.23239737912196</v>
      </c>
      <c r="E226">
        <v>178.36168269081085</v>
      </c>
      <c r="F226">
        <v>60.1498052262274</v>
      </c>
      <c r="G226">
        <v>133.43101422313194</v>
      </c>
      <c r="H226">
        <v>7368.9000000000015</v>
      </c>
      <c r="I226">
        <v>4224.6999999999971</v>
      </c>
      <c r="J226">
        <v>977.20322020279502</v>
      </c>
      <c r="K226">
        <v>1892.9319354864203</v>
      </c>
      <c r="L226">
        <v>155.4893240671837</v>
      </c>
      <c r="M226">
        <v>240.1429705255332</v>
      </c>
      <c r="O226">
        <v>440.80657170077785</v>
      </c>
      <c r="P226">
        <v>211.69456453440645</v>
      </c>
      <c r="Q226">
        <v>51914.79</v>
      </c>
      <c r="T226">
        <v>155.62611210066893</v>
      </c>
      <c r="U226"/>
      <c r="V226"/>
      <c r="W226"/>
      <c r="X226"/>
      <c r="Y226"/>
      <c r="Z226"/>
      <c r="AA226"/>
      <c r="AB226">
        <v>12751</v>
      </c>
      <c r="AC226">
        <v>29977</v>
      </c>
      <c r="AD226">
        <v>5360.1</v>
      </c>
      <c r="AE226">
        <v>2926.6</v>
      </c>
      <c r="AF226">
        <v>426.86321206516959</v>
      </c>
      <c r="AG226">
        <v>376.21003420451058</v>
      </c>
      <c r="AH226">
        <v>457.00882358363975</v>
      </c>
      <c r="AI226">
        <v>394.15366626781014</v>
      </c>
      <c r="AJ226">
        <v>341.62789043844185</v>
      </c>
      <c r="AK226">
        <v>6183748</v>
      </c>
      <c r="AL226">
        <v>5122707</v>
      </c>
      <c r="AM226">
        <v>13677123</v>
      </c>
      <c r="AN226">
        <v>19715125</v>
      </c>
      <c r="AO226"/>
      <c r="AP226">
        <v>9</v>
      </c>
      <c r="AQ226"/>
      <c r="AR226"/>
      <c r="AS226"/>
      <c r="AT226"/>
      <c r="AU226">
        <v>1124.9854800412395</v>
      </c>
      <c r="AV226">
        <v>993.31900644171048</v>
      </c>
      <c r="AW226">
        <v>7571455</v>
      </c>
      <c r="AX226">
        <v>5096087</v>
      </c>
      <c r="AY226">
        <v>12.2</v>
      </c>
      <c r="AZ226">
        <v>9.9</v>
      </c>
      <c r="BA226"/>
      <c r="BB226">
        <v>82.523430424933863</v>
      </c>
      <c r="BC226">
        <v>49.173042676678008</v>
      </c>
      <c r="BD226">
        <v>367.01433333333335</v>
      </c>
      <c r="BE226">
        <v>1.1648733333333334</v>
      </c>
      <c r="BF226">
        <v>78.997</v>
      </c>
      <c r="BG226">
        <v>269.60833333333335</v>
      </c>
    </row>
    <row r="227" spans="1:59">
      <c r="A227" s="3">
        <v>43374</v>
      </c>
      <c r="B227" s="3">
        <v>43374</v>
      </c>
      <c r="C227">
        <v>306.45953471232991</v>
      </c>
      <c r="D227">
        <v>119.55468680826067</v>
      </c>
      <c r="E227">
        <v>179.10431292876015</v>
      </c>
      <c r="F227">
        <v>68.492503059200487</v>
      </c>
      <c r="G227">
        <v>164.29659165966595</v>
      </c>
      <c r="H227">
        <v>7218.6000000000058</v>
      </c>
      <c r="I227">
        <v>4203.6999999999971</v>
      </c>
      <c r="J227">
        <v>642.99971889343908</v>
      </c>
      <c r="K227">
        <v>822.01435872508125</v>
      </c>
      <c r="L227">
        <v>155.33383474311654</v>
      </c>
      <c r="M227">
        <v>220.4612231058193</v>
      </c>
      <c r="O227">
        <v>431.55250816217006</v>
      </c>
      <c r="P227">
        <v>175.78681604900237</v>
      </c>
      <c r="Q227">
        <v>53221.599999999999</v>
      </c>
      <c r="T227">
        <v>164.02859202743733</v>
      </c>
      <c r="U227"/>
      <c r="V227"/>
      <c r="W227"/>
      <c r="X227"/>
      <c r="Y227"/>
      <c r="Z227"/>
      <c r="AA227"/>
      <c r="AB227">
        <v>13357</v>
      </c>
      <c r="AC227">
        <v>29044</v>
      </c>
      <c r="AD227">
        <v>5569.4</v>
      </c>
      <c r="AE227">
        <v>3226.6</v>
      </c>
      <c r="AF227">
        <v>428.57066491343028</v>
      </c>
      <c r="AG227">
        <v>378.84350444394221</v>
      </c>
      <c r="AH227">
        <v>458.37985005439066</v>
      </c>
      <c r="AI227">
        <v>394.94197360034582</v>
      </c>
      <c r="AJ227">
        <v>343.88263451533555</v>
      </c>
      <c r="AK227">
        <v>5799325</v>
      </c>
      <c r="AL227">
        <v>5305813</v>
      </c>
      <c r="AM227">
        <v>13909606</v>
      </c>
      <c r="AN227">
        <v>19744282</v>
      </c>
      <c r="AO227"/>
      <c r="AP227">
        <v>9.25</v>
      </c>
      <c r="AQ227"/>
      <c r="AR227"/>
      <c r="AS227"/>
      <c r="AT227"/>
      <c r="AU227">
        <v>695.61643931504989</v>
      </c>
      <c r="AV227">
        <v>869.53977355912048</v>
      </c>
      <c r="AW227">
        <v>7595659</v>
      </c>
      <c r="AX227">
        <v>5180765</v>
      </c>
      <c r="AY227">
        <v>12.5</v>
      </c>
      <c r="AZ227">
        <v>9.5</v>
      </c>
      <c r="BA227"/>
      <c r="BB227">
        <v>82.621562729492808</v>
      </c>
      <c r="BC227">
        <v>49.212987651482756</v>
      </c>
      <c r="BD227">
        <v>367.60290322580647</v>
      </c>
      <c r="BE227">
        <v>1.1485677419354838</v>
      </c>
      <c r="BF227">
        <v>80.59548387096774</v>
      </c>
      <c r="BG227">
        <v>276.8435483870968</v>
      </c>
    </row>
    <row r="228" spans="1:59">
      <c r="A228" s="3">
        <v>43405</v>
      </c>
      <c r="B228" s="3">
        <v>43405</v>
      </c>
      <c r="C228">
        <v>331.82450037118383</v>
      </c>
      <c r="D228">
        <v>136.2388464110233</v>
      </c>
      <c r="E228">
        <v>182.61904251419793</v>
      </c>
      <c r="F228">
        <v>83.567411836543542</v>
      </c>
      <c r="G228">
        <v>152.03419136635739</v>
      </c>
      <c r="H228">
        <v>7802</v>
      </c>
      <c r="I228">
        <v>4826.1000000000058</v>
      </c>
      <c r="J228">
        <v>632.0687236722506</v>
      </c>
      <c r="K228">
        <v>303.56260683273678</v>
      </c>
      <c r="L228">
        <v>153.15916105671289</v>
      </c>
      <c r="M228">
        <v>222.72977628368832</v>
      </c>
      <c r="O228">
        <v>385.6058632724928</v>
      </c>
      <c r="P228">
        <v>206.84630225372658</v>
      </c>
      <c r="Q228">
        <v>51015.48</v>
      </c>
      <c r="T228">
        <v>162.6194260198979</v>
      </c>
      <c r="U228"/>
      <c r="V228"/>
      <c r="W228"/>
      <c r="X228"/>
      <c r="Y228"/>
      <c r="Z228"/>
      <c r="AA228"/>
      <c r="AB228">
        <v>13555</v>
      </c>
      <c r="AC228">
        <v>30146</v>
      </c>
      <c r="AD228">
        <v>4700.2</v>
      </c>
      <c r="AE228">
        <v>2926.1</v>
      </c>
      <c r="AF228">
        <v>432.42780089765114</v>
      </c>
      <c r="AG228">
        <v>381.87425247949369</v>
      </c>
      <c r="AH228">
        <v>464.33878810509776</v>
      </c>
      <c r="AI228">
        <v>397.70656741554825</v>
      </c>
      <c r="AJ228">
        <v>346.7024721183613</v>
      </c>
      <c r="AK228">
        <v>5988371</v>
      </c>
      <c r="AL228">
        <v>5051957</v>
      </c>
      <c r="AM228">
        <v>14041534</v>
      </c>
      <c r="AN228">
        <v>19896584</v>
      </c>
      <c r="AO228"/>
      <c r="AP228">
        <v>9.25</v>
      </c>
      <c r="AQ228"/>
      <c r="AR228"/>
      <c r="AS228"/>
      <c r="AT228"/>
      <c r="AU228">
        <v>985.03743917671966</v>
      </c>
      <c r="AV228">
        <v>1018.5932618343886</v>
      </c>
      <c r="AW228">
        <v>7596783</v>
      </c>
      <c r="AX228">
        <v>5266832</v>
      </c>
      <c r="AY228">
        <v>12.5</v>
      </c>
      <c r="AZ228">
        <v>9.6999999999999993</v>
      </c>
      <c r="BA228"/>
      <c r="BB228">
        <v>83.099089140744383</v>
      </c>
      <c r="BC228">
        <v>49.009671928105135</v>
      </c>
      <c r="BD228">
        <v>370.24766666666665</v>
      </c>
      <c r="BE228">
        <v>1.1363633333333334</v>
      </c>
      <c r="BF228">
        <v>66.26733333333334</v>
      </c>
      <c r="BG228">
        <v>275.52833333333331</v>
      </c>
    </row>
    <row r="229" spans="1:59">
      <c r="A229" s="3">
        <v>43435</v>
      </c>
      <c r="B229" s="3">
        <v>43435</v>
      </c>
      <c r="C229">
        <v>323.07882376292844</v>
      </c>
      <c r="D229">
        <v>143.68182345147216</v>
      </c>
      <c r="E229">
        <v>157.48967431509425</v>
      </c>
      <c r="F229">
        <v>94.526096254955959</v>
      </c>
      <c r="G229">
        <v>150.97082735726011</v>
      </c>
      <c r="H229">
        <v>7978</v>
      </c>
      <c r="I229">
        <v>5006</v>
      </c>
      <c r="J229">
        <v>1013.83823277029</v>
      </c>
      <c r="K229">
        <v>443.98135030315831</v>
      </c>
      <c r="L229">
        <v>226.36924004182168</v>
      </c>
      <c r="M229">
        <v>318.8169573035816</v>
      </c>
      <c r="O229">
        <v>579.78826193769817</v>
      </c>
      <c r="P229">
        <v>218.91554736016539</v>
      </c>
      <c r="Q229">
        <v>53699.81</v>
      </c>
      <c r="T229">
        <v>161.37627665096713</v>
      </c>
      <c r="U229"/>
      <c r="V229"/>
      <c r="W229"/>
      <c r="X229"/>
      <c r="Y229"/>
      <c r="Z229"/>
      <c r="AA229"/>
      <c r="AB229">
        <v>14391</v>
      </c>
      <c r="AC229">
        <v>30927</v>
      </c>
      <c r="AD229">
        <v>6154.8</v>
      </c>
      <c r="AE229">
        <v>2893.5</v>
      </c>
      <c r="AF229">
        <v>435.4547955039348</v>
      </c>
      <c r="AG229">
        <v>383.78362374189123</v>
      </c>
      <c r="AH229">
        <v>469.91085356235897</v>
      </c>
      <c r="AI229">
        <v>398.50198055037936</v>
      </c>
      <c r="AJ229">
        <v>348.50532497337679</v>
      </c>
      <c r="AK229">
        <v>6650873</v>
      </c>
      <c r="AL229">
        <v>5605006</v>
      </c>
      <c r="AM229">
        <v>14467056</v>
      </c>
      <c r="AN229">
        <v>20813371</v>
      </c>
      <c r="AO229"/>
      <c r="AP229">
        <v>9.25</v>
      </c>
      <c r="AQ229"/>
      <c r="AR229"/>
      <c r="AS229"/>
      <c r="AT229"/>
      <c r="AU229">
        <v>823.08336863491127</v>
      </c>
      <c r="AV229">
        <v>1320.6896092145014</v>
      </c>
      <c r="AW229">
        <v>7789144</v>
      </c>
      <c r="AX229">
        <v>5302620</v>
      </c>
      <c r="AY229">
        <v>11.7</v>
      </c>
      <c r="AZ229">
        <v>9.6999999999999993</v>
      </c>
      <c r="BA229"/>
      <c r="BB229">
        <v>83.377880310908864</v>
      </c>
      <c r="BC229">
        <v>48.9082942637678</v>
      </c>
      <c r="BD229">
        <v>372.69709677419354</v>
      </c>
      <c r="BE229">
        <v>1.1372064516129032</v>
      </c>
      <c r="BF229">
        <v>57.332903225806454</v>
      </c>
      <c r="BG229">
        <v>272.42741935483872</v>
      </c>
    </row>
    <row r="230" spans="1:59">
      <c r="A230" s="3">
        <v>43466</v>
      </c>
      <c r="B230" s="3">
        <v>43466</v>
      </c>
      <c r="C230">
        <v>283.82667521998241</v>
      </c>
      <c r="D230">
        <v>127.3299556155427</v>
      </c>
      <c r="E230">
        <v>151.50751344194475</v>
      </c>
      <c r="F230">
        <v>116.93161380657115</v>
      </c>
      <c r="G230">
        <v>77.523985392272323</v>
      </c>
      <c r="H230">
        <v>7999.2</v>
      </c>
      <c r="I230">
        <v>5093.8</v>
      </c>
      <c r="J230">
        <v>112.53604383750218</v>
      </c>
      <c r="K230">
        <v>123.8629871429164</v>
      </c>
      <c r="L230">
        <v>111.14729686053444</v>
      </c>
      <c r="M230">
        <v>186.54227605021805</v>
      </c>
      <c r="O230">
        <v>247.10831794425809</v>
      </c>
      <c r="P230">
        <v>142.10170055816806</v>
      </c>
      <c r="Q230">
        <v>47275.8</v>
      </c>
      <c r="T230">
        <v>155.95490601288017</v>
      </c>
      <c r="U230"/>
      <c r="V230"/>
      <c r="W230"/>
      <c r="X230"/>
      <c r="Y230"/>
      <c r="Z230"/>
      <c r="AA230"/>
      <c r="AB230">
        <v>15020</v>
      </c>
      <c r="AC230">
        <v>30580</v>
      </c>
      <c r="AD230">
        <v>5351.6</v>
      </c>
      <c r="AE230">
        <v>2295.1</v>
      </c>
      <c r="AF230">
        <v>437.63206948145444</v>
      </c>
      <c r="AG230">
        <v>384.93497461311688</v>
      </c>
      <c r="AH230">
        <v>476.01969465866966</v>
      </c>
      <c r="AI230">
        <v>397.70497658927854</v>
      </c>
      <c r="AJ230">
        <v>349.58569148079431</v>
      </c>
      <c r="AK230">
        <v>6983953</v>
      </c>
      <c r="AL230">
        <v>6412273</v>
      </c>
      <c r="AM230">
        <v>15842962</v>
      </c>
      <c r="AN230">
        <v>21412108</v>
      </c>
      <c r="AO230"/>
      <c r="AP230">
        <v>9.25</v>
      </c>
      <c r="AQ230"/>
      <c r="AR230"/>
      <c r="AS230"/>
      <c r="AT230"/>
      <c r="AU230">
        <v>853.07317519066009</v>
      </c>
      <c r="AV230">
        <v>896.08502920480998</v>
      </c>
      <c r="AW230">
        <v>7150899</v>
      </c>
      <c r="AX230">
        <v>5319088</v>
      </c>
      <c r="AY230">
        <v>12.4</v>
      </c>
      <c r="AZ230">
        <v>9.5</v>
      </c>
      <c r="BA230"/>
      <c r="BB230">
        <v>81.827100247097277</v>
      </c>
      <c r="BC230">
        <v>47.748770514345928</v>
      </c>
      <c r="BD230">
        <v>378.40483870967739</v>
      </c>
      <c r="BE230">
        <v>1.1416838709677419</v>
      </c>
      <c r="BF230">
        <v>60.09225806451613</v>
      </c>
      <c r="BG230">
        <v>267.5467741935484</v>
      </c>
    </row>
    <row r="231" spans="1:59">
      <c r="A231" s="3">
        <v>43497</v>
      </c>
      <c r="B231" s="3">
        <v>43497</v>
      </c>
      <c r="C231">
        <v>295.66096973390853</v>
      </c>
      <c r="D231">
        <v>120.57114536676539</v>
      </c>
      <c r="E231">
        <v>167.66306429776742</v>
      </c>
      <c r="F231">
        <v>102.98330988480654</v>
      </c>
      <c r="G231">
        <v>97.334273653850687</v>
      </c>
      <c r="H231">
        <v>7281</v>
      </c>
      <c r="I231">
        <v>4628.6000000000004</v>
      </c>
      <c r="J231">
        <v>205.940960222629</v>
      </c>
      <c r="K231">
        <v>119.03488261675655</v>
      </c>
      <c r="L231">
        <v>111.70303334483711</v>
      </c>
      <c r="M231">
        <v>186.06670095718812</v>
      </c>
      <c r="O231">
        <v>244.85738770839339</v>
      </c>
      <c r="P231">
        <v>140.70082576557633</v>
      </c>
      <c r="Q231">
        <v>43868.29</v>
      </c>
      <c r="T231">
        <v>155.46129025589423</v>
      </c>
      <c r="U231"/>
      <c r="V231"/>
      <c r="W231"/>
      <c r="X231"/>
      <c r="Y231"/>
      <c r="Z231"/>
      <c r="AA231"/>
      <c r="AB231">
        <v>15183</v>
      </c>
      <c r="AC231">
        <v>29137</v>
      </c>
      <c r="AD231">
        <v>4559.3</v>
      </c>
      <c r="AE231">
        <v>2237.1</v>
      </c>
      <c r="AF231">
        <v>438.94496568989882</v>
      </c>
      <c r="AG231">
        <v>386.0897795369562</v>
      </c>
      <c r="AH231">
        <v>483.15999007854964</v>
      </c>
      <c r="AI231">
        <v>392.53481189361793</v>
      </c>
      <c r="AJ231">
        <v>349.51577434249816</v>
      </c>
      <c r="AK231">
        <v>6519013</v>
      </c>
      <c r="AL231">
        <v>5507657</v>
      </c>
      <c r="AM231">
        <v>14814967</v>
      </c>
      <c r="AN231">
        <v>19720819</v>
      </c>
      <c r="AO231"/>
      <c r="AP231">
        <v>9.25</v>
      </c>
      <c r="AQ231"/>
      <c r="AR231"/>
      <c r="AS231"/>
      <c r="AT231"/>
      <c r="AU231">
        <v>1148.3730179458601</v>
      </c>
      <c r="AV231">
        <v>1030.6476476111</v>
      </c>
      <c r="AW231">
        <v>7132609</v>
      </c>
      <c r="AX231">
        <v>5356705</v>
      </c>
      <c r="AY231">
        <v>12.4</v>
      </c>
      <c r="AZ231">
        <v>9.1</v>
      </c>
      <c r="BA231"/>
      <c r="BB231">
        <v>81.745435110392506</v>
      </c>
      <c r="BC231">
        <v>47.767391136548305</v>
      </c>
      <c r="BD231">
        <v>377.56892857142856</v>
      </c>
      <c r="BE231">
        <v>1.1348178571428571</v>
      </c>
      <c r="BF231">
        <v>64.46678571428572</v>
      </c>
      <c r="BG231">
        <v>284.55357142857144</v>
      </c>
    </row>
    <row r="232" spans="1:59">
      <c r="A232" s="3">
        <v>43525</v>
      </c>
      <c r="B232" s="3">
        <v>43525</v>
      </c>
      <c r="C232">
        <v>346.02080510400839</v>
      </c>
      <c r="D232">
        <v>137.88299836620598</v>
      </c>
      <c r="E232">
        <v>197.51648690368208</v>
      </c>
      <c r="F232">
        <v>98.621448892365621</v>
      </c>
      <c r="G232">
        <v>117.50207735822077</v>
      </c>
      <c r="H232">
        <v>7731.6</v>
      </c>
      <c r="I232">
        <v>4916.2</v>
      </c>
      <c r="J232">
        <v>380.5788944914184</v>
      </c>
      <c r="K232">
        <v>154.70397054125888</v>
      </c>
      <c r="L232">
        <v>126.67123981304529</v>
      </c>
      <c r="M232">
        <v>211.67919547745385</v>
      </c>
      <c r="O232">
        <v>319.48164198134384</v>
      </c>
      <c r="P232">
        <v>156.9394042493532</v>
      </c>
      <c r="Q232">
        <v>48268.09</v>
      </c>
      <c r="T232">
        <v>154.44396822161437</v>
      </c>
      <c r="U232"/>
      <c r="V232"/>
      <c r="W232"/>
      <c r="X232"/>
      <c r="Y232"/>
      <c r="Z232"/>
      <c r="AA232"/>
      <c r="AB232">
        <v>15014</v>
      </c>
      <c r="AC232">
        <v>27042</v>
      </c>
      <c r="AD232">
        <v>3433.6</v>
      </c>
      <c r="AE232">
        <v>2656.8</v>
      </c>
      <c r="AF232">
        <v>441.13969051834829</v>
      </c>
      <c r="AG232">
        <v>387.24804887556701</v>
      </c>
      <c r="AH232">
        <v>487.99158997933512</v>
      </c>
      <c r="AI232">
        <v>393.31988151740518</v>
      </c>
      <c r="AJ232">
        <v>350.84393428499965</v>
      </c>
      <c r="AK232">
        <v>6248429</v>
      </c>
      <c r="AL232">
        <v>5402116</v>
      </c>
      <c r="AM232">
        <v>14641941</v>
      </c>
      <c r="AN232">
        <v>19401091</v>
      </c>
      <c r="AO232"/>
      <c r="AP232">
        <v>9.25</v>
      </c>
      <c r="AQ232"/>
      <c r="AR232"/>
      <c r="AS232"/>
      <c r="AT232"/>
      <c r="AU232">
        <v>925.48570759126005</v>
      </c>
      <c r="AV232">
        <v>884.94815846230017</v>
      </c>
      <c r="AW232">
        <v>7036900</v>
      </c>
      <c r="AX232">
        <v>5436301</v>
      </c>
      <c r="AY232">
        <v>12</v>
      </c>
      <c r="AZ232">
        <v>9.3000000000000007</v>
      </c>
      <c r="BA232"/>
      <c r="BB232">
        <v>81.498194631557169</v>
      </c>
      <c r="BC232">
        <v>47.692519521632995</v>
      </c>
      <c r="BD232">
        <v>378.50193548387097</v>
      </c>
      <c r="BE232">
        <v>1.1295774193548387</v>
      </c>
      <c r="BF232">
        <v>66.914838709677412</v>
      </c>
      <c r="BG232">
        <v>290.01451612903224</v>
      </c>
    </row>
    <row r="233" spans="1:59">
      <c r="A233" s="3">
        <v>43556</v>
      </c>
      <c r="B233" s="3">
        <v>43556</v>
      </c>
      <c r="C233">
        <v>331.14005186980717</v>
      </c>
      <c r="D233">
        <v>122.0197061424397</v>
      </c>
      <c r="E233">
        <v>201.08088244246861</v>
      </c>
      <c r="F233">
        <v>94.591068049665125</v>
      </c>
      <c r="G233">
        <v>120.10035265418951</v>
      </c>
      <c r="H233">
        <v>6553.1</v>
      </c>
      <c r="I233">
        <v>4181.8</v>
      </c>
      <c r="J233">
        <v>384.76526233082399</v>
      </c>
      <c r="K233">
        <v>146.77889995082026</v>
      </c>
      <c r="L233">
        <v>131.23140444631491</v>
      </c>
      <c r="M233">
        <v>213.84930096651559</v>
      </c>
      <c r="O233">
        <v>296.92053336324102</v>
      </c>
      <c r="P233">
        <v>152.88070260577288</v>
      </c>
      <c r="Q233">
        <v>47043.6</v>
      </c>
      <c r="T233">
        <v>164.88804259137976</v>
      </c>
      <c r="U233"/>
      <c r="V233"/>
      <c r="W233"/>
      <c r="X233"/>
      <c r="Y233"/>
      <c r="Z233"/>
      <c r="AA233"/>
      <c r="AB233">
        <v>15146</v>
      </c>
      <c r="AC233">
        <v>27085</v>
      </c>
      <c r="AD233">
        <v>5201.1000000000004</v>
      </c>
      <c r="AE233">
        <v>3281.3</v>
      </c>
      <c r="AF233">
        <v>443.34538897094006</v>
      </c>
      <c r="AG233">
        <v>388.79704107106926</v>
      </c>
      <c r="AH233">
        <v>492.38351428914922</v>
      </c>
      <c r="AI233">
        <v>393.71320139892259</v>
      </c>
      <c r="AJ233">
        <v>352.80866031699566</v>
      </c>
      <c r="AK233">
        <v>5694776</v>
      </c>
      <c r="AL233">
        <v>5411541</v>
      </c>
      <c r="AM233">
        <v>14587125</v>
      </c>
      <c r="AN233">
        <v>19353989</v>
      </c>
      <c r="AO233"/>
      <c r="AP233">
        <v>9</v>
      </c>
      <c r="AQ233"/>
      <c r="AR233"/>
      <c r="AS233"/>
      <c r="AT233"/>
      <c r="AU233">
        <v>1045.8910410569799</v>
      </c>
      <c r="AV233">
        <v>993.43871900192971</v>
      </c>
      <c r="AW233">
        <v>7029521</v>
      </c>
      <c r="AX233">
        <v>5537192</v>
      </c>
      <c r="AY233">
        <v>12</v>
      </c>
      <c r="AZ233">
        <v>9.6999999999999993</v>
      </c>
      <c r="BA233"/>
      <c r="BB233">
        <v>81.3823389051432</v>
      </c>
      <c r="BC233">
        <v>47.621023321079271</v>
      </c>
      <c r="BD233">
        <v>379.84766666666667</v>
      </c>
      <c r="BE233">
        <v>1.1231333333333333</v>
      </c>
      <c r="BF233">
        <v>71.606333333333339</v>
      </c>
      <c r="BG233">
        <v>291.41333333333336</v>
      </c>
    </row>
    <row r="234" spans="1:59">
      <c r="A234" s="3">
        <v>43586</v>
      </c>
      <c r="B234" s="3">
        <v>43586</v>
      </c>
      <c r="C234">
        <v>316.71035352324606</v>
      </c>
      <c r="D234">
        <v>124.71039627551201</v>
      </c>
      <c r="E234">
        <v>189.40905162434836</v>
      </c>
      <c r="F234">
        <v>81.470067582417229</v>
      </c>
      <c r="G234">
        <v>76.21597663013759</v>
      </c>
      <c r="H234">
        <v>6929.1</v>
      </c>
      <c r="I234">
        <v>4320.3</v>
      </c>
      <c r="J234">
        <v>563.29634405232628</v>
      </c>
      <c r="K234">
        <v>169.72330629164193</v>
      </c>
      <c r="L234">
        <v>143.82961927316114</v>
      </c>
      <c r="M234">
        <v>229.38513651962316</v>
      </c>
      <c r="O234">
        <v>365.8249988196813</v>
      </c>
      <c r="P234">
        <v>158.75318735754226</v>
      </c>
      <c r="Q234">
        <v>49989.51</v>
      </c>
      <c r="T234">
        <v>163.40438011693061</v>
      </c>
      <c r="U234"/>
      <c r="V234"/>
      <c r="W234"/>
      <c r="X234"/>
      <c r="Y234"/>
      <c r="Z234"/>
      <c r="AA234"/>
      <c r="AB234">
        <v>15455</v>
      </c>
      <c r="AC234">
        <v>28050</v>
      </c>
      <c r="AD234">
        <v>5068.7</v>
      </c>
      <c r="AE234">
        <v>3652.9</v>
      </c>
      <c r="AF234">
        <v>446.00546130476573</v>
      </c>
      <c r="AG234">
        <v>390.74102627642463</v>
      </c>
      <c r="AH234">
        <v>496.81496591775158</v>
      </c>
      <c r="AI234">
        <v>394.50062780172044</v>
      </c>
      <c r="AJ234">
        <v>354.85495054683423</v>
      </c>
      <c r="AK234">
        <v>6617443</v>
      </c>
      <c r="AL234">
        <v>5760725</v>
      </c>
      <c r="AM234">
        <v>15132393</v>
      </c>
      <c r="AN234">
        <v>19737432</v>
      </c>
      <c r="AO234"/>
      <c r="AP234">
        <v>9</v>
      </c>
      <c r="AQ234"/>
      <c r="AR234"/>
      <c r="AS234"/>
      <c r="AT234"/>
      <c r="AU234">
        <v>1372.2813875617701</v>
      </c>
      <c r="AV234">
        <v>1401.9444957000403</v>
      </c>
      <c r="AW234">
        <v>7100803</v>
      </c>
      <c r="AX234">
        <v>5659278</v>
      </c>
      <c r="AY234">
        <v>11.9</v>
      </c>
      <c r="AZ234">
        <v>9.1999999999999993</v>
      </c>
      <c r="BA234"/>
      <c r="BB234">
        <v>82.125165696518181</v>
      </c>
      <c r="BC234">
        <v>47.877968213640884</v>
      </c>
      <c r="BD234">
        <v>380.45419354838708</v>
      </c>
      <c r="BE234">
        <v>1.1186548387096773</v>
      </c>
      <c r="BF234">
        <v>70.377741935483868</v>
      </c>
      <c r="BG234">
        <v>274.72580645161293</v>
      </c>
    </row>
    <row r="235" spans="1:59">
      <c r="A235" s="3">
        <v>43617</v>
      </c>
      <c r="B235" s="3">
        <v>43617</v>
      </c>
      <c r="C235">
        <v>332.84555070964927</v>
      </c>
      <c r="D235">
        <v>141.05250924353385</v>
      </c>
      <c r="E235">
        <v>173.21368155829606</v>
      </c>
      <c r="F235">
        <v>74.742395687766361</v>
      </c>
      <c r="G235">
        <v>79.612614694517589</v>
      </c>
      <c r="H235">
        <v>7768.2</v>
      </c>
      <c r="I235">
        <v>4934.8</v>
      </c>
      <c r="J235">
        <v>836.49507091770454</v>
      </c>
      <c r="K235">
        <v>251.70380017683988</v>
      </c>
      <c r="L235">
        <v>159.50704777393571</v>
      </c>
      <c r="M235">
        <v>248.29018261835594</v>
      </c>
      <c r="O235">
        <v>523.78912807128097</v>
      </c>
      <c r="P235">
        <v>176.94292600760869</v>
      </c>
      <c r="Q235">
        <v>49740.61</v>
      </c>
      <c r="T235">
        <v>162.87564592781735</v>
      </c>
      <c r="U235"/>
      <c r="V235"/>
      <c r="W235"/>
      <c r="X235"/>
      <c r="Y235"/>
      <c r="Z235"/>
      <c r="AA235"/>
      <c r="AB235">
        <v>17054</v>
      </c>
      <c r="AC235">
        <v>28222</v>
      </c>
      <c r="AD235">
        <v>5029.5</v>
      </c>
      <c r="AE235">
        <v>3412.6</v>
      </c>
      <c r="AF235">
        <v>446.89747222737532</v>
      </c>
      <c r="AG235">
        <v>392.3039903815303</v>
      </c>
      <c r="AH235">
        <v>497.80859584958705</v>
      </c>
      <c r="AI235">
        <v>395.28962905732391</v>
      </c>
      <c r="AJ235">
        <v>356.77116727978716</v>
      </c>
      <c r="AK235">
        <v>6346150</v>
      </c>
      <c r="AL235">
        <v>5507695</v>
      </c>
      <c r="AM235">
        <v>14549374</v>
      </c>
      <c r="AN235">
        <v>19537417</v>
      </c>
      <c r="AO235"/>
      <c r="AP235">
        <v>9</v>
      </c>
      <c r="AQ235"/>
      <c r="AR235"/>
      <c r="AS235"/>
      <c r="AT235"/>
      <c r="AU235">
        <v>857.76954032516949</v>
      </c>
      <c r="AV235">
        <v>771.06332753260995</v>
      </c>
      <c r="AW235">
        <v>7071396</v>
      </c>
      <c r="AX235">
        <v>5835436</v>
      </c>
      <c r="AY235">
        <v>11.7</v>
      </c>
      <c r="AZ235">
        <v>9.3000000000000007</v>
      </c>
      <c r="BA235"/>
      <c r="BB235">
        <v>81.197620520305634</v>
      </c>
      <c r="BC235">
        <v>47.247623081609689</v>
      </c>
      <c r="BD235">
        <v>382.39400000000001</v>
      </c>
      <c r="BE235">
        <v>1.1293866666666668</v>
      </c>
      <c r="BF235">
        <v>63.461333333333336</v>
      </c>
      <c r="BG235">
        <v>267.08666666666664</v>
      </c>
    </row>
    <row r="236" spans="1:59">
      <c r="A236" s="3">
        <v>43647</v>
      </c>
      <c r="B236" s="3">
        <v>43647</v>
      </c>
      <c r="C236">
        <v>313.63271902263222</v>
      </c>
      <c r="D236">
        <v>136.1991298944653</v>
      </c>
      <c r="E236">
        <v>148.20873433488916</v>
      </c>
      <c r="F236">
        <v>70.31996253980077</v>
      </c>
      <c r="G236">
        <v>73.78889682527803</v>
      </c>
      <c r="H236">
        <v>7998</v>
      </c>
      <c r="I236">
        <v>5075.5</v>
      </c>
      <c r="J236">
        <v>703.49235464178946</v>
      </c>
      <c r="K236">
        <v>227.51234865547835</v>
      </c>
      <c r="L236">
        <v>159.66655482170964</v>
      </c>
      <c r="M236">
        <v>253.1566488082712</v>
      </c>
      <c r="O236">
        <v>403.67384745102754</v>
      </c>
      <c r="P236">
        <v>166.55656542977331</v>
      </c>
      <c r="Q236">
        <v>53120.98</v>
      </c>
      <c r="T236">
        <v>164.89762644791739</v>
      </c>
      <c r="U236"/>
      <c r="V236"/>
      <c r="W236"/>
      <c r="X236"/>
      <c r="Y236"/>
      <c r="Z236"/>
      <c r="AA236"/>
      <c r="AB236">
        <v>17476</v>
      </c>
      <c r="AC236">
        <v>27677</v>
      </c>
      <c r="AD236">
        <v>4388.3999999999996</v>
      </c>
      <c r="AE236">
        <v>3990.2</v>
      </c>
      <c r="AF236">
        <v>447.79126717183004</v>
      </c>
      <c r="AG236">
        <v>393.48090235267489</v>
      </c>
      <c r="AH236">
        <v>498.3064044454365</v>
      </c>
      <c r="AI236">
        <v>395.68491868638125</v>
      </c>
      <c r="AJ236">
        <v>358.34096041581819</v>
      </c>
      <c r="AK236">
        <v>7078495</v>
      </c>
      <c r="AL236">
        <v>5599015</v>
      </c>
      <c r="AM236">
        <v>14960666</v>
      </c>
      <c r="AN236">
        <v>19899608</v>
      </c>
      <c r="AO236"/>
      <c r="AP236">
        <v>9</v>
      </c>
      <c r="AQ236"/>
      <c r="AR236"/>
      <c r="AS236"/>
      <c r="AT236"/>
      <c r="AU236">
        <v>872.40211803006014</v>
      </c>
      <c r="AV236">
        <v>1240.8465320069902</v>
      </c>
      <c r="AW236">
        <v>7041381</v>
      </c>
      <c r="AX236">
        <v>6012263</v>
      </c>
      <c r="AY236">
        <v>12</v>
      </c>
      <c r="AZ236">
        <v>9.6</v>
      </c>
      <c r="BA236"/>
      <c r="BB236">
        <v>80.910918787682334</v>
      </c>
      <c r="BC236">
        <v>46.944532747544258</v>
      </c>
      <c r="BD236">
        <v>384.21741935483868</v>
      </c>
      <c r="BE236">
        <v>1.1212483870967742</v>
      </c>
      <c r="BF236">
        <v>64.216129032258067</v>
      </c>
      <c r="BG236">
        <v>268.84516129032255</v>
      </c>
    </row>
    <row r="237" spans="1:59">
      <c r="A237" s="3">
        <v>43678</v>
      </c>
      <c r="B237" s="3">
        <v>43678</v>
      </c>
      <c r="C237">
        <v>318.93049793873212</v>
      </c>
      <c r="D237">
        <v>128.27863001578726</v>
      </c>
      <c r="E237">
        <v>171.58412140321354</v>
      </c>
      <c r="F237">
        <v>61.531033908856614</v>
      </c>
      <c r="G237">
        <v>108.27433446598818</v>
      </c>
      <c r="H237">
        <v>7549.9</v>
      </c>
      <c r="I237">
        <v>4683.3999999999996</v>
      </c>
      <c r="J237">
        <v>650.0269356890135</v>
      </c>
      <c r="K237">
        <v>445.81208878174289</v>
      </c>
      <c r="L237">
        <v>163.17921902778727</v>
      </c>
      <c r="M237">
        <v>274.04767209412717</v>
      </c>
      <c r="O237">
        <v>420.054293226281</v>
      </c>
      <c r="P237">
        <v>178.44380142510073</v>
      </c>
      <c r="Q237">
        <v>53469.760000000002</v>
      </c>
      <c r="T237">
        <v>164.39356288858397</v>
      </c>
      <c r="U237"/>
      <c r="V237"/>
      <c r="W237"/>
      <c r="X237"/>
      <c r="Y237"/>
      <c r="Z237"/>
      <c r="AA237"/>
      <c r="AB237">
        <v>18642</v>
      </c>
      <c r="AC237">
        <v>28236</v>
      </c>
      <c r="AD237">
        <v>4757.6000000000004</v>
      </c>
      <c r="AE237">
        <v>3864.2</v>
      </c>
      <c r="AF237">
        <v>448.6868497061738</v>
      </c>
      <c r="AG237">
        <v>395.0548259620856</v>
      </c>
      <c r="AH237">
        <v>498.80471084988199</v>
      </c>
      <c r="AI237">
        <v>396.08060360506755</v>
      </c>
      <c r="AJ237">
        <v>360.34766979414678</v>
      </c>
      <c r="AK237">
        <v>6602428</v>
      </c>
      <c r="AL237">
        <v>5576525</v>
      </c>
      <c r="AM237">
        <v>14629505</v>
      </c>
      <c r="AN237">
        <v>19782528</v>
      </c>
      <c r="AO237"/>
      <c r="AP237">
        <v>9</v>
      </c>
      <c r="AQ237"/>
      <c r="AR237"/>
      <c r="AS237"/>
      <c r="AT237"/>
      <c r="AU237">
        <v>1287.4769715114999</v>
      </c>
      <c r="AV237">
        <v>1179.5990835216194</v>
      </c>
      <c r="AW237">
        <v>7072396</v>
      </c>
      <c r="AX237">
        <v>6151753</v>
      </c>
      <c r="AY237">
        <v>11.9</v>
      </c>
      <c r="AZ237">
        <v>9.1999999999999993</v>
      </c>
      <c r="BA237"/>
      <c r="BB237">
        <v>81.626032396316489</v>
      </c>
      <c r="BC237">
        <v>47.310820017593954</v>
      </c>
      <c r="BD237">
        <v>386.8890322580645</v>
      </c>
      <c r="BE237">
        <v>1.1121193548387096</v>
      </c>
      <c r="BF237">
        <v>59.557096774193546</v>
      </c>
      <c r="BG237">
        <v>257.40967741935481</v>
      </c>
    </row>
    <row r="238" spans="1:59">
      <c r="A238" s="3">
        <v>43709</v>
      </c>
      <c r="B238" s="3">
        <v>43709</v>
      </c>
      <c r="C238">
        <v>309.15683235041388</v>
      </c>
      <c r="D238">
        <v>115.59936930049562</v>
      </c>
      <c r="E238">
        <v>186.74468177727897</v>
      </c>
      <c r="F238">
        <v>63.157295487538768</v>
      </c>
      <c r="G238">
        <v>126.62603249775222</v>
      </c>
      <c r="H238">
        <v>7265.5</v>
      </c>
      <c r="I238">
        <v>3938.5</v>
      </c>
      <c r="J238">
        <v>1199.9497232819188</v>
      </c>
      <c r="K238">
        <v>1786.7612668220315</v>
      </c>
      <c r="L238">
        <v>166.76916184639859</v>
      </c>
      <c r="M238">
        <v>252.15011905180984</v>
      </c>
      <c r="O238">
        <v>456.67560828200584</v>
      </c>
      <c r="P238">
        <v>220.37404168031711</v>
      </c>
      <c r="Q238">
        <v>52186.51</v>
      </c>
      <c r="T238">
        <v>164.02992215410507</v>
      </c>
      <c r="U238"/>
      <c r="V238"/>
      <c r="W238"/>
      <c r="X238"/>
      <c r="Y238"/>
      <c r="Z238"/>
      <c r="AA238"/>
      <c r="AB238">
        <v>18054</v>
      </c>
      <c r="AC238">
        <v>28796</v>
      </c>
      <c r="AD238">
        <v>5317.2</v>
      </c>
      <c r="AE238">
        <v>3593.4</v>
      </c>
      <c r="AF238">
        <v>450.03291025529222</v>
      </c>
      <c r="AG238">
        <v>396.63504526593391</v>
      </c>
      <c r="AH238">
        <v>499.3035155607318</v>
      </c>
      <c r="AI238">
        <v>397.26884541588282</v>
      </c>
      <c r="AJ238">
        <v>362.50975581291169</v>
      </c>
      <c r="AK238">
        <v>6528275</v>
      </c>
      <c r="AL238">
        <v>5568288</v>
      </c>
      <c r="AM238">
        <v>15200475</v>
      </c>
      <c r="AN238">
        <v>20341711</v>
      </c>
      <c r="AO238"/>
      <c r="AP238">
        <v>9.25</v>
      </c>
      <c r="AQ238"/>
      <c r="AR238"/>
      <c r="AS238"/>
      <c r="AT238"/>
      <c r="AU238">
        <v>876.14516010831949</v>
      </c>
      <c r="AV238">
        <v>1013.6340690889396</v>
      </c>
      <c r="AW238">
        <v>7158630</v>
      </c>
      <c r="AX238">
        <v>6236333</v>
      </c>
      <c r="AY238">
        <v>11.7</v>
      </c>
      <c r="AZ238">
        <v>9.1999999999999993</v>
      </c>
      <c r="BA238"/>
      <c r="BB238">
        <v>81.823537457017267</v>
      </c>
      <c r="BC238">
        <v>47.44468651758929</v>
      </c>
      <c r="BD238">
        <v>387.125</v>
      </c>
      <c r="BE238">
        <v>1.1008666666666667</v>
      </c>
      <c r="BF238">
        <v>62.145333333333333</v>
      </c>
      <c r="BG238">
        <v>260.03500000000003</v>
      </c>
    </row>
    <row r="239" spans="1:59">
      <c r="A239" s="3">
        <v>43739</v>
      </c>
      <c r="B239" s="3">
        <v>43739</v>
      </c>
      <c r="C239">
        <v>323.00834958679576</v>
      </c>
      <c r="D239">
        <v>130.79282736823717</v>
      </c>
      <c r="E239">
        <v>181.79087762269154</v>
      </c>
      <c r="F239">
        <v>67.602100519430891</v>
      </c>
      <c r="G239">
        <v>158.05332117659864</v>
      </c>
      <c r="H239">
        <v>7782.7</v>
      </c>
      <c r="I239">
        <v>4536.5</v>
      </c>
      <c r="J239">
        <v>699.57068867335852</v>
      </c>
      <c r="K239">
        <v>802.75649358064823</v>
      </c>
      <c r="L239">
        <v>165.60177771347378</v>
      </c>
      <c r="M239">
        <v>233.90935771527427</v>
      </c>
      <c r="O239">
        <v>424.64766803157539</v>
      </c>
      <c r="P239">
        <v>185.27930411564853</v>
      </c>
      <c r="Q239">
        <v>55595.75</v>
      </c>
      <c r="T239">
        <v>172.2300216288092</v>
      </c>
      <c r="U239"/>
      <c r="V239"/>
      <c r="W239"/>
      <c r="X239"/>
      <c r="Y239"/>
      <c r="Z239"/>
      <c r="AA239"/>
      <c r="AB239">
        <v>18276</v>
      </c>
      <c r="AC239">
        <v>29502</v>
      </c>
      <c r="AD239">
        <v>5078</v>
      </c>
      <c r="AE239">
        <v>3990.2</v>
      </c>
      <c r="AF239">
        <v>452.73310771682389</v>
      </c>
      <c r="AG239">
        <v>398.61822049226362</v>
      </c>
      <c r="AH239">
        <v>503.79724720077832</v>
      </c>
      <c r="AI239">
        <v>398.06338310671464</v>
      </c>
      <c r="AJ239">
        <v>364.82981825011433</v>
      </c>
      <c r="AK239">
        <v>7058849</v>
      </c>
      <c r="AL239">
        <v>5703278</v>
      </c>
      <c r="AM239">
        <v>15612256</v>
      </c>
      <c r="AN239">
        <v>21008255</v>
      </c>
      <c r="AO239"/>
      <c r="AP239">
        <v>9.25</v>
      </c>
      <c r="AQ239"/>
      <c r="AR239"/>
      <c r="AS239"/>
      <c r="AT239"/>
      <c r="AU239">
        <v>860.32486660172049</v>
      </c>
      <c r="AV239">
        <v>1181.5989432391598</v>
      </c>
      <c r="AW239">
        <v>7118782</v>
      </c>
      <c r="AX239">
        <v>6383077</v>
      </c>
      <c r="AY239">
        <v>12</v>
      </c>
      <c r="AZ239">
        <v>9.1</v>
      </c>
      <c r="BA239"/>
      <c r="BB239">
        <v>81.255229857790127</v>
      </c>
      <c r="BC239">
        <v>47.056011733449083</v>
      </c>
      <c r="BD239">
        <v>389.27290322580643</v>
      </c>
      <c r="BE239">
        <v>1.1059548387096774</v>
      </c>
      <c r="BF239">
        <v>59.747741935483873</v>
      </c>
      <c r="BG239">
        <v>262.16129032258067</v>
      </c>
    </row>
    <row r="240" spans="1:59">
      <c r="A240" s="3">
        <v>43770</v>
      </c>
      <c r="B240" s="3">
        <v>43770</v>
      </c>
      <c r="C240">
        <v>347.75207638900065</v>
      </c>
      <c r="D240">
        <v>141.14344488182013</v>
      </c>
      <c r="E240">
        <v>198.14166112790474</v>
      </c>
      <c r="F240">
        <v>80.141147951245259</v>
      </c>
      <c r="G240">
        <v>157.35538806417989</v>
      </c>
      <c r="H240">
        <v>7725.7</v>
      </c>
      <c r="I240">
        <v>4932</v>
      </c>
      <c r="J240">
        <v>687.67798696591137</v>
      </c>
      <c r="K240">
        <v>307.05341833732149</v>
      </c>
      <c r="L240">
        <v>165.60177771347378</v>
      </c>
      <c r="M240">
        <v>236.31629263699332</v>
      </c>
      <c r="O240">
        <v>421.08160269356216</v>
      </c>
      <c r="P240">
        <v>217.60230997092037</v>
      </c>
      <c r="Q240">
        <v>54411.69</v>
      </c>
      <c r="T240">
        <v>170.91301674691269</v>
      </c>
      <c r="U240"/>
      <c r="V240"/>
      <c r="W240"/>
      <c r="X240"/>
      <c r="Y240"/>
      <c r="Z240"/>
      <c r="AA240"/>
      <c r="AB240">
        <v>17885</v>
      </c>
      <c r="AC240">
        <v>28637</v>
      </c>
      <c r="AD240">
        <v>4838.6000000000004</v>
      </c>
      <c r="AE240">
        <v>3210.4</v>
      </c>
      <c r="AF240">
        <v>455.90223947084178</v>
      </c>
      <c r="AG240">
        <v>400.6113115947249</v>
      </c>
      <c r="AH240">
        <v>509.84281416718773</v>
      </c>
      <c r="AI240">
        <v>400.05370002224811</v>
      </c>
      <c r="AJ240">
        <v>367.16472908691503</v>
      </c>
      <c r="AK240">
        <v>6718657</v>
      </c>
      <c r="AL240">
        <v>5616375</v>
      </c>
      <c r="AM240">
        <v>15276017</v>
      </c>
      <c r="AN240">
        <v>20485224</v>
      </c>
      <c r="AO240"/>
      <c r="AP240">
        <v>9.25</v>
      </c>
      <c r="AQ240"/>
      <c r="AR240"/>
      <c r="AS240"/>
      <c r="AT240"/>
      <c r="AU240">
        <v>1435.5871747265012</v>
      </c>
      <c r="AV240">
        <v>1185.4710563312005</v>
      </c>
      <c r="AW240">
        <v>7114266</v>
      </c>
      <c r="AX240">
        <v>6553581</v>
      </c>
      <c r="AY240">
        <v>12.2</v>
      </c>
      <c r="AZ240">
        <v>9</v>
      </c>
      <c r="BA240"/>
      <c r="BB240">
        <v>81.742136293635028</v>
      </c>
      <c r="BC240">
        <v>47.054156570635612</v>
      </c>
      <c r="BD240">
        <v>387.72699999999998</v>
      </c>
      <c r="BE240">
        <v>1.1050633333333333</v>
      </c>
      <c r="BF240">
        <v>62.703666666666663</v>
      </c>
      <c r="BG240">
        <v>265.68333333333334</v>
      </c>
    </row>
    <row r="241" spans="1:59">
      <c r="A241" s="3">
        <v>43800</v>
      </c>
      <c r="B241" s="3">
        <v>43800</v>
      </c>
      <c r="C241">
        <v>343.75586848375588</v>
      </c>
      <c r="D241">
        <v>149.28541456607957</v>
      </c>
      <c r="E241">
        <v>175.60098686133009</v>
      </c>
      <c r="F241">
        <v>89.988843634718066</v>
      </c>
      <c r="G241">
        <v>144.32811095354066</v>
      </c>
      <c r="H241">
        <v>8029</v>
      </c>
      <c r="I241">
        <v>5168.3</v>
      </c>
      <c r="J241">
        <v>1185.5568495292312</v>
      </c>
      <c r="K241">
        <v>464.17268947898373</v>
      </c>
      <c r="L241">
        <v>243.93141857194689</v>
      </c>
      <c r="M241">
        <v>342.09059518674309</v>
      </c>
      <c r="O241">
        <v>638.92666465534342</v>
      </c>
      <c r="P241">
        <v>236.20987560161848</v>
      </c>
      <c r="Q241">
        <v>54370.69</v>
      </c>
      <c r="T241">
        <v>169.60646676016643</v>
      </c>
      <c r="U241"/>
      <c r="V241"/>
      <c r="W241"/>
      <c r="X241"/>
      <c r="Y241"/>
      <c r="Z241"/>
      <c r="AA241"/>
      <c r="AB241">
        <v>18875</v>
      </c>
      <c r="AC241">
        <v>28958</v>
      </c>
      <c r="AD241">
        <v>5042</v>
      </c>
      <c r="AE241">
        <v>3525.1</v>
      </c>
      <c r="AF241">
        <v>459.09355514713764</v>
      </c>
      <c r="AG241">
        <v>403.01497946429328</v>
      </c>
      <c r="AH241">
        <v>515.4510851230267</v>
      </c>
      <c r="AI241">
        <v>401.25386112231485</v>
      </c>
      <c r="AJ241">
        <v>369.03726920525833</v>
      </c>
      <c r="AK241">
        <v>6893176</v>
      </c>
      <c r="AL241">
        <v>5928085</v>
      </c>
      <c r="AM241">
        <v>16054341</v>
      </c>
      <c r="AN241">
        <v>21322070</v>
      </c>
      <c r="AO241"/>
      <c r="AP241">
        <v>9.25</v>
      </c>
      <c r="AQ241"/>
      <c r="AR241"/>
      <c r="AS241"/>
      <c r="AT241"/>
      <c r="AU241">
        <v>1223.6690206713993</v>
      </c>
      <c r="AV241">
        <v>1756.3042750582006</v>
      </c>
      <c r="AW241">
        <v>7203562</v>
      </c>
      <c r="AX241">
        <v>6661328</v>
      </c>
      <c r="AY241">
        <v>12.1</v>
      </c>
      <c r="AZ241">
        <v>8.8000000000000007</v>
      </c>
      <c r="BA241"/>
      <c r="BB241">
        <v>82.452048514206908</v>
      </c>
      <c r="BC241">
        <v>47.298433198624203</v>
      </c>
      <c r="BD241">
        <v>383.89774193548385</v>
      </c>
      <c r="BE241">
        <v>1.1109645161290322</v>
      </c>
      <c r="BF241">
        <v>65.358064516129033</v>
      </c>
      <c r="BG241">
        <v>277.23709677419356</v>
      </c>
    </row>
    <row r="242" spans="1:59">
      <c r="A242" s="3">
        <v>43831</v>
      </c>
      <c r="B242" s="3">
        <v>43831</v>
      </c>
      <c r="C242">
        <v>295.46356890400165</v>
      </c>
      <c r="D242">
        <v>130.89519437277789</v>
      </c>
      <c r="E242">
        <v>163.32509949041642</v>
      </c>
      <c r="F242">
        <v>112.83900732334115</v>
      </c>
      <c r="G242">
        <v>79.462085027079127</v>
      </c>
      <c r="H242">
        <v>7994.2</v>
      </c>
      <c r="I242">
        <v>5210.3</v>
      </c>
      <c r="J242">
        <v>125.66902605009849</v>
      </c>
      <c r="K242">
        <v>127.11393887063713</v>
      </c>
      <c r="L242">
        <v>116.59921807739062</v>
      </c>
      <c r="M242">
        <v>194.75013619642766</v>
      </c>
      <c r="O242">
        <v>255.01578411847436</v>
      </c>
      <c r="P242">
        <v>148.35417538272748</v>
      </c>
      <c r="Q242">
        <v>46834.52</v>
      </c>
      <c r="T242">
        <v>169.21107302397502</v>
      </c>
      <c r="U242"/>
      <c r="V242"/>
      <c r="W242"/>
      <c r="X242"/>
      <c r="Y242"/>
      <c r="Z242"/>
      <c r="AA242"/>
      <c r="AB242">
        <v>19643</v>
      </c>
      <c r="AC242">
        <v>29336</v>
      </c>
      <c r="AD242">
        <v>4558.3999999999996</v>
      </c>
      <c r="AE242">
        <v>2553.5</v>
      </c>
      <c r="AF242">
        <v>462.30721003316762</v>
      </c>
      <c r="AG242">
        <v>405.0300543616147</v>
      </c>
      <c r="AH242">
        <v>520.09014488913397</v>
      </c>
      <c r="AI242">
        <v>403.26013042792636</v>
      </c>
      <c r="AJ242">
        <v>370.66103318976144</v>
      </c>
      <c r="AK242">
        <v>6269522</v>
      </c>
      <c r="AL242">
        <v>5616433</v>
      </c>
      <c r="AM242">
        <v>15538391</v>
      </c>
      <c r="AN242">
        <v>20875848</v>
      </c>
      <c r="AO242"/>
      <c r="AP242">
        <v>9.25</v>
      </c>
      <c r="AQ242"/>
      <c r="AR242"/>
      <c r="AS242"/>
      <c r="AT242"/>
      <c r="AU242">
        <v>1123.26259567426</v>
      </c>
      <c r="AV242">
        <v>1022.6527900055801</v>
      </c>
      <c r="AW242">
        <v>6964726</v>
      </c>
      <c r="AX242">
        <v>6709248</v>
      </c>
      <c r="AY242">
        <v>12.1</v>
      </c>
      <c r="AZ242">
        <v>9.1999999999999993</v>
      </c>
      <c r="BA242"/>
      <c r="BB242">
        <v>83.674670735808519</v>
      </c>
      <c r="BC242">
        <v>47.628726139970624</v>
      </c>
      <c r="BD242">
        <v>379.01290322580644</v>
      </c>
      <c r="BE242">
        <v>1.1102967741935483</v>
      </c>
      <c r="BF242">
        <v>64.033548387096772</v>
      </c>
      <c r="BG242">
        <v>275.99354838709678</v>
      </c>
    </row>
    <row r="243" spans="1:59">
      <c r="A243" s="3">
        <v>43862</v>
      </c>
      <c r="B243" s="3">
        <v>43862</v>
      </c>
      <c r="C243">
        <v>317.8355424639517</v>
      </c>
      <c r="D243">
        <v>128.40826981560514</v>
      </c>
      <c r="E243">
        <v>186.10600137052185</v>
      </c>
      <c r="F243">
        <v>101.85049347607368</v>
      </c>
      <c r="G243">
        <v>102.88232725212018</v>
      </c>
      <c r="H243">
        <v>7597.6</v>
      </c>
      <c r="I243">
        <v>4911.7</v>
      </c>
      <c r="J243">
        <v>228.21495130697886</v>
      </c>
      <c r="K243">
        <v>121.10115120312496</v>
      </c>
      <c r="L243">
        <v>114.03403527968801</v>
      </c>
      <c r="M243">
        <v>192.39296878973252</v>
      </c>
      <c r="O243">
        <v>293.82886525007206</v>
      </c>
      <c r="P243">
        <v>148.15796953115188</v>
      </c>
      <c r="Q243">
        <v>44218.500000000007</v>
      </c>
      <c r="T243">
        <v>168.20911605687758</v>
      </c>
      <c r="U243"/>
      <c r="V243"/>
      <c r="W243"/>
      <c r="X243"/>
      <c r="Y243"/>
      <c r="Z243"/>
      <c r="AA243"/>
      <c r="AB243">
        <v>20301</v>
      </c>
      <c r="AC243">
        <v>29889</v>
      </c>
      <c r="AD243">
        <v>4907.3999999999996</v>
      </c>
      <c r="AE243">
        <v>2435.9</v>
      </c>
      <c r="AF243">
        <v>465.08105329336649</v>
      </c>
      <c r="AG243">
        <v>407.0552046334227</v>
      </c>
      <c r="AH243">
        <v>524.77095619313616</v>
      </c>
      <c r="AI243">
        <v>405.27643108006606</v>
      </c>
      <c r="AJ243">
        <v>372.2919417357964</v>
      </c>
      <c r="AK243">
        <v>6395199</v>
      </c>
      <c r="AL243">
        <v>5687711</v>
      </c>
      <c r="AM243">
        <v>15507593</v>
      </c>
      <c r="AN243">
        <v>20793931</v>
      </c>
      <c r="AO243"/>
      <c r="AP243">
        <v>9.25</v>
      </c>
      <c r="AQ243"/>
      <c r="AR243"/>
      <c r="AS243"/>
      <c r="AT243"/>
      <c r="AU243">
        <v>1343.49286461272</v>
      </c>
      <c r="AV243">
        <v>1165.1164084612401</v>
      </c>
      <c r="AW243">
        <v>7021459</v>
      </c>
      <c r="AX243">
        <v>6785699</v>
      </c>
      <c r="AY243">
        <v>12</v>
      </c>
      <c r="AZ243">
        <v>8.8000000000000007</v>
      </c>
      <c r="BA243"/>
      <c r="BB243">
        <v>85.862975320785893</v>
      </c>
      <c r="BC243">
        <v>48.66946397762274</v>
      </c>
      <c r="BD243">
        <v>378.0751724137931</v>
      </c>
      <c r="BE243">
        <v>1.0916344827586206</v>
      </c>
      <c r="BF243">
        <v>55.757586206896555</v>
      </c>
      <c r="BG243">
        <v>257.47241379310344</v>
      </c>
    </row>
    <row r="244" spans="1:59">
      <c r="A244" s="3">
        <v>43891</v>
      </c>
      <c r="B244" s="3">
        <v>43891</v>
      </c>
      <c r="C244">
        <v>366.43603260514493</v>
      </c>
      <c r="D244">
        <v>145.6044462747135</v>
      </c>
      <c r="E244">
        <v>212.52773990836192</v>
      </c>
      <c r="F244">
        <v>100.00214917685875</v>
      </c>
      <c r="G244">
        <v>127.84226016574419</v>
      </c>
      <c r="H244">
        <v>7983.1</v>
      </c>
      <c r="I244">
        <v>5140.1000000000004</v>
      </c>
      <c r="J244">
        <v>421.28480011268294</v>
      </c>
      <c r="K244">
        <v>159.37370537685607</v>
      </c>
      <c r="L244">
        <v>122.35851985510524</v>
      </c>
      <c r="M244">
        <v>202.15363168096843</v>
      </c>
      <c r="O244">
        <v>301.91015167236992</v>
      </c>
      <c r="P244">
        <v>162.27534399383123</v>
      </c>
      <c r="Q244">
        <v>46472.659999999989</v>
      </c>
      <c r="T244">
        <v>166.79948567934352</v>
      </c>
      <c r="U244"/>
      <c r="V244"/>
      <c r="W244"/>
      <c r="X244"/>
      <c r="Y244"/>
      <c r="Z244"/>
      <c r="AA244"/>
      <c r="AB244">
        <v>19669</v>
      </c>
      <c r="AC244">
        <v>29782</v>
      </c>
      <c r="AD244">
        <v>4964.8</v>
      </c>
      <c r="AE244">
        <v>2632.8</v>
      </c>
      <c r="AF244">
        <v>469.26678277300687</v>
      </c>
      <c r="AG244">
        <v>408.6834254519564</v>
      </c>
      <c r="AH244">
        <v>533.69206244841939</v>
      </c>
      <c r="AI244">
        <v>407.30281323546632</v>
      </c>
      <c r="AJ244">
        <v>374.67461016290548</v>
      </c>
      <c r="AK244">
        <v>8652501</v>
      </c>
      <c r="AL244">
        <v>6164531</v>
      </c>
      <c r="AM244">
        <v>16407064</v>
      </c>
      <c r="AN244">
        <v>22577476</v>
      </c>
      <c r="AO244"/>
      <c r="AP244">
        <v>12</v>
      </c>
      <c r="AQ244"/>
      <c r="AR244"/>
      <c r="AS244"/>
      <c r="AT244"/>
      <c r="AU244">
        <v>874.02153660508986</v>
      </c>
      <c r="AV244">
        <v>1044.6097384844898</v>
      </c>
      <c r="AW244">
        <v>7436594</v>
      </c>
      <c r="AX244">
        <v>6868873</v>
      </c>
      <c r="AY244">
        <v>12.5</v>
      </c>
      <c r="AZ244">
        <v>9</v>
      </c>
      <c r="BA244"/>
      <c r="BB244">
        <v>81.858803901893538</v>
      </c>
      <c r="BC244">
        <v>46.163109244140813</v>
      </c>
      <c r="BD244">
        <v>418.80225806451614</v>
      </c>
      <c r="BE244">
        <v>1.1059548387096774</v>
      </c>
      <c r="BF244">
        <v>34.020000000000003</v>
      </c>
      <c r="BG244">
        <v>237.01129032258063</v>
      </c>
    </row>
    <row r="245" spans="1:59">
      <c r="A245" s="3">
        <v>43922</v>
      </c>
      <c r="B245" s="3">
        <v>43922</v>
      </c>
      <c r="C245">
        <v>351.67073508573526</v>
      </c>
      <c r="D245">
        <v>133.12349940140172</v>
      </c>
      <c r="E245">
        <v>204.49925744399059</v>
      </c>
      <c r="F245">
        <v>100.07734999654571</v>
      </c>
      <c r="G245">
        <v>116.01694066394707</v>
      </c>
      <c r="H245">
        <v>7731.6</v>
      </c>
      <c r="I245">
        <v>4868.2</v>
      </c>
      <c r="J245">
        <v>362.3049280969073</v>
      </c>
      <c r="K245">
        <v>148.84417199939989</v>
      </c>
      <c r="L245">
        <v>85.650963898573664</v>
      </c>
      <c r="M245">
        <v>118.25866343448311</v>
      </c>
      <c r="O245">
        <v>268.11924162700666</v>
      </c>
      <c r="P245">
        <v>141.87329201815723</v>
      </c>
      <c r="Q245">
        <v>44716.78</v>
      </c>
      <c r="T245">
        <v>169.17513169875562</v>
      </c>
      <c r="U245"/>
      <c r="V245"/>
      <c r="W245"/>
      <c r="X245"/>
      <c r="Y245"/>
      <c r="Z245"/>
      <c r="AA245"/>
      <c r="AB245">
        <v>20814</v>
      </c>
      <c r="AC245">
        <v>30557</v>
      </c>
      <c r="AD245">
        <v>4636.7</v>
      </c>
      <c r="AE245">
        <v>2825.4</v>
      </c>
      <c r="AF245">
        <v>473.49018381796401</v>
      </c>
      <c r="AG245">
        <v>409.90947572831232</v>
      </c>
      <c r="AH245">
        <v>543.83221163493943</v>
      </c>
      <c r="AI245">
        <v>407.71011604870182</v>
      </c>
      <c r="AJ245">
        <v>376.96012528489922</v>
      </c>
      <c r="AK245">
        <v>8284220</v>
      </c>
      <c r="AL245">
        <v>6251342</v>
      </c>
      <c r="AM245">
        <v>16406269</v>
      </c>
      <c r="AN245">
        <v>22222626</v>
      </c>
      <c r="AO245"/>
      <c r="AP245">
        <v>9.5</v>
      </c>
      <c r="AQ245"/>
      <c r="AR245"/>
      <c r="AS245"/>
      <c r="AT245"/>
      <c r="AU245">
        <v>1207.3279252572399</v>
      </c>
      <c r="AV245">
        <v>1468.0642718990998</v>
      </c>
      <c r="AW245">
        <v>7315043</v>
      </c>
      <c r="AX245">
        <v>6737568</v>
      </c>
      <c r="AY245">
        <v>12.1</v>
      </c>
      <c r="AZ245">
        <v>9.9</v>
      </c>
      <c r="BA245"/>
      <c r="BB245">
        <v>79.627568544337763</v>
      </c>
      <c r="BC245">
        <v>44.628835768290436</v>
      </c>
      <c r="BD245">
        <v>433.255</v>
      </c>
      <c r="BE245">
        <v>1.0868133333333334</v>
      </c>
      <c r="BF245">
        <v>27.365333333333332</v>
      </c>
      <c r="BG245">
        <v>228.65833333333333</v>
      </c>
    </row>
    <row r="246" spans="1:59">
      <c r="A246" s="3">
        <v>43952</v>
      </c>
      <c r="B246" s="3">
        <v>43952</v>
      </c>
      <c r="C246">
        <v>318.29390529086231</v>
      </c>
      <c r="D246">
        <v>127.32931459729777</v>
      </c>
      <c r="E246">
        <v>183.15855292074488</v>
      </c>
      <c r="F246">
        <v>87.010032178021589</v>
      </c>
      <c r="G246">
        <v>70.652210336137557</v>
      </c>
      <c r="H246">
        <v>7176.3</v>
      </c>
      <c r="I246">
        <v>4683.8999999999996</v>
      </c>
      <c r="J246">
        <v>598.52774121609082</v>
      </c>
      <c r="K246">
        <v>173.68593928155161</v>
      </c>
      <c r="L246">
        <v>109.89018668187002</v>
      </c>
      <c r="M246">
        <v>158.73451447157925</v>
      </c>
      <c r="O246">
        <v>357.41102384682858</v>
      </c>
      <c r="P246">
        <v>148.7517365540171</v>
      </c>
      <c r="Q246">
        <v>47264.23000000001</v>
      </c>
      <c r="T246">
        <v>166.50906333915231</v>
      </c>
      <c r="U246"/>
      <c r="V246"/>
      <c r="W246"/>
      <c r="X246"/>
      <c r="Y246"/>
      <c r="Z246"/>
      <c r="AA246"/>
      <c r="AB246">
        <v>20677</v>
      </c>
      <c r="AC246">
        <v>31561</v>
      </c>
      <c r="AD246">
        <v>4035.7</v>
      </c>
      <c r="AE246">
        <v>3021.2</v>
      </c>
      <c r="AF246">
        <v>475.85763473705384</v>
      </c>
      <c r="AG246">
        <v>411.54911363122551</v>
      </c>
      <c r="AH246">
        <v>550.35819817455865</v>
      </c>
      <c r="AI246">
        <v>406.48698570055569</v>
      </c>
      <c r="AJ246">
        <v>378.88262192385224</v>
      </c>
      <c r="AK246">
        <v>8253667</v>
      </c>
      <c r="AL246">
        <v>6414901</v>
      </c>
      <c r="AM246">
        <v>16797971</v>
      </c>
      <c r="AN246">
        <v>22438151</v>
      </c>
      <c r="AO246"/>
      <c r="AP246">
        <v>9.5</v>
      </c>
      <c r="AQ246"/>
      <c r="AR246"/>
      <c r="AS246"/>
      <c r="AT246"/>
      <c r="AU246">
        <v>1406.6140886476896</v>
      </c>
      <c r="AV246">
        <v>1320.59488182359</v>
      </c>
      <c r="AW246">
        <v>7284902</v>
      </c>
      <c r="AX246">
        <v>6687918</v>
      </c>
      <c r="AY246">
        <v>11.4</v>
      </c>
      <c r="AZ246">
        <v>10.199999999999999</v>
      </c>
      <c r="BA246"/>
      <c r="BB246">
        <v>82.34496872022136</v>
      </c>
      <c r="BC246">
        <v>45.869165016928655</v>
      </c>
      <c r="BD246">
        <v>418.75548387096774</v>
      </c>
      <c r="BE246">
        <v>1.0913193548387097</v>
      </c>
      <c r="BF246">
        <v>32.302903225806453</v>
      </c>
      <c r="BG246">
        <v>238.52096774193549</v>
      </c>
    </row>
    <row r="247" spans="1:59">
      <c r="A247" s="3">
        <v>43983</v>
      </c>
      <c r="B247" s="3">
        <v>43983</v>
      </c>
      <c r="C247">
        <v>314.20619986990891</v>
      </c>
      <c r="D247">
        <v>122.99778806036153</v>
      </c>
      <c r="E247">
        <v>180.14222882062791</v>
      </c>
      <c r="F247">
        <v>79.077454637656814</v>
      </c>
      <c r="G247">
        <v>73.243605518956187</v>
      </c>
      <c r="H247">
        <v>6414.4</v>
      </c>
      <c r="I247">
        <v>4257.1000000000004</v>
      </c>
      <c r="J247">
        <v>1018.6942155497865</v>
      </c>
      <c r="K247">
        <v>259.24552942313119</v>
      </c>
      <c r="L247">
        <v>153.6264809812543</v>
      </c>
      <c r="M247">
        <v>252.26282554024962</v>
      </c>
      <c r="O247">
        <v>466.69611311151129</v>
      </c>
      <c r="P247">
        <v>171.28075237536518</v>
      </c>
      <c r="Q247">
        <v>47079.710000000021</v>
      </c>
      <c r="T247">
        <v>164.83015367895118</v>
      </c>
      <c r="U247"/>
      <c r="V247"/>
      <c r="W247"/>
      <c r="X247"/>
      <c r="Y247"/>
      <c r="Z247"/>
      <c r="AA247"/>
      <c r="AB247">
        <v>21547</v>
      </c>
      <c r="AC247">
        <v>32891</v>
      </c>
      <c r="AD247">
        <v>3208</v>
      </c>
      <c r="AE247">
        <v>3810.7</v>
      </c>
      <c r="AF247">
        <v>477.76106527600206</v>
      </c>
      <c r="AG247">
        <v>413.60685919938163</v>
      </c>
      <c r="AH247">
        <v>553.10998916543156</v>
      </c>
      <c r="AI247">
        <v>407.2999596719568</v>
      </c>
      <c r="AJ247">
        <v>381.30747070416487</v>
      </c>
      <c r="AK247">
        <v>8428322</v>
      </c>
      <c r="AL247">
        <v>6640829</v>
      </c>
      <c r="AM247">
        <v>17214619</v>
      </c>
      <c r="AN247">
        <v>22651473</v>
      </c>
      <c r="AO247"/>
      <c r="AP247">
        <v>9.5</v>
      </c>
      <c r="AQ247"/>
      <c r="AR247"/>
      <c r="AS247"/>
      <c r="AT247"/>
      <c r="AU247">
        <v>1114.8364341539004</v>
      </c>
      <c r="AV247">
        <v>1378.1658972792002</v>
      </c>
      <c r="AW247">
        <v>7140959</v>
      </c>
      <c r="AX247">
        <v>6786133</v>
      </c>
      <c r="AY247">
        <v>11</v>
      </c>
      <c r="AZ247">
        <v>9.8000000000000007</v>
      </c>
      <c r="BA247"/>
      <c r="BB247">
        <v>83.602432869428668</v>
      </c>
      <c r="BC247">
        <v>46.426239669068444</v>
      </c>
      <c r="BD247">
        <v>402.45433333333335</v>
      </c>
      <c r="BE247">
        <v>1.12523</v>
      </c>
      <c r="BF247">
        <v>40.849333333333334</v>
      </c>
      <c r="BG247">
        <v>259.83</v>
      </c>
    </row>
    <row r="248" spans="1:59">
      <c r="A248" s="3">
        <v>44013</v>
      </c>
      <c r="B248" s="3">
        <v>44013</v>
      </c>
      <c r="C248">
        <v>283.52397799645951</v>
      </c>
      <c r="D248">
        <v>114.67966737113979</v>
      </c>
      <c r="E248">
        <v>144.50351597651695</v>
      </c>
      <c r="F248">
        <v>74.257880442029602</v>
      </c>
      <c r="G248">
        <v>66.262429349099662</v>
      </c>
      <c r="H248">
        <v>6626.1</v>
      </c>
      <c r="I248">
        <v>4253.8999999999996</v>
      </c>
      <c r="J248">
        <v>633.62780207196727</v>
      </c>
      <c r="K248">
        <v>233.65518206917625</v>
      </c>
      <c r="L248">
        <v>131.19701475799118</v>
      </c>
      <c r="M248">
        <v>234.16990014765085</v>
      </c>
      <c r="O248">
        <v>339.08603185886312</v>
      </c>
      <c r="P248">
        <v>147.06944727448982</v>
      </c>
      <c r="Q248">
        <v>49716.459999999963</v>
      </c>
      <c r="T248">
        <v>166.2168074595007</v>
      </c>
      <c r="U248"/>
      <c r="V248"/>
      <c r="W248"/>
      <c r="X248"/>
      <c r="Y248"/>
      <c r="Z248"/>
      <c r="AA248"/>
      <c r="AB248">
        <v>23875</v>
      </c>
      <c r="AC248">
        <v>35372</v>
      </c>
      <c r="AD248">
        <v>2642.3</v>
      </c>
      <c r="AE248">
        <v>3753.3</v>
      </c>
      <c r="AF248">
        <v>479.19434847182998</v>
      </c>
      <c r="AG248">
        <v>414.84767977697976</v>
      </c>
      <c r="AH248">
        <v>554.21620914376228</v>
      </c>
      <c r="AI248">
        <v>408.52185955097269</v>
      </c>
      <c r="AJ248">
        <v>383.061485069404</v>
      </c>
      <c r="AK248">
        <v>9097118</v>
      </c>
      <c r="AL248">
        <v>6758204</v>
      </c>
      <c r="AM248">
        <v>17930687</v>
      </c>
      <c r="AN248">
        <v>23570750</v>
      </c>
      <c r="AO248"/>
      <c r="AP248">
        <v>9</v>
      </c>
      <c r="AQ248"/>
      <c r="AR248"/>
      <c r="AS248"/>
      <c r="AT248"/>
      <c r="AU248">
        <v>996.87307796199991</v>
      </c>
      <c r="AV248">
        <v>1534.9889335346995</v>
      </c>
      <c r="AW248">
        <v>7132024</v>
      </c>
      <c r="AX248">
        <v>6800004</v>
      </c>
      <c r="AY248">
        <v>11.9</v>
      </c>
      <c r="AZ248">
        <v>9.9</v>
      </c>
      <c r="BA248"/>
      <c r="BB248">
        <v>81.717117258789997</v>
      </c>
      <c r="BC248">
        <v>45.34430862619292</v>
      </c>
      <c r="BD248">
        <v>412.59612903225809</v>
      </c>
      <c r="BE248">
        <v>1.1456451612903227</v>
      </c>
      <c r="BF248">
        <v>43.198387096774191</v>
      </c>
      <c r="BG248">
        <v>285.75483870967741</v>
      </c>
    </row>
    <row r="249" spans="1:59">
      <c r="A249" s="3">
        <v>44044</v>
      </c>
      <c r="B249" s="3">
        <v>44044</v>
      </c>
      <c r="C249">
        <v>301.07039005416311</v>
      </c>
      <c r="D249">
        <v>116.7335533143664</v>
      </c>
      <c r="E249">
        <v>171.75570552461676</v>
      </c>
      <c r="F249">
        <v>58.392951179504927</v>
      </c>
      <c r="G249">
        <v>99.179290370845152</v>
      </c>
      <c r="H249">
        <v>6796.5</v>
      </c>
      <c r="I249">
        <v>4340.6000000000004</v>
      </c>
      <c r="J249">
        <v>704.5941159040276</v>
      </c>
      <c r="K249">
        <v>494.85141854773457</v>
      </c>
      <c r="L249">
        <v>158.74838785716932</v>
      </c>
      <c r="M249">
        <v>281.17291156857448</v>
      </c>
      <c r="O249">
        <v>369.22772374590102</v>
      </c>
      <c r="P249">
        <v>171.30604936809672</v>
      </c>
      <c r="Q249">
        <v>50206.09</v>
      </c>
      <c r="T249">
        <v>165.54431782880405</v>
      </c>
      <c r="U249"/>
      <c r="V249"/>
      <c r="W249"/>
      <c r="X249"/>
      <c r="Y249"/>
      <c r="Z249"/>
      <c r="AA249"/>
      <c r="AB249">
        <v>24000</v>
      </c>
      <c r="AC249">
        <v>35393</v>
      </c>
      <c r="AD249">
        <v>3314.2</v>
      </c>
      <c r="AE249">
        <v>3790.5</v>
      </c>
      <c r="AF249">
        <v>479.6735428203018</v>
      </c>
      <c r="AG249">
        <v>416.92191817586462</v>
      </c>
      <c r="AH249">
        <v>553.10777672547488</v>
      </c>
      <c r="AI249">
        <v>409.74742512962558</v>
      </c>
      <c r="AJ249">
        <v>385.015098643258</v>
      </c>
      <c r="AK249">
        <v>9139678</v>
      </c>
      <c r="AL249">
        <v>6760726</v>
      </c>
      <c r="AM249">
        <v>18022538</v>
      </c>
      <c r="AN249">
        <v>23603790</v>
      </c>
      <c r="AO249"/>
      <c r="AP249">
        <v>9</v>
      </c>
      <c r="AQ249"/>
      <c r="AR249"/>
      <c r="AS249"/>
      <c r="AT249"/>
      <c r="AU249">
        <v>1312.9521495004994</v>
      </c>
      <c r="AV249">
        <v>1357.1750979140011</v>
      </c>
      <c r="AW249">
        <v>7288538</v>
      </c>
      <c r="AX249">
        <v>6904502</v>
      </c>
      <c r="AY249">
        <v>11.9</v>
      </c>
      <c r="AZ249">
        <v>9.8000000000000007</v>
      </c>
      <c r="BA249"/>
      <c r="BB249">
        <v>79.996553646739855</v>
      </c>
      <c r="BC249">
        <v>44.289238831876055</v>
      </c>
      <c r="BD249">
        <v>419.62</v>
      </c>
      <c r="BE249">
        <v>1.1826903225806451</v>
      </c>
      <c r="BF249">
        <v>44.813548387096773</v>
      </c>
      <c r="BG249">
        <v>290.97258064516126</v>
      </c>
    </row>
    <row r="250" spans="1:59">
      <c r="A250" s="3">
        <v>44075</v>
      </c>
      <c r="B250" s="3">
        <v>44075</v>
      </c>
      <c r="C250">
        <v>298.33634321814941</v>
      </c>
      <c r="D250">
        <v>106.69821786435746</v>
      </c>
      <c r="E250">
        <v>192.16027754882009</v>
      </c>
      <c r="F250">
        <v>62.904666305588606</v>
      </c>
      <c r="G250">
        <v>119.40834864538034</v>
      </c>
      <c r="H250">
        <v>6383.2</v>
      </c>
      <c r="I250">
        <v>3861.3</v>
      </c>
      <c r="J250">
        <v>1484.5798022097861</v>
      </c>
      <c r="K250">
        <v>1877.8860914299551</v>
      </c>
      <c r="L250">
        <v>163.03459432931288</v>
      </c>
      <c r="M250">
        <v>280.8952326237162</v>
      </c>
      <c r="O250">
        <v>467.17914727249195</v>
      </c>
      <c r="P250">
        <v>219.49254551359584</v>
      </c>
      <c r="Q250">
        <v>50440.31</v>
      </c>
      <c r="T250">
        <v>165.17813160918379</v>
      </c>
      <c r="U250"/>
      <c r="V250"/>
      <c r="W250"/>
      <c r="X250"/>
      <c r="Y250"/>
      <c r="Z250"/>
      <c r="AA250"/>
      <c r="AB250">
        <v>23212</v>
      </c>
      <c r="AC250">
        <v>33784</v>
      </c>
      <c r="AD250">
        <v>3645.1</v>
      </c>
      <c r="AE250">
        <v>3828.5</v>
      </c>
      <c r="AF250">
        <v>481.11256344876267</v>
      </c>
      <c r="AG250">
        <v>418.58960584856817</v>
      </c>
      <c r="AH250">
        <v>553.10777672547488</v>
      </c>
      <c r="AI250">
        <v>411.79616225527377</v>
      </c>
      <c r="AJ250">
        <v>387.17118319566026</v>
      </c>
      <c r="AK250">
        <v>9023035</v>
      </c>
      <c r="AL250">
        <v>6700333</v>
      </c>
      <c r="AM250">
        <v>18379007</v>
      </c>
      <c r="AN250">
        <v>24180061</v>
      </c>
      <c r="AO250"/>
      <c r="AP250">
        <v>9</v>
      </c>
      <c r="AQ250"/>
      <c r="AR250"/>
      <c r="AS250"/>
      <c r="AT250"/>
      <c r="AU250">
        <v>863.39714988160131</v>
      </c>
      <c r="AV250">
        <v>1286.372339429699</v>
      </c>
      <c r="AW250">
        <v>7302840</v>
      </c>
      <c r="AX250">
        <v>7042654</v>
      </c>
      <c r="AY250">
        <v>12.1</v>
      </c>
      <c r="AZ250">
        <v>9.6999999999999993</v>
      </c>
      <c r="BA250"/>
      <c r="BB250">
        <v>79.596406116084751</v>
      </c>
      <c r="BC250">
        <v>44.025182861997976</v>
      </c>
      <c r="BD250">
        <v>424.69299999999998</v>
      </c>
      <c r="BE250">
        <v>1.17872</v>
      </c>
      <c r="BF250">
        <v>41.878</v>
      </c>
      <c r="BG250">
        <v>302.91500000000002</v>
      </c>
    </row>
    <row r="251" spans="1:59">
      <c r="A251" s="3">
        <v>44105</v>
      </c>
      <c r="B251" s="3">
        <v>44105</v>
      </c>
      <c r="C251">
        <v>302.98183191241441</v>
      </c>
      <c r="D251">
        <v>116.40561635773109</v>
      </c>
      <c r="E251">
        <v>185.24490429752271</v>
      </c>
      <c r="F251">
        <v>63.681178689303898</v>
      </c>
      <c r="G251">
        <v>141.61577577423236</v>
      </c>
      <c r="H251">
        <v>6925.3</v>
      </c>
      <c r="I251">
        <v>4356.7</v>
      </c>
      <c r="J251">
        <v>785.34271536897677</v>
      </c>
      <c r="K251">
        <v>851.72463968906766</v>
      </c>
      <c r="L251">
        <v>152.27431110357824</v>
      </c>
      <c r="M251">
        <v>244.43527881246163</v>
      </c>
      <c r="O251">
        <v>413.60682866275448</v>
      </c>
      <c r="P251">
        <v>175.83005960575048</v>
      </c>
      <c r="Q251">
        <v>53091.08</v>
      </c>
      <c r="T251">
        <v>183.76943307793942</v>
      </c>
      <c r="U251"/>
      <c r="V251"/>
      <c r="W251"/>
      <c r="X251"/>
      <c r="Y251"/>
      <c r="Z251"/>
      <c r="AA251"/>
      <c r="AB251">
        <v>23196</v>
      </c>
      <c r="AC251">
        <v>33574</v>
      </c>
      <c r="AD251">
        <v>3823.9</v>
      </c>
      <c r="AE251">
        <v>3667.2</v>
      </c>
      <c r="AF251">
        <v>483.99923882945518</v>
      </c>
      <c r="AG251">
        <v>421.10114348365954</v>
      </c>
      <c r="AH251">
        <v>557.53263893927863</v>
      </c>
      <c r="AI251">
        <v>413.44334690429491</v>
      </c>
      <c r="AJ251">
        <v>389.95881571466907</v>
      </c>
      <c r="AK251">
        <v>9661803</v>
      </c>
      <c r="AL251">
        <v>6864955</v>
      </c>
      <c r="AM251">
        <v>18792360</v>
      </c>
      <c r="AN251">
        <v>24741875</v>
      </c>
      <c r="AO251"/>
      <c r="AP251">
        <v>9</v>
      </c>
      <c r="AQ251"/>
      <c r="AR251"/>
      <c r="AS251"/>
      <c r="AT251"/>
      <c r="AU251">
        <v>856.01377023069938</v>
      </c>
      <c r="AV251">
        <v>1323.340787563201</v>
      </c>
      <c r="AW251">
        <v>7283663</v>
      </c>
      <c r="AX251">
        <v>7157677</v>
      </c>
      <c r="AY251">
        <v>11.8</v>
      </c>
      <c r="AZ251">
        <v>9.4</v>
      </c>
      <c r="BA251"/>
      <c r="BB251">
        <v>79.274769634808465</v>
      </c>
      <c r="BC251">
        <v>43.70338612146297</v>
      </c>
      <c r="BD251">
        <v>429.35903225806453</v>
      </c>
      <c r="BE251">
        <v>1.1766129032258064</v>
      </c>
      <c r="BF251">
        <v>41.439677419354837</v>
      </c>
      <c r="BG251">
        <v>306.01774193548385</v>
      </c>
    </row>
    <row r="252" spans="1:59">
      <c r="A252" s="3">
        <v>44136</v>
      </c>
      <c r="B252" s="3">
        <v>44136</v>
      </c>
      <c r="C252">
        <v>337.66726617371961</v>
      </c>
      <c r="D252">
        <v>132.25140785426547</v>
      </c>
      <c r="E252">
        <v>207.25617753978833</v>
      </c>
      <c r="F252">
        <v>71.566045120462007</v>
      </c>
      <c r="G252">
        <v>156.88332189998735</v>
      </c>
      <c r="H252">
        <v>6896.1</v>
      </c>
      <c r="I252">
        <v>4536.6000000000004</v>
      </c>
      <c r="J252">
        <v>853.66753160607777</v>
      </c>
      <c r="K252">
        <v>326.09073027423545</v>
      </c>
      <c r="L252">
        <v>158.66983216992855</v>
      </c>
      <c r="M252">
        <v>237.97050668545228</v>
      </c>
      <c r="O252">
        <v>437.50378519861107</v>
      </c>
      <c r="P252">
        <v>213.46786608147286</v>
      </c>
      <c r="Q252">
        <v>53460.639999999999</v>
      </c>
      <c r="T252">
        <v>181.50962378522127</v>
      </c>
      <c r="U252"/>
      <c r="V252"/>
      <c r="W252"/>
      <c r="X252"/>
      <c r="Y252"/>
      <c r="Z252"/>
      <c r="AA252"/>
      <c r="AB252">
        <v>22010</v>
      </c>
      <c r="AC252">
        <v>32508</v>
      </c>
      <c r="AD252">
        <v>4088.8</v>
      </c>
      <c r="AE252">
        <v>3027.4</v>
      </c>
      <c r="AF252">
        <v>488.3552319789203</v>
      </c>
      <c r="AG252">
        <v>423.62775034456143</v>
      </c>
      <c r="AH252">
        <v>564.78056324548925</v>
      </c>
      <c r="AI252">
        <v>416.75089367952927</v>
      </c>
      <c r="AJ252">
        <v>393.07848624038644</v>
      </c>
      <c r="AK252">
        <v>9667538</v>
      </c>
      <c r="AL252">
        <v>7199420</v>
      </c>
      <c r="AM252">
        <v>18748810</v>
      </c>
      <c r="AN252">
        <v>24647549</v>
      </c>
      <c r="AO252"/>
      <c r="AP252">
        <v>9</v>
      </c>
      <c r="AQ252"/>
      <c r="AR252"/>
      <c r="AS252"/>
      <c r="AT252"/>
      <c r="AU252">
        <v>1511.007313214099</v>
      </c>
      <c r="AV252">
        <v>1523.0227039294</v>
      </c>
      <c r="AW252">
        <v>7287565</v>
      </c>
      <c r="AX252">
        <v>7359132</v>
      </c>
      <c r="AY252">
        <v>11.9</v>
      </c>
      <c r="AZ252">
        <v>9.3000000000000007</v>
      </c>
      <c r="BA252"/>
      <c r="BB252">
        <v>79.336362322637328</v>
      </c>
      <c r="BC252">
        <v>43.350265642188639</v>
      </c>
      <c r="BD252">
        <v>428.50866666666667</v>
      </c>
      <c r="BE252">
        <v>1.1842733333333333</v>
      </c>
      <c r="BF252">
        <v>43.725999999999999</v>
      </c>
      <c r="BG252">
        <v>321.69666666666666</v>
      </c>
    </row>
    <row r="253" spans="1:59">
      <c r="A253" s="3">
        <v>44166</v>
      </c>
      <c r="B253" s="3">
        <v>44166</v>
      </c>
      <c r="C253">
        <v>344.78713608920708</v>
      </c>
      <c r="D253">
        <v>139.58186261928441</v>
      </c>
      <c r="E253">
        <v>194.56589344235374</v>
      </c>
      <c r="F253">
        <v>89.178944042005611</v>
      </c>
      <c r="G253">
        <v>152.55481327789249</v>
      </c>
      <c r="H253">
        <v>7131.7</v>
      </c>
      <c r="I253">
        <v>4682.3999999999996</v>
      </c>
      <c r="J253">
        <v>1270.2572870298438</v>
      </c>
      <c r="K253">
        <v>517.08837607958787</v>
      </c>
      <c r="L253">
        <v>202.14536618448901</v>
      </c>
      <c r="M253">
        <v>352.69540363753208</v>
      </c>
      <c r="O253">
        <v>626.78705802689183</v>
      </c>
      <c r="P253">
        <v>237.86334473082982</v>
      </c>
      <c r="Q253">
        <v>55178.38</v>
      </c>
      <c r="T253">
        <v>179.78285476577642</v>
      </c>
      <c r="U253"/>
      <c r="V253"/>
      <c r="W253"/>
      <c r="X253"/>
      <c r="Y253"/>
      <c r="Z253"/>
      <c r="AA253"/>
      <c r="AB253">
        <v>23582</v>
      </c>
      <c r="AC253">
        <v>35638</v>
      </c>
      <c r="AD253">
        <v>3715.5</v>
      </c>
      <c r="AE253">
        <v>3582.7</v>
      </c>
      <c r="AF253">
        <v>492.75042906673059</v>
      </c>
      <c r="AG253">
        <v>425.7458890962842</v>
      </c>
      <c r="AH253">
        <v>573.25227169417155</v>
      </c>
      <c r="AI253">
        <v>418.41789725424735</v>
      </c>
      <c r="AJ253">
        <v>395.43695715782877</v>
      </c>
      <c r="AK253">
        <v>9777551</v>
      </c>
      <c r="AL253">
        <v>7186951</v>
      </c>
      <c r="AM253">
        <v>19134928</v>
      </c>
      <c r="AN253">
        <v>24917785</v>
      </c>
      <c r="AO253"/>
      <c r="AP253">
        <v>9</v>
      </c>
      <c r="AQ253"/>
      <c r="AR253"/>
      <c r="AS253"/>
      <c r="AT253"/>
      <c r="AU253">
        <v>1911.3919172519018</v>
      </c>
      <c r="AV253">
        <v>2300.9928675643</v>
      </c>
      <c r="AW253">
        <v>7097007</v>
      </c>
      <c r="AX253">
        <v>7526058</v>
      </c>
      <c r="AY253">
        <v>11.4</v>
      </c>
      <c r="AZ253">
        <v>9.1999999999999993</v>
      </c>
      <c r="BA253"/>
      <c r="BB253">
        <v>79.623315938879983</v>
      </c>
      <c r="BC253">
        <v>43.197322900230468</v>
      </c>
      <c r="BD253">
        <v>420.34612903225809</v>
      </c>
      <c r="BE253">
        <v>1.2172064516129033</v>
      </c>
      <c r="BF253">
        <v>50.37516129032258</v>
      </c>
      <c r="BG253">
        <v>354.15322580645159</v>
      </c>
    </row>
    <row r="254" spans="1:59">
      <c r="A254" s="3">
        <v>44197</v>
      </c>
      <c r="B254" s="3">
        <v>44197</v>
      </c>
      <c r="C254">
        <v>283.34956257893759</v>
      </c>
      <c r="D254">
        <v>117.54388454675454</v>
      </c>
      <c r="E254">
        <v>168.2248524751289</v>
      </c>
      <c r="F254">
        <v>118.36811868218487</v>
      </c>
      <c r="G254">
        <v>81.130788812647779</v>
      </c>
      <c r="H254">
        <v>7011.2</v>
      </c>
      <c r="I254">
        <v>4708.6000000000004</v>
      </c>
      <c r="J254">
        <v>134.64727242516344</v>
      </c>
      <c r="K254">
        <v>130.29178734240307</v>
      </c>
      <c r="L254">
        <v>107.13704407777918</v>
      </c>
      <c r="M254">
        <v>185.79162993139201</v>
      </c>
      <c r="O254">
        <v>210.38802189774134</v>
      </c>
      <c r="P254">
        <v>139.74963321052928</v>
      </c>
      <c r="Q254">
        <v>45552.61</v>
      </c>
      <c r="T254">
        <v>172.59529448445454</v>
      </c>
      <c r="U254"/>
      <c r="V254"/>
      <c r="W254"/>
      <c r="X254"/>
      <c r="Y254"/>
      <c r="Z254"/>
      <c r="AA254"/>
      <c r="AB254">
        <v>23272</v>
      </c>
      <c r="AC254">
        <v>35563</v>
      </c>
      <c r="AD254">
        <v>3270.7</v>
      </c>
      <c r="AE254">
        <v>2130</v>
      </c>
      <c r="AF254">
        <v>495.70693164113095</v>
      </c>
      <c r="AG254">
        <v>427.02312676357303</v>
      </c>
      <c r="AH254">
        <v>579.55804668280734</v>
      </c>
      <c r="AI254">
        <v>419.67315094601014</v>
      </c>
      <c r="AJ254">
        <v>397.09779237789166</v>
      </c>
      <c r="AK254">
        <v>9173822</v>
      </c>
      <c r="AL254">
        <v>6927993</v>
      </c>
      <c r="AM254">
        <v>19607153</v>
      </c>
      <c r="AN254">
        <v>25391985</v>
      </c>
      <c r="AO254"/>
      <c r="AP254">
        <v>9</v>
      </c>
      <c r="AQ254"/>
      <c r="AR254"/>
      <c r="AS254"/>
      <c r="AT254"/>
      <c r="AU254">
        <v>907.04985897350002</v>
      </c>
      <c r="AV254">
        <v>1202.4941652734001</v>
      </c>
      <c r="AW254">
        <v>6994389</v>
      </c>
      <c r="AX254">
        <v>7600137</v>
      </c>
      <c r="AY254">
        <v>11.5</v>
      </c>
      <c r="AZ254">
        <v>9.4</v>
      </c>
      <c r="BA254"/>
      <c r="BB254">
        <v>79.263949076837363</v>
      </c>
      <c r="BC254">
        <v>43.106565862591317</v>
      </c>
      <c r="BD254">
        <v>420.47612903225809</v>
      </c>
      <c r="BE254">
        <v>1.2170612903225806</v>
      </c>
      <c r="BF254">
        <v>55.051290322580648</v>
      </c>
      <c r="BG254">
        <v>360.74354838709678</v>
      </c>
    </row>
    <row r="255" spans="1:59">
      <c r="A255" s="3">
        <v>44228</v>
      </c>
      <c r="B255" s="3">
        <v>44228</v>
      </c>
      <c r="C255">
        <v>318.47121354887958</v>
      </c>
      <c r="D255">
        <v>119.676507468144</v>
      </c>
      <c r="E255">
        <v>203.04164749523935</v>
      </c>
      <c r="F255">
        <v>106.53561617597306</v>
      </c>
      <c r="G255">
        <v>117.8002647036776</v>
      </c>
      <c r="H255">
        <v>6763.7</v>
      </c>
      <c r="I255">
        <v>4458.7999999999993</v>
      </c>
      <c r="J255">
        <v>253.81010852143308</v>
      </c>
      <c r="K255">
        <v>125.46079264643744</v>
      </c>
      <c r="L255">
        <v>111.20825175273478</v>
      </c>
      <c r="M255">
        <v>189.50707425788653</v>
      </c>
      <c r="O255">
        <v>226.83588397305564</v>
      </c>
      <c r="P255">
        <v>144.75033623193539</v>
      </c>
      <c r="Q255">
        <v>41983.89</v>
      </c>
      <c r="T255">
        <v>171.57329837801512</v>
      </c>
      <c r="U255"/>
      <c r="V255"/>
      <c r="W255"/>
      <c r="X255"/>
      <c r="Y255"/>
      <c r="Z255"/>
      <c r="AA255"/>
      <c r="AB255">
        <v>22264</v>
      </c>
      <c r="AC255">
        <v>34674</v>
      </c>
      <c r="AD255">
        <v>3802</v>
      </c>
      <c r="AE255">
        <v>2717.5</v>
      </c>
      <c r="AF255">
        <v>499.17688016261889</v>
      </c>
      <c r="AG255">
        <v>428.73121927062743</v>
      </c>
      <c r="AH255">
        <v>585.93318519631816</v>
      </c>
      <c r="AI255">
        <v>420.93217039884809</v>
      </c>
      <c r="AJ255">
        <v>399.28183023597012</v>
      </c>
      <c r="AK255">
        <v>9565291</v>
      </c>
      <c r="AL255">
        <v>7292252</v>
      </c>
      <c r="AM255">
        <v>19513171</v>
      </c>
      <c r="AN255">
        <v>25293917</v>
      </c>
      <c r="AO255"/>
      <c r="AP255">
        <v>9</v>
      </c>
      <c r="AQ255"/>
      <c r="AR255"/>
      <c r="AS255"/>
      <c r="AT255"/>
      <c r="AU255">
        <v>1321.1826088348002</v>
      </c>
      <c r="AV255">
        <v>1422.7415401471001</v>
      </c>
      <c r="AW255">
        <v>6986501</v>
      </c>
      <c r="AX255">
        <v>7565939</v>
      </c>
      <c r="AY255">
        <v>11.5</v>
      </c>
      <c r="AZ255">
        <v>8.9</v>
      </c>
      <c r="BA255"/>
      <c r="BB255">
        <v>79.780289440508341</v>
      </c>
      <c r="BC255">
        <v>43.319778868972655</v>
      </c>
      <c r="BD255">
        <v>418.39749999999998</v>
      </c>
      <c r="BE255">
        <v>1.2093357142857142</v>
      </c>
      <c r="BF255">
        <v>62.401785714285715</v>
      </c>
      <c r="BG255">
        <v>386.03571428571428</v>
      </c>
    </row>
    <row r="256" spans="1:59">
      <c r="A256" s="3">
        <v>44256</v>
      </c>
      <c r="B256" s="3">
        <v>44256</v>
      </c>
      <c r="C256">
        <v>381.09347390935068</v>
      </c>
      <c r="D256">
        <v>140.36268620882382</v>
      </c>
      <c r="E256">
        <v>233.99304163910645</v>
      </c>
      <c r="F256">
        <v>105.20226093405542</v>
      </c>
      <c r="G256">
        <v>139.7315903611584</v>
      </c>
      <c r="H256">
        <v>7333.6</v>
      </c>
      <c r="I256">
        <v>4790.8999999999996</v>
      </c>
      <c r="J256">
        <v>486.55397803558719</v>
      </c>
      <c r="K256">
        <v>163.03930060052375</v>
      </c>
      <c r="L256">
        <v>124.66445021481567</v>
      </c>
      <c r="M256">
        <v>206.60101157794975</v>
      </c>
      <c r="O256">
        <v>330.59161608124509</v>
      </c>
      <c r="P256">
        <v>166.00767690568932</v>
      </c>
      <c r="Q256">
        <v>45494.85</v>
      </c>
      <c r="T256">
        <v>170.63587384996842</v>
      </c>
      <c r="U256"/>
      <c r="V256"/>
      <c r="W256"/>
      <c r="X256"/>
      <c r="Y256"/>
      <c r="Z256"/>
      <c r="AA256"/>
      <c r="AB256">
        <v>21449</v>
      </c>
      <c r="AC256">
        <v>33506</v>
      </c>
      <c r="AD256">
        <v>4464</v>
      </c>
      <c r="AE256">
        <v>3292.6</v>
      </c>
      <c r="AF256">
        <v>502.17194144359462</v>
      </c>
      <c r="AG256">
        <v>431.73233780552181</v>
      </c>
      <c r="AH256">
        <v>590.62065067788876</v>
      </c>
      <c r="AI256">
        <v>421.77403473964574</v>
      </c>
      <c r="AJ256">
        <v>400.91888573993759</v>
      </c>
      <c r="AK256">
        <v>9859517</v>
      </c>
      <c r="AL256">
        <v>7531108</v>
      </c>
      <c r="AM256">
        <v>20328120</v>
      </c>
      <c r="AN256">
        <v>26171930</v>
      </c>
      <c r="AO256"/>
      <c r="AP256">
        <v>9</v>
      </c>
      <c r="AQ256"/>
      <c r="AR256"/>
      <c r="AS256"/>
      <c r="AT256"/>
      <c r="AU256">
        <v>1068.0742575582997</v>
      </c>
      <c r="AV256">
        <v>1189.8680937234997</v>
      </c>
      <c r="AW256">
        <v>7058943</v>
      </c>
      <c r="AX256">
        <v>7733710</v>
      </c>
      <c r="AY256">
        <v>11.5</v>
      </c>
      <c r="AZ256">
        <v>9.3000000000000007</v>
      </c>
      <c r="BA256"/>
      <c r="BB256">
        <v>80.527785328838391</v>
      </c>
      <c r="BC256">
        <v>43.715425950491664</v>
      </c>
      <c r="BD256">
        <v>420.79612903225808</v>
      </c>
      <c r="BE256">
        <v>1.1897741935483872</v>
      </c>
      <c r="BF256">
        <v>66.016451612903225</v>
      </c>
      <c r="BG256">
        <v>409.31451612903226</v>
      </c>
    </row>
    <row r="257" spans="1:59">
      <c r="A257" s="3">
        <v>44287</v>
      </c>
      <c r="B257" s="3">
        <v>44287</v>
      </c>
      <c r="C257">
        <v>362.22085713830734</v>
      </c>
      <c r="D257">
        <v>126.99981842893725</v>
      </c>
      <c r="E257">
        <v>221.47269581184182</v>
      </c>
      <c r="F257">
        <v>106.68245509631771</v>
      </c>
      <c r="G257">
        <v>120.77363523116888</v>
      </c>
      <c r="H257">
        <v>6987.5</v>
      </c>
      <c r="I257">
        <v>4292.1000000000022</v>
      </c>
      <c r="J257">
        <v>402.38013983543061</v>
      </c>
      <c r="K257">
        <v>153.60718550338069</v>
      </c>
      <c r="L257">
        <v>119.80253665643787</v>
      </c>
      <c r="M257">
        <v>167.57252608666255</v>
      </c>
      <c r="O257">
        <v>276.16281887581687</v>
      </c>
      <c r="P257">
        <v>158.47246718428164</v>
      </c>
      <c r="Q257">
        <v>46483.92</v>
      </c>
      <c r="T257">
        <v>180.50986552257226</v>
      </c>
      <c r="U257"/>
      <c r="V257"/>
      <c r="W257"/>
      <c r="X257"/>
      <c r="Y257"/>
      <c r="Z257"/>
      <c r="AA257"/>
      <c r="AB257">
        <v>22773</v>
      </c>
      <c r="AC257">
        <v>34221</v>
      </c>
      <c r="AD257">
        <v>5016.2</v>
      </c>
      <c r="AE257">
        <v>3461.4</v>
      </c>
      <c r="AF257">
        <v>506.69148891658693</v>
      </c>
      <c r="AG257">
        <v>436.04966118357697</v>
      </c>
      <c r="AH257">
        <v>596.52685718466762</v>
      </c>
      <c r="AI257">
        <v>423.88290491334402</v>
      </c>
      <c r="AJ257">
        <v>403.36449094295119</v>
      </c>
      <c r="AK257">
        <v>9878434</v>
      </c>
      <c r="AL257">
        <v>7514189</v>
      </c>
      <c r="AM257">
        <v>20814132</v>
      </c>
      <c r="AN257">
        <v>26853866</v>
      </c>
      <c r="AO257"/>
      <c r="AP257">
        <v>9</v>
      </c>
      <c r="AQ257"/>
      <c r="AR257"/>
      <c r="AS257"/>
      <c r="AT257"/>
      <c r="AU257">
        <v>1331.4957842499</v>
      </c>
      <c r="AV257">
        <v>1373.9639324099999</v>
      </c>
      <c r="AW257">
        <v>7152353</v>
      </c>
      <c r="AX257">
        <v>7949733</v>
      </c>
      <c r="AY257">
        <v>11.6</v>
      </c>
      <c r="AZ257">
        <v>8.9</v>
      </c>
      <c r="BA257"/>
      <c r="BB257">
        <v>79.505278353489814</v>
      </c>
      <c r="BC257">
        <v>42.962753723144623</v>
      </c>
      <c r="BD257">
        <v>430.41933333333333</v>
      </c>
      <c r="BE257">
        <v>1.1961166666666667</v>
      </c>
      <c r="BF257">
        <v>65.271333333333331</v>
      </c>
      <c r="BG257">
        <v>419.32</v>
      </c>
    </row>
    <row r="258" spans="1:59">
      <c r="A258" s="3">
        <v>44317</v>
      </c>
      <c r="B258" s="3">
        <v>44317</v>
      </c>
      <c r="C258">
        <v>329.75248588133337</v>
      </c>
      <c r="D258">
        <v>128.47527842867345</v>
      </c>
      <c r="E258">
        <v>192.86595622554435</v>
      </c>
      <c r="F258">
        <v>92.752694301771001</v>
      </c>
      <c r="G258">
        <v>76.163082742356281</v>
      </c>
      <c r="H258">
        <v>7314.5999999999985</v>
      </c>
      <c r="I258">
        <v>4681.5</v>
      </c>
      <c r="J258">
        <v>643.00346345701814</v>
      </c>
      <c r="K258">
        <v>179.41757527784281</v>
      </c>
      <c r="L258">
        <v>121.12036455965868</v>
      </c>
      <c r="M258">
        <v>179.84620489629927</v>
      </c>
      <c r="O258">
        <v>345.61646005988325</v>
      </c>
      <c r="P258">
        <v>156.18932338171794</v>
      </c>
      <c r="Q258">
        <v>49036.59</v>
      </c>
      <c r="T258">
        <v>178.83073402624959</v>
      </c>
      <c r="U258"/>
      <c r="V258"/>
      <c r="W258"/>
      <c r="X258"/>
      <c r="Y258"/>
      <c r="Z258"/>
      <c r="AA258"/>
      <c r="AB258">
        <v>24690</v>
      </c>
      <c r="AC258">
        <v>36468</v>
      </c>
      <c r="AD258">
        <v>4926.8999999999996</v>
      </c>
      <c r="AE258">
        <v>3355</v>
      </c>
      <c r="AF258">
        <v>510.23832933900309</v>
      </c>
      <c r="AG258">
        <v>438.66595915067847</v>
      </c>
      <c r="AH258">
        <v>601.29907204214487</v>
      </c>
      <c r="AI258">
        <v>426.85008524773747</v>
      </c>
      <c r="AJ258">
        <v>406.26871527774045</v>
      </c>
      <c r="AK258">
        <v>10317236</v>
      </c>
      <c r="AL258">
        <v>7749131</v>
      </c>
      <c r="AM258">
        <v>21277202</v>
      </c>
      <c r="AN258">
        <v>27446609</v>
      </c>
      <c r="AO258"/>
      <c r="AP258">
        <v>9</v>
      </c>
      <c r="AQ258"/>
      <c r="AR258"/>
      <c r="AS258"/>
      <c r="AT258"/>
      <c r="AU258">
        <v>1388.9644332611999</v>
      </c>
      <c r="AV258">
        <v>1362.0418839108004</v>
      </c>
      <c r="AW258">
        <v>7431063</v>
      </c>
      <c r="AX258">
        <v>8209531</v>
      </c>
      <c r="AY258">
        <v>11.6</v>
      </c>
      <c r="AZ258">
        <v>8.6</v>
      </c>
      <c r="BA258"/>
      <c r="BB258">
        <v>79.040386162143292</v>
      </c>
      <c r="BC258">
        <v>42.525735671478266</v>
      </c>
      <c r="BD258">
        <v>427.8083870967742</v>
      </c>
      <c r="BE258">
        <v>1.2145741935483871</v>
      </c>
      <c r="BF258">
        <v>68.229354838709668</v>
      </c>
      <c r="BG258">
        <v>463.03548387096777</v>
      </c>
    </row>
    <row r="259" spans="1:59">
      <c r="A259" s="3">
        <v>44348</v>
      </c>
      <c r="B259" s="3">
        <v>44348</v>
      </c>
      <c r="C259">
        <v>319.54770526769738</v>
      </c>
      <c r="D259">
        <v>130.74664870816432</v>
      </c>
      <c r="E259">
        <v>175.99895755775344</v>
      </c>
      <c r="F259">
        <v>83.110404824177309</v>
      </c>
      <c r="G259">
        <v>80.055260832219105</v>
      </c>
      <c r="H259">
        <v>7006.5999999999985</v>
      </c>
      <c r="I259">
        <v>4426.5999999999985</v>
      </c>
      <c r="J259">
        <v>1129.7570852939807</v>
      </c>
      <c r="K259">
        <v>268.57836848236389</v>
      </c>
      <c r="L259">
        <v>167.87282527968691</v>
      </c>
      <c r="M259">
        <v>271.18253745576834</v>
      </c>
      <c r="O259">
        <v>510.09885163088182</v>
      </c>
      <c r="P259">
        <v>179.67350924175807</v>
      </c>
      <c r="Q259">
        <v>48793.31</v>
      </c>
      <c r="T259">
        <v>176.69792474383567</v>
      </c>
      <c r="U259"/>
      <c r="V259"/>
      <c r="W259"/>
      <c r="X259"/>
      <c r="Y259"/>
      <c r="Z259"/>
      <c r="AA259"/>
      <c r="AB259">
        <v>21812</v>
      </c>
      <c r="AC259">
        <v>35049</v>
      </c>
      <c r="AD259">
        <v>5565</v>
      </c>
      <c r="AE259">
        <v>3633.5</v>
      </c>
      <c r="AF259">
        <v>515.85095096173211</v>
      </c>
      <c r="AG259">
        <v>442.17528682388388</v>
      </c>
      <c r="AH259">
        <v>611.52115626686134</v>
      </c>
      <c r="AI259">
        <v>429.83803584447162</v>
      </c>
      <c r="AJ259">
        <v>409.07196941315681</v>
      </c>
      <c r="AK259">
        <v>10270127</v>
      </c>
      <c r="AL259">
        <v>7986212</v>
      </c>
      <c r="AM259">
        <v>22005814</v>
      </c>
      <c r="AN259">
        <v>28161720</v>
      </c>
      <c r="AO259"/>
      <c r="AP259">
        <v>9</v>
      </c>
      <c r="AQ259"/>
      <c r="AR259"/>
      <c r="AS259"/>
      <c r="AT259"/>
      <c r="AU259">
        <v>1231.9546132041003</v>
      </c>
      <c r="AV259">
        <v>1593.2092792186002</v>
      </c>
      <c r="AW259">
        <v>7169080</v>
      </c>
      <c r="AX259">
        <v>8552441</v>
      </c>
      <c r="AY259">
        <v>11.6</v>
      </c>
      <c r="AZ259">
        <v>8.3000000000000007</v>
      </c>
      <c r="BA259"/>
      <c r="BB259">
        <v>79.685405345256981</v>
      </c>
      <c r="BC259">
        <v>42.541926715320855</v>
      </c>
      <c r="BD259">
        <v>427.36933333333332</v>
      </c>
      <c r="BE259">
        <v>1.2034466666666666</v>
      </c>
      <c r="BF259">
        <v>73.450666666666663</v>
      </c>
      <c r="BG259">
        <v>438.94166666666666</v>
      </c>
    </row>
    <row r="260" spans="1:59">
      <c r="A260" s="3">
        <v>44378</v>
      </c>
      <c r="B260" s="3">
        <v>44378</v>
      </c>
      <c r="C260">
        <v>306.77294419216923</v>
      </c>
      <c r="D260">
        <v>124.54211876505781</v>
      </c>
      <c r="E260">
        <v>155.91929373866179</v>
      </c>
      <c r="F260">
        <v>79.158900551203544</v>
      </c>
      <c r="G260">
        <v>71.033324262234842</v>
      </c>
      <c r="H260">
        <v>7258.8000000000029</v>
      </c>
      <c r="I260">
        <v>4519.9000000000015</v>
      </c>
      <c r="J260">
        <v>673.33522283521245</v>
      </c>
      <c r="K260">
        <v>233.18787170503791</v>
      </c>
      <c r="L260">
        <v>146.72084929444637</v>
      </c>
      <c r="M260">
        <v>246.34673495532869</v>
      </c>
      <c r="O260">
        <v>341.45963408187521</v>
      </c>
      <c r="P260">
        <v>158.24672526735102</v>
      </c>
      <c r="Q260">
        <v>51030.95</v>
      </c>
      <c r="T260">
        <v>176.68846632944926</v>
      </c>
      <c r="U260"/>
      <c r="V260"/>
      <c r="W260"/>
      <c r="X260"/>
      <c r="Y260"/>
      <c r="Z260"/>
      <c r="AA260"/>
      <c r="AB260">
        <v>22771</v>
      </c>
      <c r="AC260">
        <v>34987</v>
      </c>
      <c r="AD260">
        <v>4971.2</v>
      </c>
      <c r="AE260">
        <v>3488.7</v>
      </c>
      <c r="AF260">
        <v>519.46190761846424</v>
      </c>
      <c r="AG260">
        <v>444.38616325800331</v>
      </c>
      <c r="AH260">
        <v>615.80180436072931</v>
      </c>
      <c r="AI260">
        <v>433.27674013122737</v>
      </c>
      <c r="AJ260">
        <v>412.91724592564049</v>
      </c>
      <c r="AK260">
        <v>10300160</v>
      </c>
      <c r="AL260">
        <v>7991971</v>
      </c>
      <c r="AM260">
        <v>22155383</v>
      </c>
      <c r="AN260">
        <v>28239533</v>
      </c>
      <c r="AO260"/>
      <c r="AP260">
        <v>9.25</v>
      </c>
      <c r="AQ260"/>
      <c r="AR260"/>
      <c r="AS260"/>
      <c r="AT260"/>
      <c r="AU260">
        <v>1189.5113382025995</v>
      </c>
      <c r="AV260">
        <v>1569.2978581344</v>
      </c>
      <c r="AW260">
        <v>7151732</v>
      </c>
      <c r="AX260">
        <v>8864736</v>
      </c>
      <c r="AY260">
        <v>11.6</v>
      </c>
      <c r="AZ260">
        <v>8.5</v>
      </c>
      <c r="BA260"/>
      <c r="BB260">
        <v>81.404961912266444</v>
      </c>
      <c r="BC260">
        <v>43.249542561737961</v>
      </c>
      <c r="BD260">
        <v>426.77709677419358</v>
      </c>
      <c r="BE260">
        <v>1.1827451612903226</v>
      </c>
      <c r="BF260">
        <v>74.503548387096771</v>
      </c>
      <c r="BG260">
        <v>435.37903225806451</v>
      </c>
    </row>
    <row r="261" spans="1:59">
      <c r="A261" s="3">
        <v>44409</v>
      </c>
      <c r="B261" s="3">
        <v>44409</v>
      </c>
      <c r="C261">
        <v>306.79072746519228</v>
      </c>
      <c r="D261">
        <v>114.16541514145034</v>
      </c>
      <c r="E261">
        <v>179.82822368427375</v>
      </c>
      <c r="F261">
        <v>62.480457762070273</v>
      </c>
      <c r="G261">
        <v>110.08901231163813</v>
      </c>
      <c r="H261">
        <v>6281.0999999999985</v>
      </c>
      <c r="I261">
        <v>3874</v>
      </c>
      <c r="J261">
        <v>790.49555160853936</v>
      </c>
      <c r="K261">
        <v>500.98330521918177</v>
      </c>
      <c r="L261">
        <v>167.99537244214108</v>
      </c>
      <c r="M261">
        <v>283.42229486112308</v>
      </c>
      <c r="O261">
        <v>435.31948629641732</v>
      </c>
      <c r="P261">
        <v>179.35743368839729</v>
      </c>
      <c r="Q261">
        <v>51330.13</v>
      </c>
      <c r="T261">
        <v>175.97360985201871</v>
      </c>
      <c r="U261"/>
      <c r="V261"/>
      <c r="W261"/>
      <c r="X261"/>
      <c r="Y261"/>
      <c r="Z261"/>
      <c r="AA261"/>
      <c r="AB261">
        <v>22905</v>
      </c>
      <c r="AC261">
        <v>36809</v>
      </c>
      <c r="AD261">
        <v>5391.4</v>
      </c>
      <c r="AE261">
        <v>3711.6</v>
      </c>
      <c r="AF261">
        <v>522.05921715655654</v>
      </c>
      <c r="AG261">
        <v>447.05248023755121</v>
      </c>
      <c r="AH261">
        <v>616.41760616508998</v>
      </c>
      <c r="AI261">
        <v>436.74295405227718</v>
      </c>
      <c r="AJ261">
        <v>416.50962596519355</v>
      </c>
      <c r="AK261">
        <v>10298221</v>
      </c>
      <c r="AL261">
        <v>7963959</v>
      </c>
      <c r="AM261">
        <v>21887518</v>
      </c>
      <c r="AN261">
        <v>28056223</v>
      </c>
      <c r="AO261"/>
      <c r="AP261">
        <v>9.5</v>
      </c>
      <c r="AQ261"/>
      <c r="AR261"/>
      <c r="AS261"/>
      <c r="AT261"/>
      <c r="AU261">
        <v>1701.9418398871999</v>
      </c>
      <c r="AV261">
        <v>1443.0650893297995</v>
      </c>
      <c r="AW261">
        <v>7221452</v>
      </c>
      <c r="AX261">
        <v>9235007</v>
      </c>
      <c r="AY261"/>
      <c r="AZ261"/>
      <c r="BA261"/>
      <c r="BB261"/>
      <c r="BC261">
        <v>43.375457960258473</v>
      </c>
      <c r="BD261">
        <v>425.72612903225809</v>
      </c>
      <c r="BE261">
        <v>1.1769741935483871</v>
      </c>
      <c r="BF261">
        <v>70.515161290322581</v>
      </c>
      <c r="BG261">
        <v>430.2032258064516</v>
      </c>
    </row>
    <row r="262" spans="1:59">
      <c r="A262" s="3">
        <v>44440</v>
      </c>
      <c r="B262" s="3">
        <v>44440</v>
      </c>
      <c r="C262">
        <v>312.35815134940248</v>
      </c>
      <c r="D262">
        <v>110.75275014320304</v>
      </c>
      <c r="E262">
        <v>202.34477225890754</v>
      </c>
      <c r="F262">
        <v>67.999944276341282</v>
      </c>
      <c r="G262">
        <v>132.90149204230832</v>
      </c>
      <c r="J262">
        <v>1546.9997944979114</v>
      </c>
      <c r="K262">
        <v>1891.0312940699648</v>
      </c>
      <c r="L262">
        <v>179.58705314064883</v>
      </c>
      <c r="M262">
        <v>296.62536565064426</v>
      </c>
      <c r="P262">
        <v>230.46717278927565</v>
      </c>
      <c r="Q262">
        <v>49229.05</v>
      </c>
      <c r="T262">
        <v>175.41917576895321</v>
      </c>
      <c r="U262"/>
      <c r="V262"/>
      <c r="W262"/>
      <c r="X262"/>
      <c r="Y262"/>
      <c r="Z262"/>
      <c r="AA262"/>
      <c r="AB262">
        <v>22106</v>
      </c>
      <c r="AC262">
        <v>35520</v>
      </c>
      <c r="AD262">
        <v>5892</v>
      </c>
      <c r="AE262">
        <v>3677.7</v>
      </c>
      <c r="AF262">
        <v>524.14745402518281</v>
      </c>
      <c r="AG262">
        <v>449.73479511897648</v>
      </c>
      <c r="AH262">
        <v>617.03402377125508</v>
      </c>
      <c r="AI262">
        <v>439.8001547306431</v>
      </c>
      <c r="AJ262">
        <v>419.59179719733601</v>
      </c>
      <c r="AK262">
        <v>10689698</v>
      </c>
      <c r="AL262">
        <v>7992290</v>
      </c>
      <c r="AM262">
        <v>22572364</v>
      </c>
      <c r="AN262">
        <v>28850310</v>
      </c>
      <c r="AO262"/>
      <c r="AP262"/>
      <c r="AQ262"/>
      <c r="AR262"/>
      <c r="AS262"/>
      <c r="AT262"/>
      <c r="AU262">
        <v>1165.8094741257</v>
      </c>
      <c r="AV262">
        <v>1346.3980636682008</v>
      </c>
      <c r="AW262">
        <v>7370461</v>
      </c>
      <c r="AX262">
        <v>9593493</v>
      </c>
      <c r="AY262"/>
      <c r="AZ262"/>
      <c r="BA262"/>
      <c r="BB262"/>
      <c r="BC262">
        <v>43.293775654043536</v>
      </c>
      <c r="BD262">
        <v>425.685</v>
      </c>
      <c r="BE262">
        <v>1.1770466666666666</v>
      </c>
      <c r="BF262">
        <v>74.84</v>
      </c>
      <c r="BG262">
        <v>428.36500000000001</v>
      </c>
    </row>
    <row r="263" spans="1:59">
      <c r="A263" s="3">
        <v>44470</v>
      </c>
      <c r="B263" s="3">
        <v>44470</v>
      </c>
      <c r="C263">
        <v>315.7070688527358</v>
      </c>
      <c r="D263">
        <v>126.41649936449596</v>
      </c>
      <c r="G263">
        <v>153.79473249081633</v>
      </c>
      <c r="J263">
        <v>728.63690320851629</v>
      </c>
      <c r="K263">
        <v>677.97281319249782</v>
      </c>
      <c r="L263">
        <v>167.19554647394406</v>
      </c>
      <c r="M263">
        <v>261.05687777170903</v>
      </c>
      <c r="P263">
        <v>179.17083073825975</v>
      </c>
      <c r="T263">
        <v>174.21342255788656</v>
      </c>
      <c r="U263"/>
      <c r="V263"/>
      <c r="W263"/>
      <c r="X263"/>
      <c r="Y263"/>
      <c r="Z263"/>
      <c r="AA263"/>
      <c r="AB263">
        <v>23267</v>
      </c>
      <c r="AC263">
        <v>35820</v>
      </c>
      <c r="AD263">
        <v>5794.9</v>
      </c>
      <c r="AE263">
        <v>3621.2</v>
      </c>
      <c r="AF263">
        <v>527.81648620335909</v>
      </c>
      <c r="AG263">
        <v>454.23214307016622</v>
      </c>
      <c r="AH263">
        <v>621.35326193765388</v>
      </c>
      <c r="AI263">
        <v>441.99915550429631</v>
      </c>
      <c r="AJ263">
        <v>422.19326633995951</v>
      </c>
      <c r="AK263">
        <v>10402089</v>
      </c>
      <c r="AL263">
        <v>7880492</v>
      </c>
      <c r="AM263">
        <v>22746598</v>
      </c>
      <c r="AN263">
        <v>29024816</v>
      </c>
      <c r="AO263"/>
      <c r="AP263"/>
      <c r="AQ263"/>
      <c r="AR263"/>
      <c r="AS263"/>
      <c r="AT263"/>
      <c r="AU263">
        <v>1234.5351389863006</v>
      </c>
      <c r="AV263">
        <v>1484.5907625872997</v>
      </c>
      <c r="AW263">
        <v>7270845</v>
      </c>
      <c r="AX263">
        <v>9930973</v>
      </c>
      <c r="AY263"/>
      <c r="AZ263"/>
      <c r="BA263"/>
      <c r="BB263"/>
      <c r="BC263">
        <v>43.420813966054759</v>
      </c>
      <c r="BD263">
        <v>426.03806451612905</v>
      </c>
      <c r="BE263">
        <v>1.1596967741935484</v>
      </c>
      <c r="BF263">
        <v>83.598387096774189</v>
      </c>
      <c r="BG263">
        <v>443.23709677419356</v>
      </c>
    </row>
    <row r="264" spans="1:59">
      <c r="A264" s="3">
        <v>44501</v>
      </c>
      <c r="B264" s="3">
        <v>44501</v>
      </c>
      <c r="C264">
        <v>360.62864027353254</v>
      </c>
      <c r="D264">
        <v>143.22827470616951</v>
      </c>
      <c r="G264">
        <v>176.49373713748577</v>
      </c>
      <c r="J264">
        <v>824.08833752883186</v>
      </c>
      <c r="K264">
        <v>313.04710106326604</v>
      </c>
      <c r="M264">
        <v>261.05364583394118</v>
      </c>
      <c r="P264">
        <v>227.34327737676861</v>
      </c>
      <c r="T264">
        <v>174.06772921002721</v>
      </c>
      <c r="U264"/>
      <c r="V264"/>
      <c r="W264"/>
      <c r="X264"/>
      <c r="Y264"/>
      <c r="Z264"/>
      <c r="AA264"/>
      <c r="AB264">
        <v>23533</v>
      </c>
      <c r="AC264">
        <v>35483</v>
      </c>
      <c r="AD264">
        <v>5455.2</v>
      </c>
      <c r="AE264">
        <v>3736.7</v>
      </c>
      <c r="AF264">
        <v>531.51120160678261</v>
      </c>
      <c r="AG264">
        <v>458.77446450086791</v>
      </c>
      <c r="AH264">
        <v>626.94544129509279</v>
      </c>
      <c r="AI264">
        <v>443.3251529708092</v>
      </c>
      <c r="AJ264">
        <v>424.38867132492732</v>
      </c>
      <c r="AK264">
        <v>10476192</v>
      </c>
      <c r="AL264">
        <v>7654661</v>
      </c>
      <c r="AM264">
        <v>22276425</v>
      </c>
      <c r="AN264">
        <v>28695916</v>
      </c>
      <c r="AO264"/>
      <c r="AP264"/>
      <c r="AQ264"/>
      <c r="AR264"/>
      <c r="AS264"/>
      <c r="AT264"/>
      <c r="AU264">
        <v>1770.7191538778004</v>
      </c>
      <c r="AV264">
        <v>1582.3257179261</v>
      </c>
      <c r="AW264">
        <v>7497122</v>
      </c>
      <c r="AX264">
        <v>10341114</v>
      </c>
      <c r="AY264"/>
      <c r="AZ264"/>
      <c r="BA264"/>
      <c r="BB264"/>
      <c r="BC264"/>
      <c r="BD264">
        <v>431.71266666666668</v>
      </c>
      <c r="BE264">
        <v>1.1407266666666667</v>
      </c>
      <c r="BF264">
        <v>80.391000000000005</v>
      </c>
      <c r="BG264">
        <v>436.73666666666668</v>
      </c>
    </row>
    <row r="265" spans="1:59">
      <c r="A265" s="3">
        <v>44531</v>
      </c>
      <c r="B265" s="3">
        <v>44531</v>
      </c>
      <c r="T265"/>
      <c r="U265"/>
      <c r="V265"/>
      <c r="W265"/>
      <c r="X265"/>
      <c r="Y265"/>
      <c r="Z265"/>
      <c r="AA265"/>
      <c r="AB265">
        <v>23546</v>
      </c>
      <c r="AC265">
        <v>34387</v>
      </c>
      <c r="AD265"/>
      <c r="AF265">
        <v>534.70026881642332</v>
      </c>
      <c r="AG265">
        <v>461.98588575237397</v>
      </c>
      <c r="AH265">
        <v>630.70711394286332</v>
      </c>
      <c r="AI265">
        <v>445.54177873566329</v>
      </c>
      <c r="AJ265">
        <v>426.59549241581698</v>
      </c>
      <c r="AK265">
        <v>10957714</v>
      </c>
      <c r="AL265">
        <v>8788006</v>
      </c>
      <c r="AM265">
        <v>23750267</v>
      </c>
      <c r="AN265">
        <v>30099289</v>
      </c>
      <c r="AO265"/>
      <c r="AP265"/>
      <c r="AQ265"/>
      <c r="AR265"/>
      <c r="AS265"/>
      <c r="AT265"/>
      <c r="AU265">
        <v>1536.1926443870998</v>
      </c>
      <c r="AV265">
        <v>2381.8920296471006</v>
      </c>
      <c r="AW265"/>
      <c r="AX265"/>
      <c r="AY265"/>
      <c r="AZ265"/>
      <c r="BA265"/>
      <c r="BB265"/>
      <c r="BC265"/>
      <c r="BD265">
        <v>436.14645161290321</v>
      </c>
      <c r="BE265">
        <v>1.1304225806451613</v>
      </c>
      <c r="BF265">
        <v>74.511935483870971</v>
      </c>
      <c r="BG265">
        <v>432.85322580645163</v>
      </c>
    </row>
    <row r="266" spans="1:59">
      <c r="A266" s="3">
        <v>44562</v>
      </c>
      <c r="B266" s="3">
        <v>44562</v>
      </c>
      <c r="T266"/>
      <c r="U266"/>
      <c r="V266"/>
      <c r="W266"/>
      <c r="X266"/>
      <c r="Y266"/>
      <c r="Z266"/>
      <c r="AA266"/>
      <c r="AB266"/>
      <c r="AC266"/>
      <c r="AD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>
        <v>435.58480000000003</v>
      </c>
      <c r="BE266">
        <v>1.135472</v>
      </c>
      <c r="BF266">
        <v>84.119200000000006</v>
      </c>
      <c r="BG266">
        <v>445.08600000000001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>
    <tabColor theme="0" tint="-0.34998626667073579"/>
  </sheetPr>
  <dimension ref="A1:W264"/>
  <sheetViews>
    <sheetView workbookViewId="0">
      <pane xSplit="1" ySplit="1" topLeftCell="K204" activePane="bottomRight" state="frozen"/>
      <selection pane="topRight" activeCell="B1" sqref="B1"/>
      <selection pane="bottomLeft" activeCell="A2" sqref="A2"/>
      <selection pane="bottomRight" sqref="A1:A1048576"/>
    </sheetView>
  </sheetViews>
  <sheetFormatPr baseColWidth="10" defaultColWidth="8.83203125" defaultRowHeight="15"/>
  <cols>
    <col min="1" max="1" width="12.5" customWidth="1" collapsed="1"/>
    <col min="2" max="2" width="13.1640625" customWidth="1" collapsed="1"/>
    <col min="3" max="3" width="10" customWidth="1" collapsed="1"/>
    <col min="23" max="23" width="13.33203125" customWidth="1" collapsed="1"/>
  </cols>
  <sheetData>
    <row r="1" spans="1:21">
      <c r="B1" t="s">
        <v>280</v>
      </c>
      <c r="C1" t="s">
        <v>71</v>
      </c>
      <c r="D1" t="s">
        <v>72</v>
      </c>
      <c r="E1" t="s">
        <v>73</v>
      </c>
      <c r="F1" t="s">
        <v>234</v>
      </c>
      <c r="G1" t="s">
        <v>257</v>
      </c>
      <c r="H1" t="s">
        <v>146</v>
      </c>
      <c r="I1" t="s">
        <v>147</v>
      </c>
      <c r="J1" t="s">
        <v>117</v>
      </c>
      <c r="K1" t="s">
        <v>148</v>
      </c>
      <c r="L1" t="s">
        <v>258</v>
      </c>
      <c r="M1" t="s">
        <v>74</v>
      </c>
      <c r="N1" t="s">
        <v>149</v>
      </c>
      <c r="O1" t="s">
        <v>237</v>
      </c>
      <c r="P1" t="s">
        <v>160</v>
      </c>
      <c r="Q1" t="s">
        <v>161</v>
      </c>
      <c r="R1" t="s">
        <v>306</v>
      </c>
      <c r="S1" t="s">
        <v>182</v>
      </c>
      <c r="T1" t="s">
        <v>183</v>
      </c>
      <c r="U1" t="s">
        <v>259</v>
      </c>
    </row>
    <row r="2" spans="1:21" ht="12.5" customHeight="1">
      <c r="A2" s="3">
        <v>36526</v>
      </c>
      <c r="B2" s="3">
        <v>36526</v>
      </c>
      <c r="C2">
        <v>100</v>
      </c>
    </row>
    <row r="3" spans="1:21" ht="12.5" customHeight="1">
      <c r="A3" s="3">
        <v>36557</v>
      </c>
      <c r="B3" s="3">
        <v>36557</v>
      </c>
      <c r="C3">
        <v>103.78884744960143</v>
      </c>
    </row>
    <row r="4" spans="1:21" ht="12.5" customHeight="1">
      <c r="A4" s="3">
        <v>36586</v>
      </c>
      <c r="B4" s="3">
        <v>36586</v>
      </c>
      <c r="C4">
        <v>102.91199852963008</v>
      </c>
    </row>
    <row r="5" spans="1:21" ht="12.5" customHeight="1">
      <c r="A5" s="3">
        <v>36617</v>
      </c>
      <c r="B5" s="3">
        <v>36617</v>
      </c>
      <c r="C5">
        <v>106.14519092172507</v>
      </c>
    </row>
    <row r="6" spans="1:21" ht="12.5" customHeight="1">
      <c r="A6" s="3">
        <v>36647</v>
      </c>
      <c r="B6" s="3">
        <v>36647</v>
      </c>
      <c r="C6">
        <v>108.22985923551785</v>
      </c>
    </row>
    <row r="7" spans="1:21" ht="12.5" customHeight="1">
      <c r="A7" s="3">
        <v>36678</v>
      </c>
      <c r="B7" s="3">
        <v>36678</v>
      </c>
      <c r="C7">
        <v>105.03179852108364</v>
      </c>
    </row>
    <row r="8" spans="1:21" ht="12.5" customHeight="1">
      <c r="A8" s="3">
        <v>36708</v>
      </c>
      <c r="B8" s="3">
        <v>36708</v>
      </c>
      <c r="C8">
        <v>108.05775050489792</v>
      </c>
    </row>
    <row r="9" spans="1:21" ht="12.5" customHeight="1">
      <c r="A9" s="3">
        <v>36739</v>
      </c>
      <c r="B9" s="3">
        <v>36739</v>
      </c>
      <c r="C9">
        <v>110.58001760573386</v>
      </c>
    </row>
    <row r="10" spans="1:21" ht="12.5" customHeight="1">
      <c r="A10" s="3">
        <v>36770</v>
      </c>
      <c r="B10" s="3">
        <v>36770</v>
      </c>
      <c r="C10">
        <v>113.11194217494392</v>
      </c>
    </row>
    <row r="11" spans="1:21" ht="12.5" customHeight="1">
      <c r="A11" s="3">
        <v>36800</v>
      </c>
      <c r="B11" s="3">
        <v>36800</v>
      </c>
      <c r="C11">
        <v>115.05941460287465</v>
      </c>
    </row>
    <row r="12" spans="1:21" ht="12.5" customHeight="1">
      <c r="A12" s="3">
        <v>36831</v>
      </c>
      <c r="B12" s="3">
        <v>36831</v>
      </c>
      <c r="C12">
        <v>114.20629709843249</v>
      </c>
    </row>
    <row r="13" spans="1:21" ht="12.5" customHeight="1">
      <c r="A13" s="3">
        <v>36861</v>
      </c>
      <c r="B13" s="3">
        <v>36861</v>
      </c>
      <c r="C13">
        <v>115.78107006068544</v>
      </c>
    </row>
    <row r="14" spans="1:21" ht="12.5" customHeight="1">
      <c r="A14" s="3">
        <v>36892</v>
      </c>
      <c r="B14" s="3">
        <v>36892</v>
      </c>
      <c r="C14">
        <v>117.91467773247231</v>
      </c>
    </row>
    <row r="15" spans="1:21" ht="12.5" customHeight="1">
      <c r="A15" s="3">
        <v>36923</v>
      </c>
      <c r="B15" s="3">
        <v>36923</v>
      </c>
      <c r="C15">
        <v>119.31118382385341</v>
      </c>
    </row>
    <row r="16" spans="1:21" ht="12.5" customHeight="1">
      <c r="A16" s="3">
        <v>36951</v>
      </c>
      <c r="B16" s="3">
        <v>36951</v>
      </c>
      <c r="C16">
        <v>123.95493220078629</v>
      </c>
    </row>
    <row r="17" spans="1:3" ht="12.5" customHeight="1">
      <c r="A17" s="3">
        <v>36982</v>
      </c>
      <c r="B17" s="3">
        <v>36982</v>
      </c>
      <c r="C17">
        <v>126.15171923563004</v>
      </c>
    </row>
    <row r="18" spans="1:3" ht="12.5" customHeight="1">
      <c r="A18" s="3">
        <v>37012</v>
      </c>
      <c r="B18" s="3">
        <v>37012</v>
      </c>
      <c r="C18">
        <v>129.91827338863055</v>
      </c>
    </row>
    <row r="19" spans="1:3" ht="12.5" customHeight="1">
      <c r="A19" s="3">
        <v>37043</v>
      </c>
      <c r="B19" s="3">
        <v>37043</v>
      </c>
      <c r="C19">
        <v>135.80064156312034</v>
      </c>
    </row>
    <row r="20" spans="1:3" ht="12.5" customHeight="1">
      <c r="A20" s="3">
        <v>37073</v>
      </c>
      <c r="B20" s="3">
        <v>37073</v>
      </c>
      <c r="C20">
        <v>135.91000071407953</v>
      </c>
    </row>
    <row r="21" spans="1:3" ht="12.5" customHeight="1">
      <c r="A21" s="3">
        <v>37104</v>
      </c>
      <c r="B21" s="3">
        <v>37104</v>
      </c>
      <c r="C21">
        <v>134.56125650244536</v>
      </c>
    </row>
    <row r="22" spans="1:3" ht="12.5" customHeight="1">
      <c r="A22" s="3">
        <v>37135</v>
      </c>
      <c r="B22" s="3">
        <v>37135</v>
      </c>
      <c r="C22">
        <v>137.15478530537271</v>
      </c>
    </row>
    <row r="23" spans="1:3" ht="12.5" customHeight="1">
      <c r="A23" s="3">
        <v>37165</v>
      </c>
      <c r="B23" s="3">
        <v>37165</v>
      </c>
      <c r="C23">
        <v>136.70750073004677</v>
      </c>
    </row>
    <row r="24" spans="1:3" ht="12.5" customHeight="1">
      <c r="A24" s="3">
        <v>37196</v>
      </c>
      <c r="B24" s="3">
        <v>37196</v>
      </c>
      <c r="C24">
        <v>141.91889980510226</v>
      </c>
    </row>
    <row r="25" spans="1:3" ht="12.5" customHeight="1">
      <c r="A25" s="3">
        <v>37226</v>
      </c>
      <c r="B25" s="3">
        <v>37226</v>
      </c>
      <c r="C25">
        <v>142.16340964977158</v>
      </c>
    </row>
    <row r="26" spans="1:3" ht="12.5" customHeight="1">
      <c r="A26" s="3">
        <v>37257</v>
      </c>
      <c r="B26" s="3">
        <v>37257</v>
      </c>
      <c r="C26">
        <v>147.16534563195489</v>
      </c>
    </row>
    <row r="27" spans="1:3" ht="12.5" customHeight="1">
      <c r="A27" s="3">
        <v>37288</v>
      </c>
      <c r="B27" s="3">
        <v>37288</v>
      </c>
      <c r="C27">
        <v>145.58394343039777</v>
      </c>
    </row>
    <row r="28" spans="1:3" ht="12.5" customHeight="1">
      <c r="A28" s="3">
        <v>37316</v>
      </c>
      <c r="B28" s="3">
        <v>37316</v>
      </c>
      <c r="C28">
        <v>146.22197015382446</v>
      </c>
    </row>
    <row r="29" spans="1:3" ht="12.5" customHeight="1">
      <c r="A29" s="3">
        <v>37347</v>
      </c>
      <c r="B29" s="3">
        <v>37347</v>
      </c>
      <c r="C29">
        <v>146.85859271299481</v>
      </c>
    </row>
    <row r="30" spans="1:3" ht="12.5" customHeight="1">
      <c r="A30" s="3">
        <v>37377</v>
      </c>
      <c r="B30" s="3">
        <v>37377</v>
      </c>
      <c r="C30">
        <v>144.8077118525751</v>
      </c>
    </row>
    <row r="31" spans="1:3" ht="12.5" customHeight="1">
      <c r="A31" s="3">
        <v>37408</v>
      </c>
      <c r="B31" s="3">
        <v>37408</v>
      </c>
      <c r="C31">
        <v>147.43446405414332</v>
      </c>
    </row>
    <row r="32" spans="1:3" ht="12.5" customHeight="1">
      <c r="A32" s="3">
        <v>37438</v>
      </c>
      <c r="B32" s="3">
        <v>37438</v>
      </c>
      <c r="C32">
        <v>151.44867852734589</v>
      </c>
    </row>
    <row r="33" spans="1:3" ht="12.5" customHeight="1">
      <c r="A33" s="3">
        <v>37469</v>
      </c>
      <c r="B33" s="3">
        <v>37469</v>
      </c>
      <c r="C33">
        <v>154.34529827539831</v>
      </c>
    </row>
    <row r="34" spans="1:3" ht="12.5" customHeight="1">
      <c r="A34" s="3">
        <v>37500</v>
      </c>
      <c r="B34" s="3">
        <v>37500</v>
      </c>
      <c r="C34">
        <v>154.56432509881623</v>
      </c>
    </row>
    <row r="35" spans="1:3" ht="12.5" customHeight="1">
      <c r="A35" s="3">
        <v>37530</v>
      </c>
      <c r="B35" s="3">
        <v>37530</v>
      </c>
      <c r="C35">
        <v>156.20952395803172</v>
      </c>
    </row>
    <row r="36" spans="1:3" ht="12.5" customHeight="1">
      <c r="A36" s="3">
        <v>37561</v>
      </c>
      <c r="B36" s="3">
        <v>37561</v>
      </c>
      <c r="C36">
        <v>156.42734591489028</v>
      </c>
    </row>
    <row r="37" spans="1:3" ht="12.5" customHeight="1">
      <c r="A37" s="3">
        <v>37591</v>
      </c>
      <c r="B37" s="3">
        <v>37591</v>
      </c>
      <c r="C37">
        <v>158.24608809391668</v>
      </c>
    </row>
    <row r="38" spans="1:3" ht="12.5" customHeight="1">
      <c r="A38" s="3">
        <v>37622</v>
      </c>
      <c r="B38" s="3">
        <v>37622</v>
      </c>
      <c r="C38">
        <v>157.31907152687333</v>
      </c>
    </row>
    <row r="39" spans="1:3" ht="12.5" customHeight="1">
      <c r="A39" s="3">
        <v>37653</v>
      </c>
      <c r="B39" s="3">
        <v>37653</v>
      </c>
      <c r="C39">
        <v>160.1577259046791</v>
      </c>
    </row>
    <row r="40" spans="1:3" ht="12.5" customHeight="1">
      <c r="A40" s="3">
        <v>37681</v>
      </c>
      <c r="B40" s="3">
        <v>37681</v>
      </c>
      <c r="C40">
        <v>161.17216617126616</v>
      </c>
    </row>
    <row r="41" spans="1:3" ht="12.5" customHeight="1">
      <c r="A41" s="3">
        <v>37712</v>
      </c>
      <c r="B41" s="3">
        <v>37712</v>
      </c>
      <c r="C41">
        <v>160.84379150358288</v>
      </c>
    </row>
    <row r="42" spans="1:3" ht="12.5" customHeight="1">
      <c r="A42" s="3">
        <v>37742</v>
      </c>
      <c r="B42" s="3">
        <v>37742</v>
      </c>
      <c r="C42">
        <v>162.91838137216317</v>
      </c>
    </row>
    <row r="43" spans="1:3" ht="12.5" customHeight="1">
      <c r="A43" s="3">
        <v>37773</v>
      </c>
      <c r="B43" s="3">
        <v>37773</v>
      </c>
      <c r="C43">
        <v>164.05608309996549</v>
      </c>
    </row>
    <row r="44" spans="1:3" ht="12.5" customHeight="1">
      <c r="A44" s="3">
        <v>37803</v>
      </c>
      <c r="B44" s="3">
        <v>37803</v>
      </c>
      <c r="C44">
        <v>161.52338023072087</v>
      </c>
    </row>
    <row r="45" spans="1:3" ht="12.5" customHeight="1">
      <c r="A45" s="3">
        <v>37834</v>
      </c>
      <c r="B45" s="3">
        <v>37834</v>
      </c>
      <c r="C45">
        <v>162.72732640817742</v>
      </c>
    </row>
    <row r="46" spans="1:3" ht="12.5" customHeight="1">
      <c r="A46" s="3">
        <v>37865</v>
      </c>
      <c r="B46" s="3">
        <v>37865</v>
      </c>
      <c r="C46">
        <v>164.03131128741413</v>
      </c>
    </row>
    <row r="47" spans="1:3" ht="12.5" customHeight="1">
      <c r="A47" s="3">
        <v>37895</v>
      </c>
      <c r="B47" s="3">
        <v>37895</v>
      </c>
      <c r="C47">
        <v>169.64541684073237</v>
      </c>
    </row>
    <row r="48" spans="1:3" ht="12.5" customHeight="1">
      <c r="A48" s="3">
        <v>37926</v>
      </c>
      <c r="B48" s="3">
        <v>37926</v>
      </c>
      <c r="C48">
        <v>170.40898600896961</v>
      </c>
    </row>
    <row r="49" spans="1:21" ht="12.5" customHeight="1">
      <c r="A49" s="3">
        <v>37956</v>
      </c>
      <c r="B49" s="3">
        <v>37956</v>
      </c>
      <c r="C49">
        <v>172.37515189155013</v>
      </c>
    </row>
    <row r="50" spans="1:21" ht="12.5" customHeight="1">
      <c r="A50" s="3">
        <v>37987</v>
      </c>
      <c r="B50" s="3">
        <v>37987</v>
      </c>
      <c r="C50">
        <v>175.55801699088613</v>
      </c>
    </row>
    <row r="51" spans="1:21" ht="12.5" customHeight="1">
      <c r="A51" s="3">
        <v>38018</v>
      </c>
      <c r="B51" s="3">
        <v>38018</v>
      </c>
      <c r="C51">
        <v>179.50915471235021</v>
      </c>
    </row>
    <row r="52" spans="1:21" ht="12.5" customHeight="1">
      <c r="A52" s="3">
        <v>38047</v>
      </c>
      <c r="B52" s="3">
        <v>38047</v>
      </c>
      <c r="C52">
        <v>181.43879381810032</v>
      </c>
    </row>
    <row r="53" spans="1:21" ht="12.5" customHeight="1">
      <c r="A53" s="3">
        <v>38078</v>
      </c>
      <c r="B53" s="3">
        <v>38078</v>
      </c>
      <c r="C53">
        <v>180.82598177970618</v>
      </c>
    </row>
    <row r="54" spans="1:21" ht="12.5" customHeight="1">
      <c r="A54" s="3">
        <v>38108</v>
      </c>
      <c r="B54" s="3">
        <v>38108</v>
      </c>
      <c r="C54">
        <v>182.03299202952317</v>
      </c>
    </row>
    <row r="55" spans="1:21" ht="16.25" customHeight="1">
      <c r="A55" s="3">
        <v>38139</v>
      </c>
      <c r="B55" s="3">
        <v>38139</v>
      </c>
      <c r="C55">
        <v>186.08237513083409</v>
      </c>
      <c r="D55">
        <v>76.532336132243103</v>
      </c>
      <c r="E55">
        <v>100.60506492879168</v>
      </c>
      <c r="F55">
        <v>58.138392215827409</v>
      </c>
    </row>
    <row r="56" spans="1:21" ht="16.25" customHeight="1">
      <c r="A56" s="3">
        <v>38169</v>
      </c>
      <c r="B56" s="3">
        <v>38169</v>
      </c>
      <c r="C56">
        <v>186.39884580386737</v>
      </c>
      <c r="D56">
        <v>75.863613207163709</v>
      </c>
      <c r="E56">
        <v>100.69323322510738</v>
      </c>
      <c r="F56">
        <v>57.956862111418694</v>
      </c>
    </row>
    <row r="57" spans="1:21" ht="16.25" customHeight="1">
      <c r="A57" s="3">
        <v>38200</v>
      </c>
      <c r="B57" s="3">
        <v>38200</v>
      </c>
      <c r="C57">
        <v>191.23867051260586</v>
      </c>
      <c r="D57">
        <v>76.465491027708808</v>
      </c>
      <c r="E57">
        <v>101.90730486512348</v>
      </c>
      <c r="F57">
        <v>59.381647084264706</v>
      </c>
    </row>
    <row r="58" spans="1:21" ht="16.25" customHeight="1">
      <c r="A58" s="3">
        <v>38231</v>
      </c>
      <c r="B58" s="3">
        <v>38231</v>
      </c>
      <c r="C58">
        <v>190.65896713690819</v>
      </c>
      <c r="D58">
        <v>76.358222850616329</v>
      </c>
      <c r="E58">
        <v>101.88109595610702</v>
      </c>
      <c r="F58">
        <v>58.410437294003557</v>
      </c>
    </row>
    <row r="59" spans="1:21" ht="16.25" customHeight="1">
      <c r="A59" s="3">
        <v>38261</v>
      </c>
      <c r="B59" s="3">
        <v>38261</v>
      </c>
      <c r="C59">
        <v>192.26769191886453</v>
      </c>
      <c r="D59">
        <v>75.376188700868425</v>
      </c>
      <c r="E59">
        <v>103.19676567387761</v>
      </c>
      <c r="F59">
        <v>60.102781275146704</v>
      </c>
    </row>
    <row r="60" spans="1:21" ht="16.25" customHeight="1">
      <c r="A60" s="3">
        <v>38292</v>
      </c>
      <c r="B60" s="3">
        <v>38292</v>
      </c>
      <c r="C60">
        <v>194.25528352487319</v>
      </c>
      <c r="D60">
        <v>75.630358127787829</v>
      </c>
      <c r="E60">
        <v>102.56065291518728</v>
      </c>
      <c r="F60">
        <v>60.661886179141646</v>
      </c>
    </row>
    <row r="61" spans="1:21" ht="16.25" customHeight="1">
      <c r="A61" s="3">
        <v>38322</v>
      </c>
      <c r="B61" s="3">
        <v>38322</v>
      </c>
      <c r="C61">
        <v>197.46921666214817</v>
      </c>
      <c r="D61">
        <v>75.036526557176089</v>
      </c>
      <c r="E61">
        <v>104.66263241815432</v>
      </c>
      <c r="F61">
        <v>60.421661541565619</v>
      </c>
    </row>
    <row r="62" spans="1:21" ht="16.25" customHeight="1">
      <c r="A62" s="3">
        <v>38353</v>
      </c>
      <c r="B62" s="3">
        <v>38353</v>
      </c>
      <c r="C62">
        <v>197.67172274217344</v>
      </c>
      <c r="D62">
        <v>78.425280289718046</v>
      </c>
      <c r="E62">
        <v>105.49700270614149</v>
      </c>
      <c r="F62">
        <v>59.354785997872924</v>
      </c>
      <c r="M62">
        <v>82.370659756589475</v>
      </c>
      <c r="O62">
        <v>138.10624339079877</v>
      </c>
      <c r="U62">
        <v>75.514628097076383</v>
      </c>
    </row>
    <row r="63" spans="1:21" ht="16.25" customHeight="1">
      <c r="A63" s="3">
        <v>38384</v>
      </c>
      <c r="B63" s="3">
        <v>38384</v>
      </c>
      <c r="C63">
        <v>194.37974724845154</v>
      </c>
      <c r="D63">
        <v>79.322399271203494</v>
      </c>
      <c r="E63">
        <v>104.85036689975119</v>
      </c>
      <c r="F63">
        <v>60.649139107383817</v>
      </c>
      <c r="M63">
        <v>83.298451609053103</v>
      </c>
      <c r="O63">
        <v>134.99208145308819</v>
      </c>
      <c r="U63">
        <v>76.562370221186328</v>
      </c>
    </row>
    <row r="64" spans="1:21" ht="16.25" customHeight="1">
      <c r="A64" s="3">
        <v>38412</v>
      </c>
      <c r="B64" s="3">
        <v>38412</v>
      </c>
      <c r="C64">
        <v>193.95825977747955</v>
      </c>
      <c r="D64">
        <v>79.053830842051966</v>
      </c>
      <c r="E64">
        <v>105.09994879937435</v>
      </c>
      <c r="F64">
        <v>60.121130506564143</v>
      </c>
      <c r="M64">
        <v>84.066757542126965</v>
      </c>
      <c r="O64">
        <v>142.56541154208915</v>
      </c>
      <c r="U64">
        <v>77.532521203840489</v>
      </c>
    </row>
    <row r="65" spans="1:21" ht="16.25" customHeight="1">
      <c r="A65" s="3">
        <v>38443</v>
      </c>
      <c r="B65" s="3">
        <v>38443</v>
      </c>
      <c r="C65">
        <v>195.50502304656007</v>
      </c>
      <c r="D65">
        <v>77.677109066438248</v>
      </c>
      <c r="E65">
        <v>106.50906581048532</v>
      </c>
      <c r="F65">
        <v>60.056669710141001</v>
      </c>
      <c r="M65">
        <v>85.039009921090098</v>
      </c>
      <c r="O65">
        <v>146.74948757736698</v>
      </c>
      <c r="U65">
        <v>78.627527315044347</v>
      </c>
    </row>
    <row r="66" spans="1:21" ht="16.25" customHeight="1">
      <c r="A66" s="3">
        <v>38473</v>
      </c>
      <c r="B66" s="3">
        <v>38473</v>
      </c>
      <c r="C66">
        <v>193.9263840094263</v>
      </c>
      <c r="D66">
        <v>75.374312735405439</v>
      </c>
      <c r="E66">
        <v>106.96796544728231</v>
      </c>
      <c r="F66">
        <v>59.747425324743823</v>
      </c>
      <c r="M66">
        <v>85.909930435898289</v>
      </c>
      <c r="O66">
        <v>150.2984077638348</v>
      </c>
      <c r="U66">
        <v>79.502857196646445</v>
      </c>
    </row>
    <row r="67" spans="1:21" ht="16.25" customHeight="1">
      <c r="A67" s="3">
        <v>38504</v>
      </c>
      <c r="B67" s="3">
        <v>38504</v>
      </c>
      <c r="C67">
        <v>194.71066946236343</v>
      </c>
      <c r="D67">
        <v>77.498501634976449</v>
      </c>
      <c r="E67">
        <v>107.46197386235319</v>
      </c>
      <c r="F67">
        <v>60.98364406491779</v>
      </c>
      <c r="M67">
        <v>86.847831132449642</v>
      </c>
      <c r="O67">
        <v>151.98091553598132</v>
      </c>
      <c r="U67">
        <v>79.886248237758338</v>
      </c>
    </row>
    <row r="68" spans="1:21" ht="16.25" customHeight="1">
      <c r="A68" s="3">
        <v>38534</v>
      </c>
      <c r="B68" s="3">
        <v>38534</v>
      </c>
      <c r="C68">
        <v>194.90998681938441</v>
      </c>
      <c r="D68">
        <v>77.39572943330586</v>
      </c>
      <c r="E68">
        <v>108.11982325342416</v>
      </c>
      <c r="F68">
        <v>61.972920265397448</v>
      </c>
      <c r="M68">
        <v>88.352905484796523</v>
      </c>
      <c r="O68">
        <v>149.62064708949404</v>
      </c>
      <c r="U68">
        <v>81.894178421129112</v>
      </c>
    </row>
    <row r="69" spans="1:21" ht="16.25" customHeight="1">
      <c r="A69" s="3">
        <v>38565</v>
      </c>
      <c r="B69" s="3">
        <v>38565</v>
      </c>
      <c r="C69">
        <v>194.02364438666729</v>
      </c>
      <c r="D69">
        <v>77.982461648000566</v>
      </c>
      <c r="E69">
        <v>108.27944446772159</v>
      </c>
      <c r="F69">
        <v>60.54357211224589</v>
      </c>
      <c r="M69">
        <v>88.873818094254986</v>
      </c>
      <c r="O69">
        <v>152.0151826642481</v>
      </c>
      <c r="U69">
        <v>82.093789349765842</v>
      </c>
    </row>
    <row r="70" spans="1:21" ht="16.25" customHeight="1">
      <c r="A70" s="3">
        <v>38596</v>
      </c>
      <c r="B70" s="3">
        <v>38596</v>
      </c>
      <c r="C70">
        <v>198.19181917432459</v>
      </c>
      <c r="D70">
        <v>79.448743267564538</v>
      </c>
      <c r="E70">
        <v>109.47221040749122</v>
      </c>
      <c r="F70">
        <v>62.332306370103851</v>
      </c>
      <c r="M70">
        <v>89.668210576851109</v>
      </c>
      <c r="O70">
        <v>153.36545055494352</v>
      </c>
      <c r="U70">
        <v>83.166514277002719</v>
      </c>
    </row>
    <row r="71" spans="1:21" ht="16.25" customHeight="1">
      <c r="A71" s="3">
        <v>38626</v>
      </c>
      <c r="B71" s="3">
        <v>38626</v>
      </c>
      <c r="C71">
        <v>197.10998211428708</v>
      </c>
      <c r="D71">
        <v>79.66176338612344</v>
      </c>
      <c r="E71">
        <v>109.17060618260528</v>
      </c>
      <c r="F71">
        <v>62.05263499017402</v>
      </c>
      <c r="M71">
        <v>90.716420137581395</v>
      </c>
      <c r="O71">
        <v>156.89139410051965</v>
      </c>
      <c r="U71">
        <v>84.511075710122157</v>
      </c>
    </row>
    <row r="72" spans="1:21" ht="16.25" customHeight="1">
      <c r="A72" s="3">
        <v>38657</v>
      </c>
      <c r="B72" s="3">
        <v>38657</v>
      </c>
      <c r="C72">
        <v>202.02403250527414</v>
      </c>
      <c r="D72">
        <v>80.757276545110017</v>
      </c>
      <c r="E72">
        <v>112.02943959715044</v>
      </c>
      <c r="F72">
        <v>62.541188670458567</v>
      </c>
      <c r="M72">
        <v>91.823304933977525</v>
      </c>
      <c r="O72">
        <v>163.00874807149006</v>
      </c>
      <c r="U72">
        <v>85.225213126570935</v>
      </c>
    </row>
    <row r="73" spans="1:21" ht="16.25" customHeight="1">
      <c r="A73" s="3">
        <v>38687</v>
      </c>
      <c r="B73" s="3">
        <v>38687</v>
      </c>
      <c r="C73">
        <v>203.24170168217742</v>
      </c>
      <c r="D73">
        <v>81.402471525277676</v>
      </c>
      <c r="E73">
        <v>109.5300804536333</v>
      </c>
      <c r="F73">
        <v>63.694591243971544</v>
      </c>
      <c r="M73">
        <v>92.609964402840717</v>
      </c>
      <c r="O73">
        <v>157.29736518362225</v>
      </c>
      <c r="U73">
        <v>85.829558660152131</v>
      </c>
    </row>
    <row r="74" spans="1:21" ht="16.25" customHeight="1">
      <c r="A74" s="3">
        <v>38718</v>
      </c>
      <c r="B74" s="3">
        <v>38718</v>
      </c>
      <c r="C74">
        <v>199.89229599692766</v>
      </c>
      <c r="D74">
        <v>79.356455094085234</v>
      </c>
      <c r="E74">
        <v>110.96085714706103</v>
      </c>
      <c r="F74">
        <v>64.954977530996416</v>
      </c>
      <c r="J74">
        <v>347.12386878430391</v>
      </c>
      <c r="M74">
        <v>94.744009589939068</v>
      </c>
      <c r="O74">
        <v>165.36255599335965</v>
      </c>
      <c r="U74">
        <v>86.718357361498363</v>
      </c>
    </row>
    <row r="75" spans="1:21" ht="16.25" customHeight="1">
      <c r="A75" s="3">
        <v>38749</v>
      </c>
      <c r="B75" s="3">
        <v>38749</v>
      </c>
      <c r="C75">
        <v>198.96603833939372</v>
      </c>
      <c r="D75">
        <v>76.814391015805171</v>
      </c>
      <c r="E75">
        <v>112.88080605843086</v>
      </c>
      <c r="F75">
        <v>62.574577170054695</v>
      </c>
      <c r="J75">
        <v>355.40496241293499</v>
      </c>
      <c r="M75">
        <v>95.720047768527479</v>
      </c>
      <c r="O75">
        <v>171.81861659181283</v>
      </c>
      <c r="U75">
        <v>87.56805288687795</v>
      </c>
    </row>
    <row r="76" spans="1:21" ht="16.25" customHeight="1">
      <c r="A76" s="3">
        <v>38777</v>
      </c>
      <c r="B76" s="3">
        <v>38777</v>
      </c>
      <c r="C76">
        <v>202.62488454406653</v>
      </c>
      <c r="D76">
        <v>78.826821298455528</v>
      </c>
      <c r="E76">
        <v>114.4283204067562</v>
      </c>
      <c r="F76">
        <v>61.215200424597576</v>
      </c>
      <c r="J76">
        <v>351.30248352660419</v>
      </c>
      <c r="M76">
        <v>96.44489007609522</v>
      </c>
      <c r="O76">
        <v>163.31715397847384</v>
      </c>
      <c r="U76">
        <v>87.775568665314267</v>
      </c>
    </row>
    <row r="77" spans="1:21" ht="16.25" customHeight="1">
      <c r="A77" s="3">
        <v>38808</v>
      </c>
      <c r="B77" s="3">
        <v>38808</v>
      </c>
      <c r="C77">
        <v>203.55838853542429</v>
      </c>
      <c r="D77">
        <v>81.878747779365838</v>
      </c>
      <c r="E77">
        <v>113.2253134401588</v>
      </c>
      <c r="F77">
        <v>62.840037121074417</v>
      </c>
      <c r="J77">
        <v>348.71190954766746</v>
      </c>
      <c r="M77">
        <v>98.169579041772224</v>
      </c>
      <c r="O77">
        <v>163.48286027919386</v>
      </c>
      <c r="U77">
        <v>88.98081728883615</v>
      </c>
    </row>
    <row r="78" spans="1:21" ht="16.25" customHeight="1">
      <c r="A78" s="3">
        <v>38838</v>
      </c>
      <c r="B78" s="3">
        <v>38838</v>
      </c>
      <c r="C78">
        <v>211.4258844055359</v>
      </c>
      <c r="D78">
        <v>85.660716683159151</v>
      </c>
      <c r="E78">
        <v>115.18528811720701</v>
      </c>
      <c r="F78">
        <v>64.591843804323759</v>
      </c>
      <c r="J78">
        <v>350.39275911710126</v>
      </c>
      <c r="M78">
        <v>98.541032319616733</v>
      </c>
      <c r="O78">
        <v>159.78732638870494</v>
      </c>
      <c r="U78">
        <v>89.663817469835465</v>
      </c>
    </row>
    <row r="79" spans="1:21" ht="16.25" customHeight="1">
      <c r="A79" s="3">
        <v>38869</v>
      </c>
      <c r="B79" s="3">
        <v>38869</v>
      </c>
      <c r="C79">
        <v>212.11643574885431</v>
      </c>
      <c r="D79">
        <v>82.664422261885889</v>
      </c>
      <c r="E79">
        <v>115.94823145958618</v>
      </c>
      <c r="F79">
        <v>64.545723138342083</v>
      </c>
      <c r="J79">
        <v>347.41215151053319</v>
      </c>
      <c r="M79">
        <v>99.550602687012827</v>
      </c>
      <c r="O79">
        <v>160.34773901541533</v>
      </c>
      <c r="U79">
        <v>91.228322614392297</v>
      </c>
    </row>
    <row r="80" spans="1:21" ht="16.25" customHeight="1">
      <c r="A80" s="3">
        <v>38899</v>
      </c>
      <c r="B80" s="3">
        <v>38899</v>
      </c>
      <c r="C80">
        <v>220.36858070208766</v>
      </c>
      <c r="D80">
        <v>87.05271870619957</v>
      </c>
      <c r="E80">
        <v>117.92799282547885</v>
      </c>
      <c r="F80">
        <v>64.8750407320031</v>
      </c>
      <c r="J80">
        <v>353.23350889668444</v>
      </c>
      <c r="M80">
        <v>100.16533640129802</v>
      </c>
      <c r="O80">
        <v>166.04942621778616</v>
      </c>
      <c r="U80">
        <v>90.660556518385832</v>
      </c>
    </row>
    <row r="81" spans="1:21" ht="16.25" customHeight="1">
      <c r="A81" s="3">
        <v>38930</v>
      </c>
      <c r="B81" s="3">
        <v>38930</v>
      </c>
      <c r="C81">
        <v>217.46008272429842</v>
      </c>
      <c r="D81">
        <v>87.060632389080098</v>
      </c>
      <c r="E81">
        <v>116.87925795916202</v>
      </c>
      <c r="F81">
        <v>64.947537497352087</v>
      </c>
      <c r="J81">
        <v>357.1368980121614</v>
      </c>
      <c r="M81">
        <v>101.82828660897346</v>
      </c>
      <c r="O81">
        <v>169.15756075969162</v>
      </c>
      <c r="U81">
        <v>92.284561286969819</v>
      </c>
    </row>
    <row r="82" spans="1:21" ht="16.25" customHeight="1">
      <c r="A82" s="3">
        <v>38961</v>
      </c>
      <c r="B82" s="3">
        <v>38961</v>
      </c>
      <c r="C82">
        <v>216.29658341591292</v>
      </c>
      <c r="D82">
        <v>86.410862012821752</v>
      </c>
      <c r="E82">
        <v>118.57927048888908</v>
      </c>
      <c r="F82">
        <v>63.03300416847236</v>
      </c>
      <c r="J82">
        <v>367.69135394090006</v>
      </c>
      <c r="M82">
        <v>102.69569031274183</v>
      </c>
      <c r="O82">
        <v>167.23570775609116</v>
      </c>
      <c r="U82">
        <v>92.558945749129464</v>
      </c>
    </row>
    <row r="83" spans="1:21" ht="16.25" customHeight="1">
      <c r="A83" s="3">
        <v>38991</v>
      </c>
      <c r="B83" s="3">
        <v>38991</v>
      </c>
      <c r="C83">
        <v>215.67760816580437</v>
      </c>
      <c r="D83">
        <v>87.923326032759917</v>
      </c>
      <c r="E83">
        <v>118.60069452822188</v>
      </c>
      <c r="F83">
        <v>62.357840296381504</v>
      </c>
      <c r="J83">
        <v>359.49761532754076</v>
      </c>
      <c r="M83">
        <v>103.95716880927584</v>
      </c>
      <c r="O83">
        <v>168.95693343822686</v>
      </c>
      <c r="U83">
        <v>93.492283307672622</v>
      </c>
    </row>
    <row r="84" spans="1:21" ht="16.25" customHeight="1">
      <c r="A84" s="3">
        <v>39022</v>
      </c>
      <c r="B84" s="3">
        <v>39022</v>
      </c>
      <c r="C84">
        <v>214.50310871571295</v>
      </c>
      <c r="D84">
        <v>87.63686912794391</v>
      </c>
      <c r="E84">
        <v>118.17566452906611</v>
      </c>
      <c r="F84">
        <v>62.180597620386472</v>
      </c>
      <c r="J84">
        <v>366.17071317007736</v>
      </c>
      <c r="M84">
        <v>104.60407131954783</v>
      </c>
      <c r="O84">
        <v>171.61890884191828</v>
      </c>
      <c r="U84">
        <v>94.148471772635773</v>
      </c>
    </row>
    <row r="85" spans="1:21" ht="16.25" customHeight="1">
      <c r="A85" s="3">
        <v>39052</v>
      </c>
      <c r="B85" s="3">
        <v>39052</v>
      </c>
      <c r="C85">
        <v>215.9718443903345</v>
      </c>
      <c r="D85">
        <v>88.714273154894798</v>
      </c>
      <c r="E85">
        <v>120.88355850422117</v>
      </c>
      <c r="F85">
        <v>62.377010321736243</v>
      </c>
      <c r="J85">
        <v>362.80979008735306</v>
      </c>
      <c r="M85">
        <v>105.23917711990768</v>
      </c>
      <c r="O85">
        <v>182.26928448596647</v>
      </c>
      <c r="U85">
        <v>95.451339999895623</v>
      </c>
    </row>
    <row r="86" spans="1:21" ht="16.25" customHeight="1">
      <c r="A86" s="3">
        <v>39083</v>
      </c>
      <c r="B86" s="3">
        <v>39083</v>
      </c>
      <c r="C86">
        <v>221.27354461968901</v>
      </c>
      <c r="D86">
        <v>85.06578279949764</v>
      </c>
      <c r="E86">
        <v>132.38394984504916</v>
      </c>
      <c r="F86">
        <v>64.119723750255091</v>
      </c>
      <c r="J86">
        <v>368.72878501185659</v>
      </c>
      <c r="M86">
        <v>105.98024524379267</v>
      </c>
      <c r="O86">
        <v>177.47930939883258</v>
      </c>
      <c r="Q86">
        <v>29171.749866934868</v>
      </c>
      <c r="U86">
        <v>107.10049942725909</v>
      </c>
    </row>
    <row r="87" spans="1:21" ht="16.25" customHeight="1">
      <c r="A87" s="3">
        <v>39114</v>
      </c>
      <c r="B87" s="3">
        <v>39114</v>
      </c>
      <c r="C87">
        <v>217.53303099779265</v>
      </c>
      <c r="D87">
        <v>84.704901754733314</v>
      </c>
      <c r="E87">
        <v>120.0849442095095</v>
      </c>
      <c r="F87">
        <v>65.763666952566965</v>
      </c>
      <c r="J87">
        <v>364.24134466399613</v>
      </c>
      <c r="M87">
        <v>106.30306581477076</v>
      </c>
      <c r="O87">
        <v>176.5478803097391</v>
      </c>
      <c r="Q87">
        <v>28564.438585723921</v>
      </c>
      <c r="U87">
        <v>107.32801887956792</v>
      </c>
    </row>
    <row r="88" spans="1:21" ht="16.25" customHeight="1">
      <c r="A88" s="3">
        <v>39142</v>
      </c>
      <c r="B88" s="3">
        <v>39142</v>
      </c>
      <c r="C88">
        <v>219.57707854201178</v>
      </c>
      <c r="D88">
        <v>85.307493079501995</v>
      </c>
      <c r="E88">
        <v>120.56374211048909</v>
      </c>
      <c r="F88">
        <v>70.061834156616456</v>
      </c>
      <c r="J88">
        <v>381.95216392923498</v>
      </c>
      <c r="M88">
        <v>108.07505699316242</v>
      </c>
      <c r="O88">
        <v>182.90784190153022</v>
      </c>
      <c r="Q88">
        <v>29328.914821775339</v>
      </c>
      <c r="U88">
        <v>108.91849453632508</v>
      </c>
    </row>
    <row r="89" spans="1:21" ht="16.25" customHeight="1">
      <c r="A89" s="3">
        <v>39173</v>
      </c>
      <c r="B89" s="3">
        <v>39173</v>
      </c>
      <c r="C89">
        <v>220.50640580098781</v>
      </c>
      <c r="D89">
        <v>86.844084713332066</v>
      </c>
      <c r="E89">
        <v>122.74598486139722</v>
      </c>
      <c r="F89">
        <v>67.59063237975235</v>
      </c>
      <c r="J89">
        <v>381.34590369777055</v>
      </c>
      <c r="M89">
        <v>115.75166496286245</v>
      </c>
      <c r="O89">
        <v>180.95571873812051</v>
      </c>
      <c r="Q89">
        <v>29499.914350355299</v>
      </c>
      <c r="U89">
        <v>107.89398667747447</v>
      </c>
    </row>
    <row r="90" spans="1:21" ht="16.25" customHeight="1">
      <c r="A90" s="3">
        <v>39203</v>
      </c>
      <c r="B90" s="3">
        <v>39203</v>
      </c>
      <c r="C90">
        <v>215.38992985407347</v>
      </c>
      <c r="D90">
        <v>84.730482665910316</v>
      </c>
      <c r="E90">
        <v>123.45068669566466</v>
      </c>
      <c r="F90">
        <v>65.769134907320563</v>
      </c>
      <c r="J90">
        <v>384.64475423389536</v>
      </c>
      <c r="M90">
        <v>109.02299645181294</v>
      </c>
      <c r="O90">
        <v>183.7525072408352</v>
      </c>
      <c r="Q90">
        <v>28687.110322691056</v>
      </c>
      <c r="U90">
        <v>108.33889457383815</v>
      </c>
    </row>
    <row r="91" spans="1:21" ht="16.25" customHeight="1">
      <c r="A91" s="3">
        <v>39234</v>
      </c>
      <c r="B91" s="3">
        <v>39234</v>
      </c>
      <c r="C91">
        <v>211.95700926289004</v>
      </c>
      <c r="D91">
        <v>83.596045191309386</v>
      </c>
      <c r="E91">
        <v>123.99535182810604</v>
      </c>
      <c r="F91">
        <v>66.85160851529821</v>
      </c>
      <c r="J91">
        <v>389.22893295581213</v>
      </c>
      <c r="M91">
        <v>110.29924580067085</v>
      </c>
      <c r="O91">
        <v>189.3389076228074</v>
      </c>
      <c r="Q91">
        <v>30359.225195426534</v>
      </c>
      <c r="U91">
        <v>108.07189633435513</v>
      </c>
    </row>
    <row r="92" spans="1:21" ht="16.25" customHeight="1">
      <c r="A92" s="3">
        <v>39264</v>
      </c>
      <c r="B92" s="3">
        <v>39264</v>
      </c>
      <c r="C92">
        <v>216.97138146902094</v>
      </c>
      <c r="D92">
        <v>85.53474408779762</v>
      </c>
      <c r="E92">
        <v>124.46658105255635</v>
      </c>
      <c r="F92">
        <v>66.359529677421975</v>
      </c>
      <c r="J92">
        <v>400.74064626555861</v>
      </c>
      <c r="M92">
        <v>109.94838969976796</v>
      </c>
      <c r="O92">
        <v>190.37574068032475</v>
      </c>
      <c r="Q92">
        <v>28956.438013027928</v>
      </c>
      <c r="U92">
        <v>108.07392091186708</v>
      </c>
    </row>
    <row r="93" spans="1:21" ht="16.25" customHeight="1">
      <c r="A93" s="3">
        <v>39295</v>
      </c>
      <c r="B93" s="3">
        <v>39295</v>
      </c>
      <c r="C93">
        <v>221.88182262384294</v>
      </c>
      <c r="D93">
        <v>86.278775192635919</v>
      </c>
      <c r="E93">
        <v>127.6462990997575</v>
      </c>
      <c r="F93">
        <v>67.607532867100375</v>
      </c>
      <c r="J93">
        <v>401.33459203471853</v>
      </c>
      <c r="M93">
        <v>110.70037353020223</v>
      </c>
      <c r="O93">
        <v>191.54713975959018</v>
      </c>
      <c r="Q93">
        <v>29184.880550143207</v>
      </c>
      <c r="U93">
        <v>108.24055524283332</v>
      </c>
    </row>
    <row r="94" spans="1:21" ht="16.25" customHeight="1">
      <c r="A94" s="3">
        <v>39326</v>
      </c>
      <c r="B94" s="3">
        <v>39326</v>
      </c>
      <c r="C94">
        <v>223.24344468632367</v>
      </c>
      <c r="D94">
        <v>88.971527001446205</v>
      </c>
      <c r="E94">
        <v>127.52595225444944</v>
      </c>
      <c r="F94">
        <v>68.4541340278371</v>
      </c>
      <c r="J94">
        <v>388.2217982689574</v>
      </c>
      <c r="M94">
        <v>110.56381492240098</v>
      </c>
      <c r="O94">
        <v>199.27464556462729</v>
      </c>
      <c r="Q94">
        <v>29210.609071477371</v>
      </c>
      <c r="U94">
        <v>107.94777774611163</v>
      </c>
    </row>
    <row r="95" spans="1:21" ht="16.25" customHeight="1">
      <c r="A95" s="3">
        <v>39356</v>
      </c>
      <c r="B95" s="3">
        <v>39356</v>
      </c>
      <c r="C95">
        <v>224.94264515948586</v>
      </c>
      <c r="D95">
        <v>88.477890795918825</v>
      </c>
      <c r="E95">
        <v>130.71155379761856</v>
      </c>
      <c r="F95">
        <v>69.299852061009915</v>
      </c>
      <c r="J95">
        <v>396.97730173563309</v>
      </c>
      <c r="M95">
        <v>111.73912836330121</v>
      </c>
      <c r="O95">
        <v>197.10075375683979</v>
      </c>
      <c r="Q95">
        <v>28567.869204626622</v>
      </c>
      <c r="U95">
        <v>107.15467974288934</v>
      </c>
    </row>
    <row r="96" spans="1:21" ht="16.25" customHeight="1">
      <c r="A96" s="3">
        <v>39387</v>
      </c>
      <c r="B96" s="3">
        <v>39387</v>
      </c>
      <c r="C96">
        <v>230.50608501292317</v>
      </c>
      <c r="D96">
        <v>90.527381954635672</v>
      </c>
      <c r="E96">
        <v>132.99833206433846</v>
      </c>
      <c r="F96">
        <v>70.209273745302781</v>
      </c>
      <c r="J96">
        <v>381.58308642015447</v>
      </c>
      <c r="M96">
        <v>112.30018901853813</v>
      </c>
      <c r="O96">
        <v>196.83191401905182</v>
      </c>
      <c r="Q96">
        <v>28984.390580072904</v>
      </c>
      <c r="U96">
        <v>107.03896315997802</v>
      </c>
    </row>
    <row r="97" spans="1:21" ht="16.25" customHeight="1">
      <c r="A97" s="3">
        <v>39417</v>
      </c>
      <c r="B97" s="3">
        <v>39417</v>
      </c>
      <c r="C97">
        <v>232.3220461364902</v>
      </c>
      <c r="D97">
        <v>91.189026312311427</v>
      </c>
      <c r="E97">
        <v>135.46980160060616</v>
      </c>
      <c r="F97">
        <v>79.353324409838237</v>
      </c>
      <c r="J97">
        <v>398.24213525060264</v>
      </c>
      <c r="M97">
        <v>112.75675501084839</v>
      </c>
      <c r="O97">
        <v>198.15281639428619</v>
      </c>
      <c r="Q97">
        <v>29905.644665353047</v>
      </c>
      <c r="U97">
        <v>106.3445547419937</v>
      </c>
    </row>
    <row r="98" spans="1:21" ht="16.25" customHeight="1">
      <c r="A98" s="3">
        <v>39448</v>
      </c>
      <c r="B98" s="3">
        <v>39448</v>
      </c>
      <c r="C98">
        <v>234.68465861435118</v>
      </c>
      <c r="D98">
        <v>96.711117249114196</v>
      </c>
      <c r="E98">
        <v>134.55627503572069</v>
      </c>
      <c r="F98">
        <v>75.210439534728664</v>
      </c>
      <c r="G98">
        <v>148.69892061458182</v>
      </c>
      <c r="J98">
        <v>393.32726232339172</v>
      </c>
      <c r="K98">
        <v>308.57316452044859</v>
      </c>
      <c r="M98">
        <v>110.47630516516823</v>
      </c>
      <c r="O98">
        <v>212.46557737985415</v>
      </c>
      <c r="P98">
        <v>118.30108879210806</v>
      </c>
      <c r="Q98">
        <v>31240.32290297357</v>
      </c>
      <c r="U98">
        <v>112.60688742933972</v>
      </c>
    </row>
    <row r="99" spans="1:21" ht="16.25" customHeight="1">
      <c r="A99" s="3">
        <v>39479</v>
      </c>
      <c r="B99" s="3">
        <v>39479</v>
      </c>
      <c r="C99">
        <v>241.93004345087834</v>
      </c>
      <c r="D99">
        <v>100.65460784915275</v>
      </c>
      <c r="E99">
        <v>138.0348445242266</v>
      </c>
      <c r="F99">
        <v>73.948019573579373</v>
      </c>
      <c r="G99">
        <v>148.85437873274117</v>
      </c>
      <c r="J99">
        <v>396.29529787215569</v>
      </c>
      <c r="K99">
        <v>308.86586940537643</v>
      </c>
      <c r="M99">
        <v>113.38819020338804</v>
      </c>
      <c r="O99">
        <v>214.10295109772332</v>
      </c>
      <c r="P99">
        <v>119.36996896324341</v>
      </c>
      <c r="Q99">
        <v>31428.368219068951</v>
      </c>
      <c r="U99">
        <v>112.56529300476019</v>
      </c>
    </row>
    <row r="100" spans="1:21" ht="16.25" customHeight="1">
      <c r="A100" s="3">
        <v>39508</v>
      </c>
      <c r="B100" s="3">
        <v>39508</v>
      </c>
      <c r="C100">
        <v>242.21039141965872</v>
      </c>
      <c r="D100">
        <v>101.0514457983806</v>
      </c>
      <c r="E100">
        <v>137.66303464561614</v>
      </c>
      <c r="F100">
        <v>70.984105127231544</v>
      </c>
      <c r="G100">
        <v>146.43163266834</v>
      </c>
      <c r="J100">
        <v>378.63484107379838</v>
      </c>
      <c r="K100">
        <v>312.68134576201442</v>
      </c>
      <c r="M100">
        <v>112.81402360976166</v>
      </c>
      <c r="O100">
        <v>208.64528342570532</v>
      </c>
      <c r="P100">
        <v>120.30828737089631</v>
      </c>
      <c r="Q100">
        <v>31010.630704379502</v>
      </c>
      <c r="U100">
        <v>112.19695928341679</v>
      </c>
    </row>
    <row r="101" spans="1:21" ht="16.25" customHeight="1">
      <c r="A101" s="3">
        <v>39539</v>
      </c>
      <c r="B101" s="3">
        <v>39539</v>
      </c>
      <c r="C101">
        <v>240.73243955503841</v>
      </c>
      <c r="D101">
        <v>99.377475577330742</v>
      </c>
      <c r="E101">
        <v>137.73048416097305</v>
      </c>
      <c r="F101">
        <v>72.48415332416252</v>
      </c>
      <c r="G101">
        <v>146.34531009606479</v>
      </c>
      <c r="J101">
        <v>393.4865112426541</v>
      </c>
      <c r="K101">
        <v>312.96487342619969</v>
      </c>
      <c r="M101">
        <v>113.34057149757776</v>
      </c>
      <c r="O101">
        <v>204.05848075716531</v>
      </c>
      <c r="P101">
        <v>120.84846207853647</v>
      </c>
      <c r="Q101">
        <v>31499.374100825873</v>
      </c>
      <c r="U101">
        <v>112.12958081313957</v>
      </c>
    </row>
    <row r="102" spans="1:21" ht="16.25" customHeight="1">
      <c r="A102" s="3">
        <v>39569</v>
      </c>
      <c r="B102" s="3">
        <v>39569</v>
      </c>
      <c r="C102">
        <v>242.60331831601957</v>
      </c>
      <c r="D102">
        <v>101.96190361160305</v>
      </c>
      <c r="E102">
        <v>136.84282030702815</v>
      </c>
      <c r="F102">
        <v>73.734436738950052</v>
      </c>
      <c r="G102">
        <v>147.6689165399722</v>
      </c>
      <c r="J102">
        <v>383.44360108084709</v>
      </c>
      <c r="K102">
        <v>314.37452731141627</v>
      </c>
      <c r="M102">
        <v>114.70347666110737</v>
      </c>
      <c r="O102">
        <v>215.69472937100673</v>
      </c>
      <c r="P102">
        <v>121.48167228733972</v>
      </c>
      <c r="Q102">
        <v>32040.815762734997</v>
      </c>
      <c r="U102">
        <v>112.28586733328675</v>
      </c>
    </row>
    <row r="103" spans="1:21" ht="16.25" customHeight="1">
      <c r="A103" s="3">
        <v>39600</v>
      </c>
      <c r="B103" s="3">
        <v>39600</v>
      </c>
      <c r="C103">
        <v>239.32364592181128</v>
      </c>
      <c r="D103">
        <v>100.81274769891326</v>
      </c>
      <c r="E103">
        <v>135.73781242422444</v>
      </c>
      <c r="F103">
        <v>71.26909704419964</v>
      </c>
      <c r="G103">
        <v>144.94012330097655</v>
      </c>
      <c r="J103">
        <v>390.77608715865017</v>
      </c>
      <c r="K103">
        <v>316.18208413765132</v>
      </c>
      <c r="M103">
        <v>114.5347468329642</v>
      </c>
      <c r="O103">
        <v>215.96532957153565</v>
      </c>
      <c r="P103">
        <v>120.74250048078584</v>
      </c>
      <c r="Q103">
        <v>31169.687439632089</v>
      </c>
      <c r="U103">
        <v>112.25013034169052</v>
      </c>
    </row>
    <row r="104" spans="1:21" ht="16.25" customHeight="1">
      <c r="A104" s="3">
        <v>39630</v>
      </c>
      <c r="B104" s="3">
        <v>39630</v>
      </c>
      <c r="C104">
        <v>234.78016305882187</v>
      </c>
      <c r="D104">
        <v>96.397271702096248</v>
      </c>
      <c r="E104">
        <v>137.40390160759932</v>
      </c>
      <c r="F104">
        <v>72.463404735315336</v>
      </c>
      <c r="G104">
        <v>142.26295196440603</v>
      </c>
      <c r="J104">
        <v>370.01026497894009</v>
      </c>
      <c r="K104">
        <v>317.23639574189366</v>
      </c>
      <c r="M104">
        <v>116.44632865237851</v>
      </c>
      <c r="O104">
        <v>218.91741917747507</v>
      </c>
      <c r="P104">
        <v>121.97409613665306</v>
      </c>
      <c r="Q104">
        <v>31106.497101319754</v>
      </c>
      <c r="U104">
        <v>111.69600138284075</v>
      </c>
    </row>
    <row r="105" spans="1:21" ht="16.25" customHeight="1">
      <c r="A105" s="3">
        <v>39661</v>
      </c>
      <c r="B105" s="3">
        <v>39661</v>
      </c>
      <c r="C105">
        <v>236.03170514925728</v>
      </c>
      <c r="D105">
        <v>98.057711826436744</v>
      </c>
      <c r="E105">
        <v>136.3263617875794</v>
      </c>
      <c r="F105">
        <v>71.103299615736248</v>
      </c>
      <c r="G105">
        <v>141.43717895423998</v>
      </c>
      <c r="J105">
        <v>371.49036915591137</v>
      </c>
      <c r="K105">
        <v>443.18444710029951</v>
      </c>
      <c r="M105">
        <v>116.06578214326083</v>
      </c>
      <c r="O105">
        <v>223.41828524107854</v>
      </c>
      <c r="P105">
        <v>123.19599317627257</v>
      </c>
      <c r="Q105">
        <v>30993.277440640326</v>
      </c>
      <c r="U105">
        <v>111.59910289323902</v>
      </c>
    </row>
    <row r="106" spans="1:21" ht="16.25" customHeight="1">
      <c r="A106" s="3">
        <v>39692</v>
      </c>
      <c r="B106" s="3">
        <v>39692</v>
      </c>
      <c r="C106">
        <v>236.93262032634576</v>
      </c>
      <c r="D106">
        <v>99.97690686004799</v>
      </c>
      <c r="E106">
        <v>135.68158379988066</v>
      </c>
      <c r="F106">
        <v>74.199029477654804</v>
      </c>
      <c r="G106">
        <v>140.56698384498242</v>
      </c>
      <c r="J106">
        <v>378.22605623957821</v>
      </c>
      <c r="K106">
        <v>315.84496089778281</v>
      </c>
      <c r="M106">
        <v>115.88403884219741</v>
      </c>
      <c r="O106">
        <v>229.86627049430768</v>
      </c>
      <c r="P106">
        <v>122.78068573917723</v>
      </c>
      <c r="Q106">
        <v>30447.757709850179</v>
      </c>
      <c r="U106">
        <v>112.19842276096109</v>
      </c>
    </row>
    <row r="107" spans="1:21" ht="16.25" customHeight="1">
      <c r="A107" s="3">
        <v>39722</v>
      </c>
      <c r="B107" s="3">
        <v>39722</v>
      </c>
      <c r="C107">
        <v>235.54031168192978</v>
      </c>
      <c r="D107">
        <v>99.269769881113859</v>
      </c>
      <c r="E107">
        <v>134.1484271117566</v>
      </c>
      <c r="F107">
        <v>73.346256887719207</v>
      </c>
      <c r="G107">
        <v>137.67456097771651</v>
      </c>
      <c r="J107">
        <v>373.34168613781912</v>
      </c>
      <c r="K107">
        <v>317.44139326471674</v>
      </c>
      <c r="M107">
        <v>114.0172134050142</v>
      </c>
      <c r="O107">
        <v>226.15652442733537</v>
      </c>
      <c r="P107">
        <v>111.89219193953041</v>
      </c>
      <c r="Q107">
        <v>30261.068386576284</v>
      </c>
      <c r="U107">
        <v>110.89653058465066</v>
      </c>
    </row>
    <row r="108" spans="1:21" ht="16.25" customHeight="1">
      <c r="A108" s="3">
        <v>39753</v>
      </c>
      <c r="B108" s="3">
        <v>39753</v>
      </c>
      <c r="C108">
        <v>230.0859645402995</v>
      </c>
      <c r="D108">
        <v>96.768128620038084</v>
      </c>
      <c r="E108">
        <v>132.94905149839332</v>
      </c>
      <c r="F108">
        <v>69.989107924978526</v>
      </c>
      <c r="G108">
        <v>135.50255631167533</v>
      </c>
      <c r="J108">
        <v>388.73917462040436</v>
      </c>
      <c r="K108">
        <v>243.35854411637746</v>
      </c>
      <c r="M108">
        <v>115.47575825285085</v>
      </c>
      <c r="O108">
        <v>218.0832539172105</v>
      </c>
      <c r="P108">
        <v>111.94093458967086</v>
      </c>
      <c r="Q108">
        <v>29849.961201206166</v>
      </c>
      <c r="U108">
        <v>110.59276723157376</v>
      </c>
    </row>
    <row r="109" spans="1:21" ht="16.25" customHeight="1">
      <c r="A109" s="3">
        <v>39783</v>
      </c>
      <c r="B109" s="3">
        <v>39783</v>
      </c>
      <c r="C109">
        <v>229.36649307587206</v>
      </c>
      <c r="D109">
        <v>98.836668004409219</v>
      </c>
      <c r="E109">
        <v>131.81146032009727</v>
      </c>
      <c r="F109">
        <v>71.240427065673245</v>
      </c>
      <c r="G109">
        <v>135.27475356587266</v>
      </c>
      <c r="J109">
        <v>374.49996752370868</v>
      </c>
      <c r="K109">
        <v>196.05894190024947</v>
      </c>
      <c r="M109">
        <v>116.5933464207006</v>
      </c>
      <c r="O109">
        <v>222.84584828968386</v>
      </c>
      <c r="P109">
        <v>112.21402152086965</v>
      </c>
      <c r="Q109">
        <v>28144.536605664027</v>
      </c>
      <c r="U109">
        <v>110.26954079553335</v>
      </c>
    </row>
    <row r="110" spans="1:21" ht="16.25" customHeight="1">
      <c r="A110" s="3">
        <v>39814</v>
      </c>
      <c r="B110" s="3">
        <v>39814</v>
      </c>
      <c r="C110">
        <v>234.02690947352374</v>
      </c>
      <c r="D110">
        <v>102.13848558670934</v>
      </c>
      <c r="E110">
        <v>119.85378844299071</v>
      </c>
      <c r="F110">
        <v>71.798905830597093</v>
      </c>
      <c r="G110">
        <v>112.64587460039164</v>
      </c>
      <c r="H110">
        <v>6100.3822870724398</v>
      </c>
      <c r="I110">
        <v>3317.1108481262791</v>
      </c>
      <c r="J110">
        <v>393.1606583983604</v>
      </c>
      <c r="K110">
        <v>321.27180354864328</v>
      </c>
      <c r="M110">
        <v>108.31024859187508</v>
      </c>
      <c r="O110">
        <v>213.18133322295387</v>
      </c>
      <c r="P110">
        <v>114.0358869399919</v>
      </c>
      <c r="Q110">
        <v>28275.662631094565</v>
      </c>
      <c r="U110">
        <v>110.12983656654315</v>
      </c>
    </row>
    <row r="111" spans="1:21" ht="16.25" customHeight="1">
      <c r="A111" s="3">
        <v>39845</v>
      </c>
      <c r="B111" s="3">
        <v>39845</v>
      </c>
      <c r="C111">
        <v>232.18506220775859</v>
      </c>
      <c r="D111">
        <v>102.32857231771128</v>
      </c>
      <c r="E111">
        <v>123.25083916330536</v>
      </c>
      <c r="F111">
        <v>71.938639947834744</v>
      </c>
      <c r="G111">
        <v>110.85827176554062</v>
      </c>
      <c r="H111">
        <v>5932.7450250431057</v>
      </c>
      <c r="I111">
        <v>3216.1511533701701</v>
      </c>
      <c r="J111">
        <v>391.28772363782957</v>
      </c>
      <c r="K111">
        <v>322.17194725545113</v>
      </c>
      <c r="M111">
        <v>107.3779518002648</v>
      </c>
      <c r="O111">
        <v>219.99574019592652</v>
      </c>
      <c r="P111">
        <v>114.68576849518428</v>
      </c>
      <c r="Q111">
        <v>28924.89638951837</v>
      </c>
      <c r="U111">
        <v>109.82051615100485</v>
      </c>
    </row>
    <row r="112" spans="1:21" ht="16.25" customHeight="1">
      <c r="A112" s="3">
        <v>39873</v>
      </c>
      <c r="B112" s="3">
        <v>39873</v>
      </c>
      <c r="C112">
        <v>227.15591741574022</v>
      </c>
      <c r="D112">
        <v>100.11319157460709</v>
      </c>
      <c r="E112">
        <v>116.57969381442359</v>
      </c>
      <c r="F112">
        <v>70.819323036197687</v>
      </c>
      <c r="G112">
        <v>112.42184637663898</v>
      </c>
      <c r="H112">
        <v>5982.7064124743774</v>
      </c>
      <c r="I112">
        <v>3274.5575826639065</v>
      </c>
      <c r="J112">
        <v>385.37361622700371</v>
      </c>
      <c r="K112">
        <v>321.40691688682671</v>
      </c>
      <c r="M112">
        <v>108.38668004653735</v>
      </c>
      <c r="O112">
        <v>228.85936944557858</v>
      </c>
      <c r="P112">
        <v>114.66276758206264</v>
      </c>
      <c r="Q112">
        <v>29133.980860657459</v>
      </c>
      <c r="U112">
        <v>108.79179062786925</v>
      </c>
    </row>
    <row r="113" spans="1:21" ht="16.25" customHeight="1">
      <c r="A113" s="3">
        <v>39904</v>
      </c>
      <c r="B113" s="3">
        <v>39904</v>
      </c>
      <c r="C113">
        <v>234.58545892620512</v>
      </c>
      <c r="D113">
        <v>103.82598972316281</v>
      </c>
      <c r="E113">
        <v>121.60890662576466</v>
      </c>
      <c r="F113">
        <v>70.815967338436778</v>
      </c>
      <c r="G113">
        <v>111.65748639138502</v>
      </c>
      <c r="H113">
        <v>6277.6150992897719</v>
      </c>
      <c r="I113">
        <v>3269.7812572116936</v>
      </c>
      <c r="J113">
        <v>383.92441337179434</v>
      </c>
      <c r="K113">
        <v>323.14182425087762</v>
      </c>
      <c r="M113">
        <v>107.9840253517154</v>
      </c>
      <c r="O113">
        <v>241.29004672590233</v>
      </c>
      <c r="P113">
        <v>115.7495557175455</v>
      </c>
      <c r="Q113">
        <v>28455.346997173991</v>
      </c>
      <c r="U113">
        <v>109.14145842569108</v>
      </c>
    </row>
    <row r="114" spans="1:21" ht="16.25" customHeight="1">
      <c r="A114" s="3">
        <v>39934</v>
      </c>
      <c r="B114" s="3">
        <v>39934</v>
      </c>
      <c r="C114">
        <v>238.44822667694311</v>
      </c>
      <c r="D114">
        <v>104.91864038018204</v>
      </c>
      <c r="E114">
        <v>126.2460636886082</v>
      </c>
      <c r="F114">
        <v>71.611865485256217</v>
      </c>
      <c r="G114">
        <v>109.79388012458921</v>
      </c>
      <c r="H114">
        <v>6253.0493895220125</v>
      </c>
      <c r="I114">
        <v>3259.9503115598068</v>
      </c>
      <c r="J114">
        <v>390.83685500498399</v>
      </c>
      <c r="K114">
        <v>325.43061407842708</v>
      </c>
      <c r="M114">
        <v>107.54152263701225</v>
      </c>
      <c r="O114">
        <v>229.14531448809595</v>
      </c>
      <c r="P114">
        <v>116.30348156073732</v>
      </c>
      <c r="Q114">
        <v>27362.663242369512</v>
      </c>
      <c r="U114">
        <v>108.71939041198814</v>
      </c>
    </row>
    <row r="115" spans="1:21" ht="16.25" customHeight="1">
      <c r="A115" s="3">
        <v>39965</v>
      </c>
      <c r="B115" s="3">
        <v>39965</v>
      </c>
      <c r="C115">
        <v>251.36428930181327</v>
      </c>
      <c r="D115">
        <v>110.60695146175642</v>
      </c>
      <c r="E115">
        <v>131.53993523114949</v>
      </c>
      <c r="F115">
        <v>69.684868415076764</v>
      </c>
      <c r="G115">
        <v>112.68862359442986</v>
      </c>
      <c r="H115">
        <v>6517.8145156642559</v>
      </c>
      <c r="I115">
        <v>3364.1980613391538</v>
      </c>
      <c r="J115">
        <v>392.68782572205492</v>
      </c>
      <c r="K115">
        <v>326.97733626214495</v>
      </c>
      <c r="M115">
        <v>108.11614832800916</v>
      </c>
      <c r="O115">
        <v>229.64189198022154</v>
      </c>
      <c r="P115">
        <v>118.9446471142714</v>
      </c>
      <c r="Q115">
        <v>25588.021565708033</v>
      </c>
      <c r="U115">
        <v>108.33649243554099</v>
      </c>
    </row>
    <row r="116" spans="1:21" ht="16.25" customHeight="1">
      <c r="A116" s="3">
        <v>39995</v>
      </c>
      <c r="B116" s="3">
        <v>39995</v>
      </c>
      <c r="C116">
        <v>247.0491601113921</v>
      </c>
      <c r="D116">
        <v>108.60256666130724</v>
      </c>
      <c r="E116">
        <v>131.66303238105945</v>
      </c>
      <c r="F116">
        <v>68.04142241382263</v>
      </c>
      <c r="G116">
        <v>115.69963809330679</v>
      </c>
      <c r="H116">
        <v>6596.0248939952726</v>
      </c>
      <c r="I116">
        <v>3245.8968305066355</v>
      </c>
      <c r="J116">
        <v>384.62161174053062</v>
      </c>
      <c r="K116">
        <v>335.29293627051084</v>
      </c>
      <c r="M116">
        <v>108.62080396124651</v>
      </c>
      <c r="O116">
        <v>225.91430278567969</v>
      </c>
      <c r="P116">
        <v>118.77635808150499</v>
      </c>
      <c r="Q116">
        <v>27567.092567765743</v>
      </c>
      <c r="U116">
        <v>108.51497703920275</v>
      </c>
    </row>
    <row r="117" spans="1:21" ht="16.25" customHeight="1">
      <c r="A117" s="3">
        <v>40026</v>
      </c>
      <c r="B117" s="3">
        <v>40026</v>
      </c>
      <c r="C117">
        <v>241.82450951073369</v>
      </c>
      <c r="D117">
        <v>105.39401151687478</v>
      </c>
      <c r="E117">
        <v>133.06975844011373</v>
      </c>
      <c r="F117">
        <v>70.392194126548873</v>
      </c>
      <c r="G117">
        <v>114.54397898036132</v>
      </c>
      <c r="H117">
        <v>6446.9308560384352</v>
      </c>
      <c r="I117">
        <v>3279.4715247917975</v>
      </c>
      <c r="J117">
        <v>394.22153112266898</v>
      </c>
      <c r="K117">
        <v>336.54288413876299</v>
      </c>
      <c r="M117">
        <v>109.7715755207257</v>
      </c>
      <c r="O117">
        <v>224.97618170591198</v>
      </c>
      <c r="P117">
        <v>119.52902131688359</v>
      </c>
      <c r="Q117">
        <v>27724.790944148808</v>
      </c>
      <c r="U117">
        <v>107.76731842557049</v>
      </c>
    </row>
    <row r="118" spans="1:21" ht="16.25" customHeight="1">
      <c r="A118" s="3">
        <v>40057</v>
      </c>
      <c r="B118" s="3">
        <v>40057</v>
      </c>
      <c r="C118">
        <v>251.7441285989085</v>
      </c>
      <c r="D118">
        <v>110.97013525132517</v>
      </c>
      <c r="E118">
        <v>136.10655101278539</v>
      </c>
      <c r="F118">
        <v>70.192327419856554</v>
      </c>
      <c r="G118">
        <v>113.84655161465876</v>
      </c>
      <c r="H118">
        <v>6545.6004159756185</v>
      </c>
      <c r="I118">
        <v>3298.1535262731272</v>
      </c>
      <c r="J118">
        <v>386.01159785139441</v>
      </c>
      <c r="K118">
        <v>343.44680680275155</v>
      </c>
      <c r="M118">
        <v>112.44043898428563</v>
      </c>
      <c r="O118">
        <v>218.49253149868593</v>
      </c>
      <c r="P118">
        <v>122.33665253492372</v>
      </c>
      <c r="Q118">
        <v>27995.998967467851</v>
      </c>
      <c r="U118">
        <v>107.46448271849295</v>
      </c>
    </row>
    <row r="119" spans="1:21" ht="16.25" customHeight="1">
      <c r="A119" s="3">
        <v>40087</v>
      </c>
      <c r="B119" s="3">
        <v>40087</v>
      </c>
      <c r="C119">
        <v>250.51211723151954</v>
      </c>
      <c r="D119">
        <v>107.94822599236058</v>
      </c>
      <c r="E119">
        <v>137.90025130153882</v>
      </c>
      <c r="F119">
        <v>71.211138824776498</v>
      </c>
      <c r="G119">
        <v>117.61517093564404</v>
      </c>
      <c r="H119">
        <v>6716.1985788103648</v>
      </c>
      <c r="I119">
        <v>3294.0256618058588</v>
      </c>
      <c r="J119">
        <v>410.78729656565395</v>
      </c>
      <c r="K119">
        <v>443.20551293798854</v>
      </c>
      <c r="M119">
        <v>114.85978975282318</v>
      </c>
      <c r="O119">
        <v>225.0466384013489</v>
      </c>
      <c r="P119">
        <v>122.50012691822924</v>
      </c>
      <c r="Q119">
        <v>28527.441098260628</v>
      </c>
      <c r="U119">
        <v>108.55190424543041</v>
      </c>
    </row>
    <row r="120" spans="1:21" ht="16.25" customHeight="1">
      <c r="A120" s="3">
        <v>40118</v>
      </c>
      <c r="B120" s="3">
        <v>40118</v>
      </c>
      <c r="C120">
        <v>251.30732988635401</v>
      </c>
      <c r="D120">
        <v>108.04761055124229</v>
      </c>
      <c r="E120">
        <v>138.54345527151287</v>
      </c>
      <c r="F120">
        <v>76.047931057619564</v>
      </c>
      <c r="G120">
        <v>118.36957755537124</v>
      </c>
      <c r="H120">
        <v>6508.5731027840584</v>
      </c>
      <c r="I120">
        <v>3359.795134174291</v>
      </c>
      <c r="J120">
        <v>392.8688060252037</v>
      </c>
      <c r="K120">
        <v>349.91316890389254</v>
      </c>
      <c r="M120">
        <v>114.39600122603188</v>
      </c>
      <c r="O120">
        <v>225.88644277314467</v>
      </c>
      <c r="P120">
        <v>123.0489903581735</v>
      </c>
      <c r="Q120">
        <v>28223.667271853348</v>
      </c>
      <c r="U120">
        <v>108.80546233340156</v>
      </c>
    </row>
    <row r="121" spans="1:21" ht="16.25" customHeight="1">
      <c r="A121" s="3">
        <v>40148</v>
      </c>
      <c r="B121" s="3">
        <v>40148</v>
      </c>
      <c r="C121">
        <v>259.6851333377702</v>
      </c>
      <c r="D121">
        <v>106.95464048921946</v>
      </c>
      <c r="E121">
        <v>163.67432350104346</v>
      </c>
      <c r="F121">
        <v>76.552224039303312</v>
      </c>
      <c r="G121">
        <v>118.92100528676202</v>
      </c>
      <c r="H121">
        <v>6498.5698842892461</v>
      </c>
      <c r="I121">
        <v>3200.565079679001</v>
      </c>
      <c r="J121">
        <v>399.7643877895851</v>
      </c>
      <c r="K121">
        <v>338.32755970498494</v>
      </c>
      <c r="M121">
        <v>115.11354466524921</v>
      </c>
      <c r="O121">
        <v>223.83774445030267</v>
      </c>
      <c r="P121">
        <v>124.54312117096123</v>
      </c>
      <c r="Q121">
        <v>28567.008384933499</v>
      </c>
      <c r="U121">
        <v>108.94177677866887</v>
      </c>
    </row>
    <row r="122" spans="1:21" ht="16.25" customHeight="1">
      <c r="A122" s="3">
        <v>40179</v>
      </c>
      <c r="B122" s="3">
        <v>40179</v>
      </c>
      <c r="C122">
        <v>253.32342895965772</v>
      </c>
      <c r="D122">
        <v>109.06847177115768</v>
      </c>
      <c r="E122">
        <v>155.98488402711018</v>
      </c>
      <c r="F122">
        <v>71.05939804849487</v>
      </c>
      <c r="G122">
        <v>121.09347707704789</v>
      </c>
      <c r="H122">
        <v>6407.70727880713</v>
      </c>
      <c r="I122">
        <v>3313.9926643770682</v>
      </c>
      <c r="J122">
        <v>385.61391149017345</v>
      </c>
      <c r="K122">
        <v>331.36989563299852</v>
      </c>
      <c r="M122">
        <v>117.34529807340212</v>
      </c>
      <c r="O122">
        <v>222.77852470092952</v>
      </c>
      <c r="P122">
        <v>124.04322390821297</v>
      </c>
      <c r="Q122">
        <v>28663.991716081309</v>
      </c>
      <c r="U122">
        <v>108.7476401261888</v>
      </c>
    </row>
    <row r="123" spans="1:21" ht="16.25" customHeight="1">
      <c r="A123" s="3">
        <v>40210</v>
      </c>
      <c r="B123" s="3">
        <v>40210</v>
      </c>
      <c r="C123">
        <v>257.55006222481506</v>
      </c>
      <c r="D123">
        <v>110.37112844831073</v>
      </c>
      <c r="E123">
        <v>152.40441435977988</v>
      </c>
      <c r="F123">
        <v>71.400443394736229</v>
      </c>
      <c r="G123">
        <v>121.29620873955052</v>
      </c>
      <c r="H123">
        <v>6541.8714273790547</v>
      </c>
      <c r="I123">
        <v>3215.0436209721834</v>
      </c>
      <c r="J123">
        <v>387.58381995686892</v>
      </c>
      <c r="K123">
        <v>330.17188313937879</v>
      </c>
      <c r="M123">
        <v>118.23428733148928</v>
      </c>
      <c r="O123">
        <v>180.86930405739645</v>
      </c>
      <c r="P123">
        <v>124.77582283566719</v>
      </c>
      <c r="Q123">
        <v>30066.98651788614</v>
      </c>
      <c r="U123">
        <v>109.02220569122153</v>
      </c>
    </row>
    <row r="124" spans="1:21" ht="16.25" customHeight="1">
      <c r="A124" s="3">
        <v>40238</v>
      </c>
      <c r="B124" s="3">
        <v>40238</v>
      </c>
      <c r="C124">
        <v>261.38516752853758</v>
      </c>
      <c r="D124">
        <v>110.55012912349154</v>
      </c>
      <c r="E124">
        <v>150.21745954951254</v>
      </c>
      <c r="F124">
        <v>72.631993417716544</v>
      </c>
      <c r="G124">
        <v>121.23243871852621</v>
      </c>
      <c r="H124">
        <v>6661.5709789091516</v>
      </c>
      <c r="I124">
        <v>3307.0419848513461</v>
      </c>
      <c r="J124">
        <v>400.30369038022195</v>
      </c>
      <c r="K124">
        <v>329.07433032163249</v>
      </c>
      <c r="M124">
        <v>118.06463482485363</v>
      </c>
      <c r="O124">
        <v>221.47241999775713</v>
      </c>
      <c r="P124">
        <v>125.81281600434029</v>
      </c>
      <c r="Q124">
        <v>30045.489236677851</v>
      </c>
      <c r="U124">
        <v>109.38268557180999</v>
      </c>
    </row>
    <row r="125" spans="1:21" ht="16.25" customHeight="1">
      <c r="A125" s="3">
        <v>40269</v>
      </c>
      <c r="B125" s="3">
        <v>40269</v>
      </c>
      <c r="C125">
        <v>261.88540094613211</v>
      </c>
      <c r="D125">
        <v>110.15660195109139</v>
      </c>
      <c r="E125">
        <v>149.95173443513755</v>
      </c>
      <c r="F125">
        <v>71.950447669182111</v>
      </c>
      <c r="G125">
        <v>119.3395154151726</v>
      </c>
      <c r="H125">
        <v>6691.9321430037053</v>
      </c>
      <c r="I125">
        <v>3369.5508233080968</v>
      </c>
      <c r="J125">
        <v>394.77011893832929</v>
      </c>
      <c r="K125">
        <v>331.61463159557206</v>
      </c>
      <c r="M125">
        <v>120.44618884669227</v>
      </c>
      <c r="O125">
        <v>222.97444494032209</v>
      </c>
      <c r="P125">
        <v>126.37324753315549</v>
      </c>
      <c r="Q125">
        <v>31363.62829933154</v>
      </c>
      <c r="U125">
        <v>115.75555138711805</v>
      </c>
    </row>
    <row r="126" spans="1:21" ht="16.25" customHeight="1">
      <c r="A126" s="3">
        <v>40299</v>
      </c>
      <c r="B126" s="3">
        <v>40299</v>
      </c>
      <c r="C126">
        <v>264.45752438609424</v>
      </c>
      <c r="D126">
        <v>112.82799992964073</v>
      </c>
      <c r="E126">
        <v>148.32101417054798</v>
      </c>
      <c r="F126">
        <v>71.807552258299268</v>
      </c>
      <c r="G126">
        <v>124.23564167729975</v>
      </c>
      <c r="H126">
        <v>6530.5210719487814</v>
      </c>
      <c r="I126">
        <v>3229.5388693595587</v>
      </c>
      <c r="J126">
        <v>395.50806937931031</v>
      </c>
      <c r="K126">
        <v>331.94314287473844</v>
      </c>
      <c r="M126">
        <v>122.72344928466677</v>
      </c>
      <c r="O126">
        <v>229.44420782174814</v>
      </c>
      <c r="P126">
        <v>127.80812164280742</v>
      </c>
      <c r="Q126">
        <v>31908.496404478588</v>
      </c>
      <c r="U126">
        <v>115.50675233994843</v>
      </c>
    </row>
    <row r="127" spans="1:21" ht="16.25" customHeight="1">
      <c r="A127" s="3">
        <v>40330</v>
      </c>
      <c r="B127" s="3">
        <v>40330</v>
      </c>
      <c r="C127">
        <v>263.02791312622867</v>
      </c>
      <c r="D127">
        <v>111.33371518280218</v>
      </c>
      <c r="E127">
        <v>148.40570481798537</v>
      </c>
      <c r="F127">
        <v>74.398588042097316</v>
      </c>
      <c r="G127">
        <v>143.15098478773859</v>
      </c>
      <c r="H127">
        <v>6501.4664114228526</v>
      </c>
      <c r="I127">
        <v>3296.282637259148</v>
      </c>
      <c r="J127">
        <v>387.89932426219184</v>
      </c>
      <c r="K127">
        <v>333.98616163424686</v>
      </c>
      <c r="M127">
        <v>123.34647715671562</v>
      </c>
      <c r="O127">
        <v>225.98465122483285</v>
      </c>
      <c r="P127">
        <v>127.75520616115307</v>
      </c>
      <c r="Q127">
        <v>32178.847229767933</v>
      </c>
      <c r="U127">
        <v>116.5248523065159</v>
      </c>
    </row>
    <row r="128" spans="1:21" ht="16.25" customHeight="1">
      <c r="A128" s="3">
        <v>40360</v>
      </c>
      <c r="B128" s="3">
        <v>40360</v>
      </c>
      <c r="C128">
        <v>272.74582525091637</v>
      </c>
      <c r="D128">
        <v>113.52763808721177</v>
      </c>
      <c r="E128">
        <v>150.07239670953456</v>
      </c>
      <c r="F128">
        <v>74.644703488191084</v>
      </c>
      <c r="G128">
        <v>120.44279221989359</v>
      </c>
      <c r="H128">
        <v>6599.1967990076328</v>
      </c>
      <c r="I128">
        <v>3214.2279228001503</v>
      </c>
      <c r="J128">
        <v>405.81542864453684</v>
      </c>
      <c r="K128">
        <v>331.34284832216764</v>
      </c>
      <c r="M128">
        <v>123.69864109171674</v>
      </c>
      <c r="O128">
        <v>227.50469841368937</v>
      </c>
      <c r="P128">
        <v>129.52329823253098</v>
      </c>
      <c r="Q128">
        <v>30855.282922372306</v>
      </c>
      <c r="U128">
        <v>116.97061732448175</v>
      </c>
    </row>
    <row r="129" spans="1:21" ht="16.25" customHeight="1">
      <c r="A129" s="3">
        <v>40391</v>
      </c>
      <c r="B129" s="3">
        <v>40391</v>
      </c>
      <c r="C129">
        <v>274.31234882525928</v>
      </c>
      <c r="D129">
        <v>116.84637889833601</v>
      </c>
      <c r="E129">
        <v>152.11022942654608</v>
      </c>
      <c r="F129">
        <v>73.753697219104296</v>
      </c>
      <c r="G129">
        <v>122.41174814545298</v>
      </c>
      <c r="H129">
        <v>7102.7739297227599</v>
      </c>
      <c r="I129">
        <v>3319.651363326358</v>
      </c>
      <c r="J129">
        <v>388.63683351577822</v>
      </c>
      <c r="K129">
        <v>336.54181253854961</v>
      </c>
      <c r="M129">
        <v>124.40795532364476</v>
      </c>
      <c r="O129">
        <v>222.21356982512251</v>
      </c>
      <c r="P129">
        <v>129.43590604396172</v>
      </c>
      <c r="Q129">
        <v>32023.792464720649</v>
      </c>
      <c r="U129">
        <v>117.25633404160666</v>
      </c>
    </row>
    <row r="130" spans="1:21" ht="16.25" customHeight="1">
      <c r="A130" s="3">
        <v>40422</v>
      </c>
      <c r="B130" s="3">
        <v>40422</v>
      </c>
      <c r="C130">
        <v>269.08616807244914</v>
      </c>
      <c r="D130">
        <v>113.13816820716202</v>
      </c>
      <c r="E130">
        <v>152.05726249796726</v>
      </c>
      <c r="F130">
        <v>73.420748893100694</v>
      </c>
      <c r="G130">
        <v>121.16739688910205</v>
      </c>
      <c r="H130">
        <v>6297.1647916931606</v>
      </c>
      <c r="I130">
        <v>3261.2336222988265</v>
      </c>
      <c r="J130">
        <v>394.76667692223549</v>
      </c>
      <c r="K130">
        <v>295.80334746056457</v>
      </c>
      <c r="M130">
        <v>126.51614580667936</v>
      </c>
      <c r="O130">
        <v>222.93375158307742</v>
      </c>
      <c r="P130">
        <v>128.3974714680995</v>
      </c>
      <c r="Q130">
        <v>32729.123233900085</v>
      </c>
      <c r="U130">
        <v>117.65911782647503</v>
      </c>
    </row>
    <row r="131" spans="1:21" ht="16.25" customHeight="1">
      <c r="A131" s="3">
        <v>40452</v>
      </c>
      <c r="B131" s="3">
        <v>40452</v>
      </c>
      <c r="C131">
        <v>274.1269278552063</v>
      </c>
      <c r="D131">
        <v>118.25847842529798</v>
      </c>
      <c r="E131">
        <v>152.40498695521902</v>
      </c>
      <c r="F131">
        <v>75.328031880304053</v>
      </c>
      <c r="G131">
        <v>119.31580715091746</v>
      </c>
      <c r="H131">
        <v>6717.5268998784704</v>
      </c>
      <c r="I131">
        <v>3290.1269223103413</v>
      </c>
      <c r="J131">
        <v>385.92066165802902</v>
      </c>
      <c r="K131">
        <v>338.05798813291574</v>
      </c>
      <c r="M131">
        <v>126.76858871671502</v>
      </c>
      <c r="O131">
        <v>228.48034409227876</v>
      </c>
      <c r="P131">
        <v>129.98797253639262</v>
      </c>
      <c r="Q131">
        <v>33080.038145381091</v>
      </c>
      <c r="U131">
        <v>117.44793673379398</v>
      </c>
    </row>
    <row r="132" spans="1:21" ht="16.25" customHeight="1">
      <c r="A132" s="3">
        <v>40483</v>
      </c>
      <c r="B132" s="3">
        <v>40483</v>
      </c>
      <c r="C132">
        <v>274.657961794176</v>
      </c>
      <c r="D132">
        <v>118.22979712044754</v>
      </c>
      <c r="E132">
        <v>154.3726305161708</v>
      </c>
      <c r="F132">
        <v>70.739234728884696</v>
      </c>
      <c r="G132">
        <v>120.66710159539417</v>
      </c>
      <c r="H132">
        <v>6651.7877859175605</v>
      </c>
      <c r="I132">
        <v>3403.3961217622173</v>
      </c>
      <c r="J132">
        <v>391.18921824150914</v>
      </c>
      <c r="K132">
        <v>246.39306956670023</v>
      </c>
      <c r="M132">
        <v>128.99837124212704</v>
      </c>
      <c r="O132">
        <v>226.97712679423296</v>
      </c>
      <c r="P132">
        <v>130.16119247417313</v>
      </c>
      <c r="Q132">
        <v>33420.767568346739</v>
      </c>
      <c r="U132">
        <v>117.95946702929437</v>
      </c>
    </row>
    <row r="133" spans="1:21" ht="16.25" customHeight="1">
      <c r="A133" s="3">
        <v>40513</v>
      </c>
      <c r="B133" s="3">
        <v>40513</v>
      </c>
      <c r="C133">
        <v>271.59385085175086</v>
      </c>
      <c r="D133">
        <v>118.27056304122719</v>
      </c>
      <c r="E133">
        <v>155.43802323886769</v>
      </c>
      <c r="F133">
        <v>71.101479458808015</v>
      </c>
      <c r="G133">
        <v>117.95429989897576</v>
      </c>
      <c r="H133">
        <v>6930.5618242037926</v>
      </c>
      <c r="I133">
        <v>3288.176702809109</v>
      </c>
      <c r="J133">
        <v>389.39044990092736</v>
      </c>
      <c r="K133">
        <v>341.11271545180841</v>
      </c>
      <c r="M133">
        <v>128.81265938675361</v>
      </c>
      <c r="O133">
        <v>222.97149827557647</v>
      </c>
      <c r="P133">
        <v>131.84868313164225</v>
      </c>
      <c r="Q133">
        <v>33955.000766814141</v>
      </c>
      <c r="U133">
        <v>117.97661336825256</v>
      </c>
    </row>
    <row r="134" spans="1:21" ht="16.25" customHeight="1">
      <c r="A134" s="3">
        <v>40544</v>
      </c>
      <c r="B134" s="3">
        <v>40544</v>
      </c>
      <c r="C134">
        <v>271.33440730141922</v>
      </c>
      <c r="D134">
        <v>115.15921457825216</v>
      </c>
      <c r="E134">
        <v>158.19038107757765</v>
      </c>
      <c r="F134">
        <v>75.553998034071711</v>
      </c>
      <c r="G134">
        <v>139.85286381335931</v>
      </c>
      <c r="H134">
        <v>6777.0952784838482</v>
      </c>
      <c r="I134">
        <v>3285.0082394172787</v>
      </c>
      <c r="J134">
        <v>393.71557832961503</v>
      </c>
      <c r="K134">
        <v>342.19711379861593</v>
      </c>
      <c r="M134">
        <v>131.48024738971651</v>
      </c>
      <c r="O134">
        <v>229.2884448153404</v>
      </c>
      <c r="P134">
        <v>132.6226041432094</v>
      </c>
      <c r="Q134">
        <v>34625.538579691718</v>
      </c>
      <c r="U134">
        <v>119.8643314321707</v>
      </c>
    </row>
    <row r="135" spans="1:21" ht="16.25" customHeight="1">
      <c r="A135" s="3">
        <v>40575</v>
      </c>
      <c r="B135" s="3">
        <v>40575</v>
      </c>
      <c r="C135">
        <v>271.42471952388735</v>
      </c>
      <c r="D135">
        <v>115.4933856565159</v>
      </c>
      <c r="E135">
        <v>156.8630673889125</v>
      </c>
      <c r="F135">
        <v>75.280452644246964</v>
      </c>
      <c r="G135">
        <v>131.50512616709378</v>
      </c>
      <c r="H135">
        <v>6669.855146963363</v>
      </c>
      <c r="I135">
        <v>3212.6696477352584</v>
      </c>
      <c r="J135">
        <v>384.79081001023224</v>
      </c>
      <c r="K135">
        <v>341.78211760868965</v>
      </c>
      <c r="M135">
        <v>132.27706668154548</v>
      </c>
      <c r="O135">
        <v>219.38153316951787</v>
      </c>
      <c r="P135">
        <v>132.96361235754799</v>
      </c>
      <c r="Q135">
        <v>34164.800318459769</v>
      </c>
      <c r="U135">
        <v>120.11694050265611</v>
      </c>
    </row>
    <row r="136" spans="1:21" ht="16.25" customHeight="1">
      <c r="A136" s="3">
        <v>40603</v>
      </c>
      <c r="B136" s="3">
        <v>40603</v>
      </c>
      <c r="C136">
        <v>274.40071117686603</v>
      </c>
      <c r="D136">
        <v>116.32796995902596</v>
      </c>
      <c r="E136">
        <v>157.92176355831197</v>
      </c>
      <c r="F136">
        <v>76.745175594019202</v>
      </c>
      <c r="G136">
        <v>128.59221396698987</v>
      </c>
      <c r="H136">
        <v>6710.8113067881459</v>
      </c>
      <c r="I136">
        <v>3211.2081188837828</v>
      </c>
      <c r="J136">
        <v>386.75212291265535</v>
      </c>
      <c r="K136">
        <v>339.23695823337033</v>
      </c>
      <c r="M136">
        <v>134.4624309476645</v>
      </c>
      <c r="O136">
        <v>226.92133712034718</v>
      </c>
      <c r="P136">
        <v>133.82640025379931</v>
      </c>
      <c r="Q136">
        <v>33804.272921327713</v>
      </c>
      <c r="U136">
        <v>121.53521317343557</v>
      </c>
    </row>
    <row r="137" spans="1:21" ht="16.25" customHeight="1">
      <c r="A137" s="3">
        <v>40634</v>
      </c>
      <c r="B137" s="3">
        <v>40634</v>
      </c>
      <c r="C137">
        <v>275.75803858634538</v>
      </c>
      <c r="D137">
        <v>115.22753355062861</v>
      </c>
      <c r="E137">
        <v>159.28222379642489</v>
      </c>
      <c r="F137">
        <v>76.945804195313968</v>
      </c>
      <c r="G137">
        <v>127.26953863532023</v>
      </c>
      <c r="H137">
        <v>6731.1423549085321</v>
      </c>
      <c r="I137">
        <v>3367.9700284628402</v>
      </c>
      <c r="J137">
        <v>383.60294573932492</v>
      </c>
      <c r="K137">
        <v>340.37039922863374</v>
      </c>
      <c r="M137">
        <v>135.38982489151977</v>
      </c>
      <c r="O137">
        <v>221.48092537080046</v>
      </c>
      <c r="P137">
        <v>134.56991894755501</v>
      </c>
      <c r="Q137">
        <v>34750.043095588218</v>
      </c>
      <c r="U137">
        <v>121.95208507173723</v>
      </c>
    </row>
    <row r="138" spans="1:21" ht="16.25" customHeight="1">
      <c r="A138" s="3">
        <v>40664</v>
      </c>
      <c r="B138" s="3">
        <v>40664</v>
      </c>
      <c r="C138">
        <v>275.89135289821581</v>
      </c>
      <c r="D138">
        <v>114.951806641907</v>
      </c>
      <c r="E138">
        <v>160.33334679728407</v>
      </c>
      <c r="F138">
        <v>76.556770709551259</v>
      </c>
      <c r="G138">
        <v>121.11264201710222</v>
      </c>
      <c r="H138">
        <v>6676.2908306299469</v>
      </c>
      <c r="I138">
        <v>3267.706623353577</v>
      </c>
      <c r="J138">
        <v>386.99104349955815</v>
      </c>
      <c r="K138">
        <v>339.36622704638012</v>
      </c>
      <c r="M138">
        <v>136.49674291083173</v>
      </c>
      <c r="O138">
        <v>218.74971601694284</v>
      </c>
      <c r="P138">
        <v>134.80002422955781</v>
      </c>
      <c r="Q138">
        <v>35660.054278870142</v>
      </c>
      <c r="U138">
        <v>123.17582323228289</v>
      </c>
    </row>
    <row r="139" spans="1:21" ht="16.25" customHeight="1">
      <c r="A139" s="3">
        <v>40695</v>
      </c>
      <c r="B139" s="3">
        <v>40695</v>
      </c>
      <c r="C139">
        <v>279.31235258576072</v>
      </c>
      <c r="D139">
        <v>116.57465939760027</v>
      </c>
      <c r="E139">
        <v>162.42367390177012</v>
      </c>
      <c r="F139">
        <v>77.704886333935605</v>
      </c>
      <c r="G139">
        <v>121.61584579343084</v>
      </c>
      <c r="H139">
        <v>6753.2812314018029</v>
      </c>
      <c r="I139">
        <v>3260.9631886845964</v>
      </c>
      <c r="J139">
        <v>384.43577864130594</v>
      </c>
      <c r="K139">
        <v>338.71357866335347</v>
      </c>
      <c r="M139">
        <v>137.53785484097247</v>
      </c>
      <c r="O139">
        <v>228.63836353298149</v>
      </c>
      <c r="P139">
        <v>135.81201414887363</v>
      </c>
      <c r="Q139">
        <v>36455.663522350791</v>
      </c>
      <c r="U139">
        <v>123.3187312560747</v>
      </c>
    </row>
    <row r="140" spans="1:21" ht="16.25" customHeight="1">
      <c r="A140" s="3">
        <v>40725</v>
      </c>
      <c r="B140" s="3">
        <v>40725</v>
      </c>
      <c r="C140">
        <v>273.88823754260557</v>
      </c>
      <c r="D140">
        <v>107.15669250660224</v>
      </c>
      <c r="E140">
        <v>163.78062404961938</v>
      </c>
      <c r="F140">
        <v>80.17536072949531</v>
      </c>
      <c r="G140">
        <v>124.0713483992463</v>
      </c>
      <c r="H140">
        <v>6066.6203552246916</v>
      </c>
      <c r="I140">
        <v>3208.1632220735</v>
      </c>
      <c r="J140">
        <v>378.99280135982178</v>
      </c>
      <c r="K140">
        <v>331.19239769662465</v>
      </c>
      <c r="M140">
        <v>139.93130871162265</v>
      </c>
      <c r="O140">
        <v>228.98416121122833</v>
      </c>
      <c r="P140">
        <v>135.7544701928648</v>
      </c>
      <c r="Q140">
        <v>36907.796047304088</v>
      </c>
      <c r="U140">
        <v>124.89625525580341</v>
      </c>
    </row>
    <row r="141" spans="1:21" ht="16.25" customHeight="1">
      <c r="A141" s="3">
        <v>40756</v>
      </c>
      <c r="B141" s="3">
        <v>40756</v>
      </c>
      <c r="C141">
        <v>282.4779672301969</v>
      </c>
      <c r="D141">
        <v>119.410272824751</v>
      </c>
      <c r="E141">
        <v>161.18774624695092</v>
      </c>
      <c r="F141">
        <v>78.760150008232628</v>
      </c>
      <c r="G141">
        <v>152.03730926012622</v>
      </c>
      <c r="H141">
        <v>6915.0269992656176</v>
      </c>
      <c r="I141">
        <v>3353.1279453291086</v>
      </c>
      <c r="J141">
        <v>386.21228779347649</v>
      </c>
      <c r="K141">
        <v>335.84034423489601</v>
      </c>
      <c r="M141">
        <v>141.5041248028995</v>
      </c>
      <c r="O141">
        <v>228.22263656869072</v>
      </c>
      <c r="P141">
        <v>136.76470024149455</v>
      </c>
      <c r="Q141">
        <v>37672.59839130965</v>
      </c>
      <c r="U141">
        <v>126.58600740536488</v>
      </c>
    </row>
    <row r="142" spans="1:21" ht="16.25" customHeight="1">
      <c r="A142" s="3">
        <v>40787</v>
      </c>
      <c r="B142" s="3">
        <v>40787</v>
      </c>
      <c r="C142">
        <v>276.55230231182458</v>
      </c>
      <c r="D142">
        <v>114.48771978928789</v>
      </c>
      <c r="E142">
        <v>162.68198013705143</v>
      </c>
      <c r="F142">
        <v>79.688898854560463</v>
      </c>
      <c r="G142">
        <v>122.91394525760754</v>
      </c>
      <c r="H142">
        <v>6933.7395779545159</v>
      </c>
      <c r="I142">
        <v>3360.6769755731325</v>
      </c>
      <c r="J142">
        <v>391.24878253298817</v>
      </c>
      <c r="K142">
        <v>380.63877414544811</v>
      </c>
      <c r="M142">
        <v>141.83896241610242</v>
      </c>
      <c r="O142">
        <v>228.86770176337109</v>
      </c>
      <c r="P142">
        <v>138.58278665150473</v>
      </c>
      <c r="Q142">
        <v>38394.442691069933</v>
      </c>
      <c r="U142">
        <v>127.76443342583052</v>
      </c>
    </row>
    <row r="143" spans="1:21" ht="16.25" customHeight="1">
      <c r="A143" s="3">
        <v>40817</v>
      </c>
      <c r="B143" s="3">
        <v>40817</v>
      </c>
      <c r="C143">
        <v>278.14557643612574</v>
      </c>
      <c r="D143">
        <v>115.99672939001692</v>
      </c>
      <c r="E143">
        <v>163.59110313662248</v>
      </c>
      <c r="F143">
        <v>78.851642722297512</v>
      </c>
      <c r="G143">
        <v>122.35792250442661</v>
      </c>
      <c r="H143">
        <v>6680.6990627626037</v>
      </c>
      <c r="I143">
        <v>3260.0685958885201</v>
      </c>
      <c r="J143">
        <v>375.10875876833057</v>
      </c>
      <c r="K143">
        <v>530.96119462918966</v>
      </c>
      <c r="M143">
        <v>144.00151994102626</v>
      </c>
      <c r="O143">
        <v>227.51414924941716</v>
      </c>
      <c r="P143">
        <v>148.6401493169364</v>
      </c>
      <c r="Q143">
        <v>39421.221626631181</v>
      </c>
      <c r="U143">
        <v>129.13385881265293</v>
      </c>
    </row>
    <row r="144" spans="1:21" ht="16.25" customHeight="1">
      <c r="A144" s="3">
        <v>40848</v>
      </c>
      <c r="B144" s="3">
        <v>40848</v>
      </c>
      <c r="C144">
        <v>277.53726462544444</v>
      </c>
      <c r="D144">
        <v>116.07370558518184</v>
      </c>
      <c r="E144">
        <v>162.85646968556878</v>
      </c>
      <c r="F144">
        <v>80.421509437053885</v>
      </c>
      <c r="G144">
        <v>124.52652337858744</v>
      </c>
      <c r="H144">
        <v>6615.7608372614714</v>
      </c>
      <c r="I144">
        <v>3336.5720497589214</v>
      </c>
      <c r="J144">
        <v>388.23640904373343</v>
      </c>
      <c r="K144">
        <v>349.37766021108894</v>
      </c>
      <c r="M144">
        <v>144.95146852758552</v>
      </c>
      <c r="O144">
        <v>230.88253073189128</v>
      </c>
      <c r="P144">
        <v>138.40553235945472</v>
      </c>
      <c r="Q144">
        <v>40828.112508316583</v>
      </c>
      <c r="U144">
        <v>130.03287607930571</v>
      </c>
    </row>
    <row r="145" spans="1:21" ht="16.25" customHeight="1">
      <c r="A145" s="3">
        <v>40878</v>
      </c>
      <c r="B145" s="3">
        <v>40878</v>
      </c>
      <c r="C145">
        <v>273.90045606815613</v>
      </c>
      <c r="D145">
        <v>115.15158228043198</v>
      </c>
      <c r="E145">
        <v>161.59798851804814</v>
      </c>
      <c r="F145">
        <v>77.502825078973672</v>
      </c>
      <c r="G145">
        <v>125.55668193985761</v>
      </c>
      <c r="H145">
        <v>6428.6463300933083</v>
      </c>
      <c r="I145">
        <v>3255.4740646166069</v>
      </c>
      <c r="J145">
        <v>389.05642194164506</v>
      </c>
      <c r="K145">
        <v>335.97759195402745</v>
      </c>
      <c r="M145">
        <v>147.73098882297381</v>
      </c>
      <c r="O145">
        <v>233.01122473720949</v>
      </c>
      <c r="P145">
        <v>137.58328427658682</v>
      </c>
      <c r="Q145">
        <v>41222.379229782768</v>
      </c>
      <c r="U145">
        <v>131.94653070614635</v>
      </c>
    </row>
    <row r="146" spans="1:21" ht="16.25" customHeight="1">
      <c r="A146" s="3">
        <v>40909</v>
      </c>
      <c r="B146" s="3">
        <v>40909</v>
      </c>
      <c r="C146">
        <v>277.50118243918445</v>
      </c>
      <c r="D146">
        <v>115.31751578357601</v>
      </c>
      <c r="E146">
        <v>163.80146731674955</v>
      </c>
      <c r="F146">
        <v>80.081427034065797</v>
      </c>
      <c r="G146">
        <v>122.52197996551826</v>
      </c>
      <c r="H146">
        <v>6699.1903823125685</v>
      </c>
      <c r="I146">
        <v>3333.8427380637595</v>
      </c>
      <c r="J146">
        <v>394.44280356460297</v>
      </c>
      <c r="K146">
        <v>331.3107969343543</v>
      </c>
      <c r="M146">
        <v>148.29048162827061</v>
      </c>
      <c r="O146">
        <v>227.74192891625106</v>
      </c>
      <c r="P146">
        <v>138.51395310120432</v>
      </c>
      <c r="Q146">
        <v>40821.268678033404</v>
      </c>
      <c r="U146">
        <v>131.67369982171653</v>
      </c>
    </row>
    <row r="147" spans="1:21" ht="16.25" customHeight="1">
      <c r="A147" s="3">
        <v>40940</v>
      </c>
      <c r="B147" s="3">
        <v>40940</v>
      </c>
      <c r="C147">
        <v>279.45530090713942</v>
      </c>
      <c r="D147">
        <v>116.00733759532464</v>
      </c>
      <c r="E147">
        <v>163.17968072790839</v>
      </c>
      <c r="F147">
        <v>81.511598004877257</v>
      </c>
      <c r="G147">
        <v>125.57584969299347</v>
      </c>
      <c r="H147">
        <v>6731.0034877053149</v>
      </c>
      <c r="I147">
        <v>3275.3620983898168</v>
      </c>
      <c r="J147">
        <v>395.79513207934053</v>
      </c>
      <c r="K147">
        <v>326.98755192872432</v>
      </c>
      <c r="M147">
        <v>149.12939680674759</v>
      </c>
      <c r="O147">
        <v>237.38973713253881</v>
      </c>
      <c r="P147">
        <v>138.90949145481198</v>
      </c>
      <c r="Q147">
        <v>39420.230354963642</v>
      </c>
      <c r="U147">
        <v>133.0004405219421</v>
      </c>
    </row>
    <row r="148" spans="1:21" ht="16.25" customHeight="1">
      <c r="A148" s="3">
        <v>40969</v>
      </c>
      <c r="B148" s="3">
        <v>40969</v>
      </c>
      <c r="C148">
        <v>278.13619162241372</v>
      </c>
      <c r="D148">
        <v>114.2710650440991</v>
      </c>
      <c r="E148">
        <v>162.49866150241405</v>
      </c>
      <c r="F148">
        <v>81.341329514988175</v>
      </c>
      <c r="G148">
        <v>123.70976966432376</v>
      </c>
      <c r="H148">
        <v>6567.6069383505146</v>
      </c>
      <c r="I148">
        <v>3276.146926046621</v>
      </c>
      <c r="J148">
        <v>396.92873304575869</v>
      </c>
      <c r="K148">
        <v>327.93916667568891</v>
      </c>
      <c r="M148">
        <v>151.72833604064419</v>
      </c>
      <c r="O148">
        <v>229.66633995014288</v>
      </c>
      <c r="P148">
        <v>139.06860658466204</v>
      </c>
      <c r="Q148">
        <v>39360.655047083077</v>
      </c>
      <c r="U148">
        <v>133.01074822090968</v>
      </c>
    </row>
    <row r="149" spans="1:21" ht="16.25" customHeight="1">
      <c r="A149" s="3">
        <v>41000</v>
      </c>
      <c r="B149" s="3">
        <v>41000</v>
      </c>
      <c r="C149">
        <v>278.77146085101373</v>
      </c>
      <c r="D149">
        <v>115.11833018094043</v>
      </c>
      <c r="E149">
        <v>161.82120565049146</v>
      </c>
      <c r="F149">
        <v>80.828299743242937</v>
      </c>
      <c r="G149">
        <v>125.50966319890937</v>
      </c>
      <c r="H149">
        <v>6570.0190787446945</v>
      </c>
      <c r="I149">
        <v>3406.0677247745662</v>
      </c>
      <c r="J149">
        <v>398.38902560740297</v>
      </c>
      <c r="K149">
        <v>323.77849086352359</v>
      </c>
      <c r="M149">
        <v>152.14349861859941</v>
      </c>
      <c r="O149">
        <v>232.29718383793008</v>
      </c>
      <c r="P149">
        <v>139.27492228705802</v>
      </c>
      <c r="Q149">
        <v>39148.797859177641</v>
      </c>
      <c r="U149">
        <v>133.67299718229401</v>
      </c>
    </row>
    <row r="150" spans="1:21" ht="16.25" customHeight="1">
      <c r="A150" s="3">
        <v>41030</v>
      </c>
      <c r="B150" s="3">
        <v>41030</v>
      </c>
      <c r="C150">
        <v>278.0051228859756</v>
      </c>
      <c r="D150">
        <v>114.96339749940162</v>
      </c>
      <c r="E150">
        <v>161.42255140535792</v>
      </c>
      <c r="F150">
        <v>78.032262577342991</v>
      </c>
      <c r="G150">
        <v>126.31992489558863</v>
      </c>
      <c r="H150">
        <v>6526.7909310100704</v>
      </c>
      <c r="I150">
        <v>3317.7164039392924</v>
      </c>
      <c r="J150">
        <v>397.17346591703193</v>
      </c>
      <c r="K150">
        <v>325.13327809975397</v>
      </c>
      <c r="M150">
        <v>154.1959550593626</v>
      </c>
      <c r="O150">
        <v>235.45001642296043</v>
      </c>
      <c r="P150">
        <v>139.54937163471575</v>
      </c>
      <c r="Q150">
        <v>39089.471565411171</v>
      </c>
      <c r="U150">
        <v>134.25063357569348</v>
      </c>
    </row>
    <row r="151" spans="1:21" ht="16.25" customHeight="1">
      <c r="A151" s="3">
        <v>41061</v>
      </c>
      <c r="B151" s="3">
        <v>41061</v>
      </c>
      <c r="C151">
        <v>276.51630268807696</v>
      </c>
      <c r="D151">
        <v>116.24100700859672</v>
      </c>
      <c r="E151">
        <v>158.2241819674714</v>
      </c>
      <c r="F151">
        <v>80.144595848264998</v>
      </c>
      <c r="G151">
        <v>127.84439431693576</v>
      </c>
      <c r="H151">
        <v>6702.1438593569392</v>
      </c>
      <c r="I151">
        <v>3435.6998091158753</v>
      </c>
      <c r="J151">
        <v>399.46422556041335</v>
      </c>
      <c r="K151">
        <v>323.73074620760576</v>
      </c>
      <c r="M151">
        <v>157.80896185256378</v>
      </c>
      <c r="O151">
        <v>230.40548133321946</v>
      </c>
      <c r="P151">
        <v>139.7631860418615</v>
      </c>
      <c r="Q151">
        <v>40126.631154668263</v>
      </c>
      <c r="U151">
        <v>135.46007124083232</v>
      </c>
    </row>
    <row r="152" spans="1:21" ht="16.25" customHeight="1">
      <c r="A152" s="3">
        <v>41091</v>
      </c>
      <c r="B152" s="3">
        <v>41091</v>
      </c>
      <c r="C152">
        <v>275.7284595623085</v>
      </c>
      <c r="D152">
        <v>114.35068712442421</v>
      </c>
      <c r="E152">
        <v>157.47895860645096</v>
      </c>
      <c r="F152">
        <v>78.828882582987504</v>
      </c>
      <c r="G152">
        <v>125.95286217773433</v>
      </c>
      <c r="H152">
        <v>6586.1186418861398</v>
      </c>
      <c r="I152">
        <v>3386.5508585195853</v>
      </c>
      <c r="J152">
        <v>407.38094249404952</v>
      </c>
      <c r="K152">
        <v>326.95617791545834</v>
      </c>
      <c r="M152">
        <v>157.44686187041088</v>
      </c>
      <c r="O152">
        <v>236.09817518982834</v>
      </c>
      <c r="P152">
        <v>139.9990412922499</v>
      </c>
      <c r="Q152">
        <v>40093.31225957915</v>
      </c>
      <c r="U152">
        <v>135.19063047186594</v>
      </c>
    </row>
    <row r="153" spans="1:21" ht="16.25" customHeight="1">
      <c r="A153" s="3">
        <v>41122</v>
      </c>
      <c r="B153" s="3">
        <v>41122</v>
      </c>
      <c r="C153">
        <v>274.76379952984303</v>
      </c>
      <c r="D153">
        <v>113.76435889187434</v>
      </c>
      <c r="E153">
        <v>158.97256193605648</v>
      </c>
      <c r="F153">
        <v>80.413969418285376</v>
      </c>
      <c r="G153">
        <v>122.1536153036562</v>
      </c>
      <c r="H153">
        <v>6157.4497510240935</v>
      </c>
      <c r="I153">
        <v>3277.6193034997741</v>
      </c>
      <c r="J153">
        <v>404.35819156011047</v>
      </c>
      <c r="K153">
        <v>363.37876491906911</v>
      </c>
      <c r="M153">
        <v>159.61406791692696</v>
      </c>
      <c r="O153">
        <v>237.6781880810087</v>
      </c>
      <c r="P153">
        <v>140.37468968240353</v>
      </c>
      <c r="Q153">
        <v>39555.433165414295</v>
      </c>
      <c r="U153">
        <v>135.27971898581947</v>
      </c>
    </row>
    <row r="154" spans="1:21" ht="16.25" customHeight="1">
      <c r="A154" s="3">
        <v>41153</v>
      </c>
      <c r="B154" s="3">
        <v>41153</v>
      </c>
      <c r="C154">
        <v>276.65024584183817</v>
      </c>
      <c r="D154">
        <v>115.26537818172319</v>
      </c>
      <c r="E154">
        <v>157.34789531299182</v>
      </c>
      <c r="F154">
        <v>78.817125177272246</v>
      </c>
      <c r="G154">
        <v>124.52621508363202</v>
      </c>
      <c r="H154">
        <v>6575.6115713938389</v>
      </c>
      <c r="I154">
        <v>3395.202173858122</v>
      </c>
      <c r="J154">
        <v>401.57811844141082</v>
      </c>
      <c r="K154">
        <v>324.17895136548708</v>
      </c>
      <c r="M154">
        <v>160.18812855908141</v>
      </c>
      <c r="O154">
        <v>236.71441712326057</v>
      </c>
      <c r="P154">
        <v>139.7455488786787</v>
      </c>
      <c r="Q154">
        <v>40178.805999069475</v>
      </c>
      <c r="U154">
        <v>135.10355870783829</v>
      </c>
    </row>
    <row r="155" spans="1:21" ht="16.25" customHeight="1">
      <c r="A155" s="3">
        <v>41183</v>
      </c>
      <c r="B155" s="3">
        <v>41183</v>
      </c>
      <c r="C155">
        <v>276.61967401413438</v>
      </c>
      <c r="D155">
        <v>116.19654158932595</v>
      </c>
      <c r="E155">
        <v>155.27048741751466</v>
      </c>
      <c r="F155">
        <v>77.161126329454248</v>
      </c>
      <c r="G155">
        <v>123.65072925476699</v>
      </c>
      <c r="H155">
        <v>6820.741835065538</v>
      </c>
      <c r="I155">
        <v>3258.6242248339277</v>
      </c>
      <c r="J155">
        <v>407.9500664482789</v>
      </c>
      <c r="K155">
        <v>323.72851329093675</v>
      </c>
      <c r="M155">
        <v>162.17133835244951</v>
      </c>
      <c r="O155">
        <v>236.48503369498778</v>
      </c>
      <c r="P155">
        <v>140.44619112652038</v>
      </c>
      <c r="Q155">
        <v>39850.609640478142</v>
      </c>
      <c r="U155">
        <v>135.56782133301348</v>
      </c>
    </row>
    <row r="156" spans="1:21" ht="16.25" customHeight="1">
      <c r="A156" s="3">
        <v>41214</v>
      </c>
      <c r="B156" s="3">
        <v>41214</v>
      </c>
      <c r="C156">
        <v>278.02475116966241</v>
      </c>
      <c r="D156">
        <v>115.22778279305444</v>
      </c>
      <c r="E156">
        <v>155.03923588109097</v>
      </c>
      <c r="F156">
        <v>79.402065941371148</v>
      </c>
      <c r="G156">
        <v>121.46029603717162</v>
      </c>
      <c r="H156">
        <v>6751.3823112711189</v>
      </c>
      <c r="I156">
        <v>3438.1792122403476</v>
      </c>
      <c r="J156">
        <v>410.86780558497787</v>
      </c>
      <c r="K156">
        <v>277.97982851243097</v>
      </c>
      <c r="M156">
        <v>164.30610351354576</v>
      </c>
      <c r="O156">
        <v>238.90982929618235</v>
      </c>
      <c r="P156">
        <v>141.37696733174931</v>
      </c>
      <c r="Q156">
        <v>38710.165980793805</v>
      </c>
      <c r="U156">
        <v>135.72242832258405</v>
      </c>
    </row>
    <row r="157" spans="1:21" ht="16.25" customHeight="1">
      <c r="A157" s="3">
        <v>41244</v>
      </c>
      <c r="B157" s="3">
        <v>41244</v>
      </c>
      <c r="C157">
        <v>278.42851728229795</v>
      </c>
      <c r="D157">
        <v>115.38353348238034</v>
      </c>
      <c r="E157">
        <v>154.42080282292667</v>
      </c>
      <c r="F157">
        <v>80.479848147736561</v>
      </c>
      <c r="G157">
        <v>121.28533922710214</v>
      </c>
      <c r="H157">
        <v>6555.3046100289812</v>
      </c>
      <c r="I157">
        <v>3345.2952227490077</v>
      </c>
      <c r="J157">
        <v>409.33306866998618</v>
      </c>
      <c r="K157">
        <v>331.25324726904711</v>
      </c>
      <c r="M157">
        <v>165.36255099176651</v>
      </c>
      <c r="O157">
        <v>250.2993371250177</v>
      </c>
      <c r="P157">
        <v>142.47328828698059</v>
      </c>
      <c r="Q157">
        <v>38795.075646507961</v>
      </c>
      <c r="U157">
        <v>135.61889064627428</v>
      </c>
    </row>
    <row r="158" spans="1:21" ht="16.25" customHeight="1">
      <c r="A158" s="3">
        <v>41275</v>
      </c>
      <c r="B158" s="3">
        <v>41275</v>
      </c>
      <c r="C158">
        <v>280.17653252925101</v>
      </c>
      <c r="D158">
        <v>115.31117758187843</v>
      </c>
      <c r="E158">
        <v>153.54140021960711</v>
      </c>
      <c r="F158">
        <v>79.525813441403798</v>
      </c>
      <c r="G158">
        <v>117.75335851810966</v>
      </c>
      <c r="H158">
        <v>6720.3172666653954</v>
      </c>
      <c r="I158">
        <v>3337.4788899395539</v>
      </c>
      <c r="J158">
        <v>406.04339786016567</v>
      </c>
      <c r="K158">
        <v>333.87713886386484</v>
      </c>
      <c r="M158">
        <v>167.46485851799315</v>
      </c>
      <c r="O158">
        <v>246.20080179917463</v>
      </c>
      <c r="P158">
        <v>143.41744738868169</v>
      </c>
      <c r="Q158">
        <v>37953.670845163113</v>
      </c>
      <c r="U158">
        <v>136.29661027332412</v>
      </c>
    </row>
    <row r="159" spans="1:21" ht="16.25" customHeight="1">
      <c r="A159" s="3">
        <v>41306</v>
      </c>
      <c r="B159" s="3">
        <v>41306</v>
      </c>
      <c r="C159">
        <v>281.78375007796882</v>
      </c>
      <c r="D159">
        <v>115.86823866380907</v>
      </c>
      <c r="E159">
        <v>153.98524108940427</v>
      </c>
      <c r="F159">
        <v>77.95584113853009</v>
      </c>
      <c r="G159">
        <v>116.92513520336223</v>
      </c>
      <c r="H159">
        <v>6784.8588033817741</v>
      </c>
      <c r="I159">
        <v>3574.7029467799025</v>
      </c>
      <c r="J159">
        <v>406.31469596938138</v>
      </c>
      <c r="K159">
        <v>336.97650249287665</v>
      </c>
      <c r="M159">
        <v>169.83338247812307</v>
      </c>
      <c r="O159">
        <v>249.22940004836835</v>
      </c>
      <c r="P159">
        <v>144.21979330513713</v>
      </c>
      <c r="Q159">
        <v>40520.687597624237</v>
      </c>
      <c r="U159">
        <v>136.47318421239697</v>
      </c>
    </row>
    <row r="160" spans="1:21" ht="16.25" customHeight="1">
      <c r="A160" s="3">
        <v>41334</v>
      </c>
      <c r="B160" s="3">
        <v>41334</v>
      </c>
      <c r="C160">
        <v>285.41849414626773</v>
      </c>
      <c r="D160">
        <v>116.92533875647534</v>
      </c>
      <c r="E160">
        <v>154.75439211124922</v>
      </c>
      <c r="F160">
        <v>77.407544548514764</v>
      </c>
      <c r="G160">
        <v>116.89047213047945</v>
      </c>
      <c r="H160">
        <v>6888.722064115228</v>
      </c>
      <c r="I160">
        <v>3543.2810442144869</v>
      </c>
      <c r="J160">
        <v>410.93649680504893</v>
      </c>
      <c r="K160">
        <v>335.8994277676552</v>
      </c>
      <c r="M160">
        <v>171.59417081679709</v>
      </c>
      <c r="O160">
        <v>247.04696812180211</v>
      </c>
      <c r="P160">
        <v>145.10604529384455</v>
      </c>
      <c r="Q160">
        <v>40515.578929317104</v>
      </c>
      <c r="U160">
        <v>137.14055962680717</v>
      </c>
    </row>
    <row r="161" spans="1:21" ht="16.25" customHeight="1">
      <c r="A161" s="3">
        <v>41365</v>
      </c>
      <c r="B161" s="3">
        <v>41365</v>
      </c>
      <c r="C161">
        <v>282.45541604071218</v>
      </c>
      <c r="D161">
        <v>115.67763731674249</v>
      </c>
      <c r="E161">
        <v>153.27270082796275</v>
      </c>
      <c r="F161">
        <v>78.60897366175621</v>
      </c>
      <c r="G161">
        <v>115.4859378950876</v>
      </c>
      <c r="H161">
        <v>6715.4289644105575</v>
      </c>
      <c r="I161">
        <v>3412.4528376220601</v>
      </c>
      <c r="J161">
        <v>409.06839074949312</v>
      </c>
      <c r="K161">
        <v>341.67089400298585</v>
      </c>
      <c r="M161">
        <v>173.02276884051651</v>
      </c>
      <c r="O161">
        <v>255.31014303910385</v>
      </c>
      <c r="P161">
        <v>145.44306106979593</v>
      </c>
      <c r="Q161">
        <v>40234.78562368088</v>
      </c>
      <c r="U161">
        <v>137.49853049611244</v>
      </c>
    </row>
    <row r="162" spans="1:21" ht="16.25" customHeight="1">
      <c r="A162" s="3">
        <v>41395</v>
      </c>
      <c r="B162" s="3">
        <v>41395</v>
      </c>
      <c r="C162">
        <v>281.08719862683762</v>
      </c>
      <c r="D162">
        <v>114.13981146643637</v>
      </c>
      <c r="E162">
        <v>153.12227773840772</v>
      </c>
      <c r="F162">
        <v>81.684519837631044</v>
      </c>
      <c r="G162">
        <v>114.02208769803995</v>
      </c>
      <c r="H162">
        <v>6646.7771084007481</v>
      </c>
      <c r="I162">
        <v>3182.7080271350892</v>
      </c>
      <c r="J162">
        <v>416.40612993735851</v>
      </c>
      <c r="K162">
        <v>343.62747149438087</v>
      </c>
      <c r="M162">
        <v>174.63411476254578</v>
      </c>
      <c r="O162">
        <v>252.11111329599566</v>
      </c>
      <c r="P162">
        <v>145.84743276096418</v>
      </c>
      <c r="Q162">
        <v>40070.862884367743</v>
      </c>
      <c r="U162">
        <v>137.67388942904051</v>
      </c>
    </row>
    <row r="163" spans="1:21" ht="16.25" customHeight="1">
      <c r="A163" s="3">
        <v>41426</v>
      </c>
      <c r="B163" s="3">
        <v>41426</v>
      </c>
      <c r="C163">
        <v>284.36685077194488</v>
      </c>
      <c r="D163">
        <v>116.92791146087922</v>
      </c>
      <c r="E163">
        <v>154.3364128065559</v>
      </c>
      <c r="F163">
        <v>77.880386395181247</v>
      </c>
      <c r="G163">
        <v>113.30129905884021</v>
      </c>
      <c r="H163">
        <v>6691.1094835734566</v>
      </c>
      <c r="I163">
        <v>3436.1526182683242</v>
      </c>
      <c r="J163">
        <v>415.96544430623806</v>
      </c>
      <c r="K163">
        <v>346.47384101734286</v>
      </c>
      <c r="M163">
        <v>173.0083131777977</v>
      </c>
      <c r="O163">
        <v>247.29988393774806</v>
      </c>
      <c r="P163">
        <v>146.70162961473417</v>
      </c>
      <c r="Q163">
        <v>41104.473985030898</v>
      </c>
      <c r="U163">
        <v>137.58815166732751</v>
      </c>
    </row>
    <row r="164" spans="1:21" ht="16.25" customHeight="1">
      <c r="A164" s="3">
        <v>41456</v>
      </c>
      <c r="B164" s="3">
        <v>41456</v>
      </c>
      <c r="C164">
        <v>282.86930156747843</v>
      </c>
      <c r="D164">
        <v>117.97014967442595</v>
      </c>
      <c r="E164">
        <v>151.94551799353962</v>
      </c>
      <c r="F164">
        <v>79.122669391556911</v>
      </c>
      <c r="G164">
        <v>108.05038943723881</v>
      </c>
      <c r="H164">
        <v>6820.4700888737998</v>
      </c>
      <c r="I164">
        <v>3673.5149993715659</v>
      </c>
      <c r="J164">
        <v>288.02179979483049</v>
      </c>
      <c r="K164">
        <v>353.0575410644359</v>
      </c>
      <c r="M164">
        <v>176.63305131374543</v>
      </c>
      <c r="O164">
        <v>250.58639147307503</v>
      </c>
      <c r="P164">
        <v>146.9743134793946</v>
      </c>
      <c r="Q164">
        <v>41723.561513851309</v>
      </c>
      <c r="U164">
        <v>138.33441125974394</v>
      </c>
    </row>
    <row r="165" spans="1:21" ht="16.25" customHeight="1">
      <c r="A165" s="3">
        <v>41487</v>
      </c>
      <c r="B165" s="3">
        <v>41487</v>
      </c>
      <c r="C165">
        <v>283.36021658921049</v>
      </c>
      <c r="D165">
        <v>117.31186652973244</v>
      </c>
      <c r="E165">
        <v>153.31987640399279</v>
      </c>
      <c r="F165">
        <v>78.926879098219473</v>
      </c>
      <c r="G165">
        <v>111.51669274344316</v>
      </c>
      <c r="H165">
        <v>6704.4632526801315</v>
      </c>
      <c r="I165">
        <v>3529.229091328139</v>
      </c>
      <c r="J165">
        <v>417.14836548772979</v>
      </c>
      <c r="K165">
        <v>354.49570317401583</v>
      </c>
      <c r="M165">
        <v>179.47653104321336</v>
      </c>
      <c r="O165">
        <v>253.52479392827348</v>
      </c>
      <c r="P165">
        <v>147.57390957919714</v>
      </c>
      <c r="Q165">
        <v>41241.458318400706</v>
      </c>
      <c r="U165">
        <v>138.75416562977315</v>
      </c>
    </row>
    <row r="166" spans="1:21" ht="16.25" customHeight="1">
      <c r="A166" s="3">
        <v>41518</v>
      </c>
      <c r="B166" s="3">
        <v>41518</v>
      </c>
      <c r="C166">
        <v>285.41118112472293</v>
      </c>
      <c r="D166">
        <v>118.62976241062728</v>
      </c>
      <c r="E166">
        <v>152.84694941178753</v>
      </c>
      <c r="F166">
        <v>79.341709155743303</v>
      </c>
      <c r="G166">
        <v>111.38151471712484</v>
      </c>
      <c r="H166">
        <v>6986.575907715026</v>
      </c>
      <c r="I166">
        <v>3470.8177470440328</v>
      </c>
      <c r="J166">
        <v>424.10580333324202</v>
      </c>
      <c r="K166">
        <v>361.03317391232804</v>
      </c>
      <c r="M166">
        <v>181.82626703551276</v>
      </c>
      <c r="O166">
        <v>257.88601364227594</v>
      </c>
      <c r="P166">
        <v>148.61091215399293</v>
      </c>
      <c r="Q166">
        <v>41617.85523044911</v>
      </c>
      <c r="U166">
        <v>139.32490371681607</v>
      </c>
    </row>
    <row r="167" spans="1:21" ht="16.25" customHeight="1">
      <c r="A167" s="3">
        <v>41548</v>
      </c>
      <c r="B167" s="3">
        <v>41548</v>
      </c>
      <c r="C167">
        <v>287.58697486754079</v>
      </c>
      <c r="D167">
        <v>120.77353774400358</v>
      </c>
      <c r="E167">
        <v>153.20869014085517</v>
      </c>
      <c r="F167">
        <v>78.210820226000038</v>
      </c>
      <c r="G167">
        <v>111.04539235290385</v>
      </c>
      <c r="H167">
        <v>7082.9637912662856</v>
      </c>
      <c r="I167">
        <v>3827.0386131921587</v>
      </c>
      <c r="J167">
        <v>286.47728512345753</v>
      </c>
      <c r="K167">
        <v>366.65145540787233</v>
      </c>
      <c r="M167">
        <v>182.66721108316216</v>
      </c>
      <c r="O167">
        <v>258.19560683329973</v>
      </c>
      <c r="P167">
        <v>149.30508853368946</v>
      </c>
      <c r="Q167">
        <v>42102.607861035402</v>
      </c>
      <c r="U167">
        <v>139.53204151095656</v>
      </c>
    </row>
    <row r="168" spans="1:21" ht="16.25" customHeight="1">
      <c r="A168" s="3">
        <v>41579</v>
      </c>
      <c r="B168" s="3">
        <v>41579</v>
      </c>
      <c r="C168">
        <v>282.05786510669714</v>
      </c>
      <c r="D168">
        <v>116.27719094540136</v>
      </c>
      <c r="E168">
        <v>153.77944704205112</v>
      </c>
      <c r="F168">
        <v>78.301795291858284</v>
      </c>
      <c r="G168">
        <v>108.65451545854151</v>
      </c>
      <c r="H168">
        <v>6833.6260693898275</v>
      </c>
      <c r="I168">
        <v>3366.6954711794751</v>
      </c>
      <c r="J168">
        <v>425.97702210245228</v>
      </c>
      <c r="K168">
        <v>367.22066092420039</v>
      </c>
      <c r="M168">
        <v>183.59841575109337</v>
      </c>
      <c r="O168">
        <v>264.07498312978021</v>
      </c>
      <c r="P168">
        <v>149.49555061066073</v>
      </c>
      <c r="Q168">
        <v>43133.772713213468</v>
      </c>
      <c r="U168">
        <v>139.89546275870907</v>
      </c>
    </row>
    <row r="169" spans="1:21" ht="16.25" customHeight="1">
      <c r="A169" s="3">
        <v>41609</v>
      </c>
      <c r="B169" s="3">
        <v>41609</v>
      </c>
      <c r="C169">
        <v>283.60686330970032</v>
      </c>
      <c r="D169">
        <v>117.45852622906047</v>
      </c>
      <c r="E169">
        <v>153.72587396895514</v>
      </c>
      <c r="F169">
        <v>79.453671677942637</v>
      </c>
      <c r="G169">
        <v>108.54987900097952</v>
      </c>
      <c r="H169">
        <v>6845.2704912441559</v>
      </c>
      <c r="I169">
        <v>3595.7814818045754</v>
      </c>
      <c r="J169">
        <v>425.8473315177161</v>
      </c>
      <c r="K169">
        <v>323.0619246712501</v>
      </c>
      <c r="M169">
        <v>186.59481648858511</v>
      </c>
      <c r="O169">
        <v>253.33806271773506</v>
      </c>
      <c r="P169">
        <v>149.23146795190073</v>
      </c>
      <c r="Q169">
        <v>42917.419849368249</v>
      </c>
      <c r="U169">
        <v>141.47162856759141</v>
      </c>
    </row>
    <row r="170" spans="1:21" ht="16.25" customHeight="1">
      <c r="A170" s="3">
        <v>41640</v>
      </c>
      <c r="B170" s="3">
        <v>41640</v>
      </c>
      <c r="C170">
        <v>283.37643900531077</v>
      </c>
      <c r="D170">
        <v>116.06059833986723</v>
      </c>
      <c r="E170">
        <v>154.44052360333998</v>
      </c>
      <c r="F170">
        <v>79.797783398492527</v>
      </c>
      <c r="G170">
        <v>110.43250000259739</v>
      </c>
      <c r="H170">
        <v>6860.5444135299822</v>
      </c>
      <c r="I170">
        <v>3479.5499222189565</v>
      </c>
      <c r="J170">
        <v>430.31417312513253</v>
      </c>
      <c r="K170">
        <v>336.42962119116692</v>
      </c>
      <c r="L170">
        <v>129.1209175850924</v>
      </c>
      <c r="M170">
        <v>188.90668522319768</v>
      </c>
      <c r="O170">
        <v>258.44422906422346</v>
      </c>
      <c r="P170">
        <v>149.61921496935463</v>
      </c>
      <c r="Q170">
        <v>43133.509381035743</v>
      </c>
      <c r="U170">
        <v>140.67236125720933</v>
      </c>
    </row>
    <row r="171" spans="1:21" ht="16.25" customHeight="1">
      <c r="A171" s="3">
        <v>41671</v>
      </c>
      <c r="B171" s="3">
        <v>41671</v>
      </c>
      <c r="C171">
        <v>280.14732038576784</v>
      </c>
      <c r="D171">
        <v>113.46969532317605</v>
      </c>
      <c r="E171">
        <v>154.25683864822486</v>
      </c>
      <c r="F171">
        <v>80.551701477135637</v>
      </c>
      <c r="G171">
        <v>109.03916526159583</v>
      </c>
      <c r="H171">
        <v>6558.2227790989964</v>
      </c>
      <c r="I171">
        <v>3451.9537575976369</v>
      </c>
      <c r="J171">
        <v>432.76890106995222</v>
      </c>
      <c r="K171">
        <v>347.07985597117334</v>
      </c>
      <c r="L171">
        <v>129.36940539485539</v>
      </c>
      <c r="M171">
        <v>190.9498543928255</v>
      </c>
      <c r="O171">
        <v>256.43657639908378</v>
      </c>
      <c r="P171">
        <v>149.42828477210691</v>
      </c>
      <c r="Q171">
        <v>44170.345156507043</v>
      </c>
      <c r="U171">
        <v>140.54407123155892</v>
      </c>
    </row>
    <row r="172" spans="1:21" ht="16.25" customHeight="1">
      <c r="A172" s="3">
        <v>41699</v>
      </c>
      <c r="B172" s="3">
        <v>41699</v>
      </c>
      <c r="C172">
        <v>281.70130812011058</v>
      </c>
      <c r="D172">
        <v>115.10351622796676</v>
      </c>
      <c r="E172">
        <v>153.68866092240418</v>
      </c>
      <c r="F172">
        <v>80.812316111251832</v>
      </c>
      <c r="G172">
        <v>107.86565946322962</v>
      </c>
      <c r="H172">
        <v>6616.4992869867046</v>
      </c>
      <c r="I172">
        <v>3510.5819461837705</v>
      </c>
      <c r="J172">
        <v>432.67769645556916</v>
      </c>
      <c r="K172">
        <v>354.30539527199062</v>
      </c>
      <c r="L172">
        <v>129.69347652562823</v>
      </c>
      <c r="M172">
        <v>191.46968712432189</v>
      </c>
      <c r="O172">
        <v>259.56205565507815</v>
      </c>
      <c r="P172">
        <v>149.94035717373802</v>
      </c>
      <c r="Q172">
        <v>44394.182319427091</v>
      </c>
      <c r="U172">
        <v>142.49030587709717</v>
      </c>
    </row>
    <row r="173" spans="1:21" ht="16.25" customHeight="1">
      <c r="A173" s="3">
        <v>41730</v>
      </c>
      <c r="B173" s="3">
        <v>41730</v>
      </c>
      <c r="C173">
        <v>283.88933863823269</v>
      </c>
      <c r="D173">
        <v>116.71255462569225</v>
      </c>
      <c r="E173">
        <v>154.3711864269554</v>
      </c>
      <c r="F173">
        <v>80.60388191258609</v>
      </c>
      <c r="G173">
        <v>107.4674532158935</v>
      </c>
      <c r="H173">
        <v>6800.9321547937861</v>
      </c>
      <c r="I173">
        <v>3636.1086040718128</v>
      </c>
      <c r="J173">
        <v>438.69140092021735</v>
      </c>
      <c r="K173">
        <v>357.6611642423772</v>
      </c>
      <c r="L173">
        <v>130.16535695576474</v>
      </c>
      <c r="M173">
        <v>194.39808553046217</v>
      </c>
      <c r="O173">
        <v>257.38092597135875</v>
      </c>
      <c r="P173">
        <v>150.40184743493958</v>
      </c>
      <c r="Q173">
        <v>45674.999895137051</v>
      </c>
      <c r="U173">
        <v>141.02542817394371</v>
      </c>
    </row>
    <row r="174" spans="1:21" ht="16.25" customHeight="1">
      <c r="A174" s="3">
        <v>41760</v>
      </c>
      <c r="B174" s="3">
        <v>41760</v>
      </c>
      <c r="C174">
        <v>283.45233455152669</v>
      </c>
      <c r="D174">
        <v>116.05906504308282</v>
      </c>
      <c r="E174">
        <v>154.90736928985078</v>
      </c>
      <c r="F174">
        <v>79.768582565630894</v>
      </c>
      <c r="G174">
        <v>106.90344748483258</v>
      </c>
      <c r="H174">
        <v>6673.1887901550008</v>
      </c>
      <c r="I174">
        <v>3454.3666013986217</v>
      </c>
      <c r="J174">
        <v>431.73438779081397</v>
      </c>
      <c r="K174">
        <v>360.9017301107686</v>
      </c>
      <c r="L174">
        <v>130.36912733056587</v>
      </c>
      <c r="M174">
        <v>195.21054984738404</v>
      </c>
      <c r="O174">
        <v>261.18423004573634</v>
      </c>
      <c r="P174">
        <v>150.50644932744603</v>
      </c>
      <c r="Q174">
        <v>45996.800654452891</v>
      </c>
      <c r="U174">
        <v>142.07684344107309</v>
      </c>
    </row>
    <row r="175" spans="1:21" ht="16.25" customHeight="1">
      <c r="A175" s="3">
        <v>41791</v>
      </c>
      <c r="B175" s="3">
        <v>41791</v>
      </c>
      <c r="C175">
        <v>278.12853544996722</v>
      </c>
      <c r="D175">
        <v>112.44574875299085</v>
      </c>
      <c r="E175">
        <v>154.13325105169753</v>
      </c>
      <c r="F175">
        <v>81.382996523217102</v>
      </c>
      <c r="G175">
        <v>104.06212354779777</v>
      </c>
      <c r="H175">
        <v>6323.5875424211627</v>
      </c>
      <c r="I175">
        <v>3340.6023998948604</v>
      </c>
      <c r="J175">
        <v>440.26920767849617</v>
      </c>
      <c r="K175">
        <v>363.03681204520575</v>
      </c>
      <c r="L175">
        <v>130.99375044631236</v>
      </c>
      <c r="M175">
        <v>198.73454501436052</v>
      </c>
      <c r="O175">
        <v>265.32364446804741</v>
      </c>
      <c r="P175">
        <v>150.83441386502506</v>
      </c>
      <c r="Q175">
        <v>45807.713269414147</v>
      </c>
      <c r="U175">
        <v>142.80142457218005</v>
      </c>
    </row>
    <row r="176" spans="1:21" ht="16.25" customHeight="1">
      <c r="A176" s="3">
        <v>41821</v>
      </c>
      <c r="B176" s="3">
        <v>41821</v>
      </c>
      <c r="C176">
        <v>284.14728234114739</v>
      </c>
      <c r="D176">
        <v>118.04418502106151</v>
      </c>
      <c r="E176">
        <v>154.18717757941931</v>
      </c>
      <c r="F176">
        <v>80.774232980297541</v>
      </c>
      <c r="G176">
        <v>105.87523296514732</v>
      </c>
      <c r="H176">
        <v>6659.6598559960103</v>
      </c>
      <c r="I176">
        <v>3628.1489108702212</v>
      </c>
      <c r="J176">
        <v>438.05743207130269</v>
      </c>
      <c r="K176">
        <v>363.77128518443834</v>
      </c>
      <c r="L176">
        <v>130.98377238451528</v>
      </c>
      <c r="M176">
        <v>198.80361982093751</v>
      </c>
      <c r="O176">
        <v>265.35300650944464</v>
      </c>
      <c r="P176">
        <v>151.59053788472858</v>
      </c>
      <c r="Q176">
        <v>47582.622448072842</v>
      </c>
      <c r="U176">
        <v>142.55673713684706</v>
      </c>
    </row>
    <row r="177" spans="1:21" ht="16.25" customHeight="1">
      <c r="A177" s="3">
        <v>41852</v>
      </c>
      <c r="B177" s="3">
        <v>41852</v>
      </c>
      <c r="C177">
        <v>289.64223039083629</v>
      </c>
      <c r="D177">
        <v>121.57960632468853</v>
      </c>
      <c r="E177">
        <v>155.2320319109476</v>
      </c>
      <c r="F177">
        <v>80.771446207148628</v>
      </c>
      <c r="G177">
        <v>104.12070067079507</v>
      </c>
      <c r="H177">
        <v>7130.8613403587015</v>
      </c>
      <c r="I177">
        <v>3798.6764946359935</v>
      </c>
      <c r="J177">
        <v>446.17064214193925</v>
      </c>
      <c r="K177">
        <v>363.14787513149679</v>
      </c>
      <c r="L177">
        <v>131.0869410955469</v>
      </c>
      <c r="M177">
        <v>198.2320540432286</v>
      </c>
      <c r="O177">
        <v>265.29421763105501</v>
      </c>
      <c r="P177">
        <v>152.76987618085982</v>
      </c>
      <c r="Q177">
        <v>48075.625398517928</v>
      </c>
      <c r="U177">
        <v>142.31738522464795</v>
      </c>
    </row>
    <row r="178" spans="1:21" ht="16.25" customHeight="1">
      <c r="A178" s="3">
        <v>41883</v>
      </c>
      <c r="B178" s="3">
        <v>41883</v>
      </c>
      <c r="C178">
        <v>285.54709151896918</v>
      </c>
      <c r="D178">
        <v>118.64771100465894</v>
      </c>
      <c r="E178">
        <v>154.36216170471025</v>
      </c>
      <c r="F178">
        <v>80.275581686342989</v>
      </c>
      <c r="G178">
        <v>102.71481920386078</v>
      </c>
      <c r="H178">
        <v>6784.6638836698176</v>
      </c>
      <c r="I178">
        <v>3711.2554340132533</v>
      </c>
      <c r="J178">
        <v>437.50578309103247</v>
      </c>
      <c r="K178">
        <v>366.67775778897368</v>
      </c>
      <c r="L178">
        <v>131.03135162267526</v>
      </c>
      <c r="M178">
        <v>200.16197136132408</v>
      </c>
      <c r="O178">
        <v>267.71471734448346</v>
      </c>
      <c r="P178">
        <v>152.0681726395465</v>
      </c>
      <c r="Q178">
        <v>46733.471702812305</v>
      </c>
      <c r="U178">
        <v>142.57403602073808</v>
      </c>
    </row>
    <row r="179" spans="1:21" ht="16.25" customHeight="1">
      <c r="A179" s="3">
        <v>41913</v>
      </c>
      <c r="B179" s="3">
        <v>41913</v>
      </c>
      <c r="C179">
        <v>285.22804902553685</v>
      </c>
      <c r="D179">
        <v>115.74983115447279</v>
      </c>
      <c r="E179">
        <v>156.7719609729636</v>
      </c>
      <c r="F179">
        <v>80.989957835237249</v>
      </c>
      <c r="G179">
        <v>102.20550216374181</v>
      </c>
      <c r="H179">
        <v>6719.3993762359187</v>
      </c>
      <c r="I179">
        <v>3819.5627532358412</v>
      </c>
      <c r="J179">
        <v>451.54739758279555</v>
      </c>
      <c r="K179">
        <v>314.50284116275031</v>
      </c>
      <c r="L179">
        <v>130.93342444635104</v>
      </c>
      <c r="M179">
        <v>203.53992546680766</v>
      </c>
      <c r="O179">
        <v>264.10297352648797</v>
      </c>
      <c r="P179">
        <v>152.4186859457991</v>
      </c>
      <c r="Q179">
        <v>47501.030644986007</v>
      </c>
      <c r="U179">
        <v>142.62335720899594</v>
      </c>
    </row>
    <row r="180" spans="1:21" ht="16.25" customHeight="1">
      <c r="A180" s="3">
        <v>41944</v>
      </c>
      <c r="B180" s="3">
        <v>41944</v>
      </c>
      <c r="C180">
        <v>289.00065550597287</v>
      </c>
      <c r="D180">
        <v>119.03495470140075</v>
      </c>
      <c r="E180">
        <v>156.40973829679879</v>
      </c>
      <c r="F180">
        <v>81.540326198246532</v>
      </c>
      <c r="G180">
        <v>101.86968503770754</v>
      </c>
      <c r="H180">
        <v>6783.6696357715791</v>
      </c>
      <c r="I180">
        <v>3448.5676039500045</v>
      </c>
      <c r="J180">
        <v>442.67617307232047</v>
      </c>
      <c r="K180">
        <v>444.08817189072909</v>
      </c>
      <c r="L180">
        <v>131.56652014088084</v>
      </c>
      <c r="M180">
        <v>204.90827849264559</v>
      </c>
      <c r="O180">
        <v>262.00760690003204</v>
      </c>
      <c r="P180">
        <v>152.9839438874186</v>
      </c>
      <c r="Q180">
        <v>46947.132256552992</v>
      </c>
      <c r="U180">
        <v>143.78451818328594</v>
      </c>
    </row>
    <row r="181" spans="1:21" ht="16.25" customHeight="1">
      <c r="A181" s="3">
        <v>41974</v>
      </c>
      <c r="B181" s="3">
        <v>41974</v>
      </c>
      <c r="C181">
        <v>286.59521223630151</v>
      </c>
      <c r="D181">
        <v>117.87906327935298</v>
      </c>
      <c r="E181">
        <v>156.53265218908777</v>
      </c>
      <c r="F181">
        <v>80.464575542996869</v>
      </c>
      <c r="G181">
        <v>102.16705391247977</v>
      </c>
      <c r="H181">
        <v>6885.5980447647416</v>
      </c>
      <c r="I181">
        <v>3954.4666312682757</v>
      </c>
      <c r="J181">
        <v>452.6061304788638</v>
      </c>
      <c r="K181">
        <v>344.37720461579647</v>
      </c>
      <c r="L181">
        <v>132.58439409231252</v>
      </c>
      <c r="M181">
        <v>204.34006354019198</v>
      </c>
      <c r="O181">
        <v>266.80966477581995</v>
      </c>
      <c r="P181">
        <v>153.05935897210452</v>
      </c>
      <c r="Q181">
        <v>47728.84586527638</v>
      </c>
      <c r="U181">
        <v>152.02626749828013</v>
      </c>
    </row>
    <row r="182" spans="1:21" ht="16.25" customHeight="1">
      <c r="A182" s="3">
        <v>42005</v>
      </c>
      <c r="B182" s="3">
        <v>42005</v>
      </c>
      <c r="C182">
        <v>280.82077922125268</v>
      </c>
      <c r="D182">
        <v>114.87883550573302</v>
      </c>
      <c r="E182">
        <v>155.14653140939274</v>
      </c>
      <c r="F182">
        <v>78.505399599069619</v>
      </c>
      <c r="G182">
        <v>99.030218893311698</v>
      </c>
      <c r="H182">
        <v>6652.2881947128662</v>
      </c>
      <c r="I182">
        <v>3826.4200445533261</v>
      </c>
      <c r="J182">
        <v>446.48183378810842</v>
      </c>
      <c r="K182">
        <v>350.8848346263191</v>
      </c>
      <c r="L182">
        <v>133.55659425568652</v>
      </c>
      <c r="M182">
        <v>202.53091352586421</v>
      </c>
      <c r="O182">
        <v>266.18188783868413</v>
      </c>
      <c r="P182">
        <v>152.82588664729033</v>
      </c>
      <c r="Q182">
        <v>43625.933241579303</v>
      </c>
      <c r="U182">
        <v>144.15714660100718</v>
      </c>
    </row>
    <row r="183" spans="1:21" ht="16.25" customHeight="1">
      <c r="A183" s="3">
        <v>42036</v>
      </c>
      <c r="B183" s="3">
        <v>42036</v>
      </c>
      <c r="C183">
        <v>282.18359136373442</v>
      </c>
      <c r="D183">
        <v>115.32811116456075</v>
      </c>
      <c r="E183">
        <v>155.75625117105986</v>
      </c>
      <c r="F183">
        <v>78.694214844488442</v>
      </c>
      <c r="G183">
        <v>99.054690626723271</v>
      </c>
      <c r="H183">
        <v>6745.8152510806749</v>
      </c>
      <c r="I183">
        <v>3817.5123199119826</v>
      </c>
      <c r="J183">
        <v>453.92096268546879</v>
      </c>
      <c r="K183">
        <v>355.78320549714692</v>
      </c>
      <c r="L183">
        <v>132.64135807803902</v>
      </c>
      <c r="M183">
        <v>199.73492621419686</v>
      </c>
      <c r="O183">
        <v>267.25042577728567</v>
      </c>
      <c r="P183">
        <v>152.68133620891365</v>
      </c>
      <c r="Q183">
        <v>42682.373450483763</v>
      </c>
      <c r="U183">
        <v>145.00538028736881</v>
      </c>
    </row>
    <row r="184" spans="1:21" ht="16.25" customHeight="1">
      <c r="A184" s="3">
        <v>42064</v>
      </c>
      <c r="B184" s="3">
        <v>42064</v>
      </c>
      <c r="C184">
        <v>282.29889001104675</v>
      </c>
      <c r="D184">
        <v>115.34388135606271</v>
      </c>
      <c r="E184">
        <v>156.26920231991289</v>
      </c>
      <c r="F184">
        <v>78.999957956124277</v>
      </c>
      <c r="G184">
        <v>99.029885780566161</v>
      </c>
      <c r="H184">
        <v>6823.0058779203191</v>
      </c>
      <c r="I184">
        <v>3792.1507085113285</v>
      </c>
      <c r="J184">
        <v>449.27357498487027</v>
      </c>
      <c r="K184">
        <v>362.03593263218232</v>
      </c>
      <c r="L184">
        <v>133.30872200711332</v>
      </c>
      <c r="M184">
        <v>200.28649811791738</v>
      </c>
      <c r="O184">
        <v>260.87100881210148</v>
      </c>
      <c r="P184">
        <v>152.94713247183381</v>
      </c>
      <c r="Q184">
        <v>42416.950386217221</v>
      </c>
      <c r="U184">
        <v>143.51458409687825</v>
      </c>
    </row>
    <row r="185" spans="1:21" ht="16.25" customHeight="1">
      <c r="A185" s="3">
        <v>42095</v>
      </c>
      <c r="B185" s="3">
        <v>42095</v>
      </c>
      <c r="C185">
        <v>281.82044851700903</v>
      </c>
      <c r="D185">
        <v>115.6669257332139</v>
      </c>
      <c r="E185">
        <v>155.68955603835462</v>
      </c>
      <c r="F185">
        <v>78.824363991069546</v>
      </c>
      <c r="G185">
        <v>98.297774030389022</v>
      </c>
      <c r="H185">
        <v>6641.4758376517302</v>
      </c>
      <c r="I185">
        <v>3695.6085488231492</v>
      </c>
      <c r="J185">
        <v>455.52255464502548</v>
      </c>
      <c r="K185">
        <v>365.06968025964716</v>
      </c>
      <c r="L185">
        <v>133.38572797363878</v>
      </c>
      <c r="M185">
        <v>199.47759084346046</v>
      </c>
      <c r="O185">
        <v>263.35593450562686</v>
      </c>
      <c r="P185">
        <v>152.97142222248323</v>
      </c>
      <c r="Q185">
        <v>41961.388962085512</v>
      </c>
      <c r="U185">
        <v>146.05370474169095</v>
      </c>
    </row>
    <row r="186" spans="1:21" ht="16.25" customHeight="1">
      <c r="A186" s="3">
        <v>42125</v>
      </c>
      <c r="B186" s="3">
        <v>42125</v>
      </c>
      <c r="C186">
        <v>285.54651901032594</v>
      </c>
      <c r="D186">
        <v>118.41338847922285</v>
      </c>
      <c r="E186">
        <v>155.60335354915611</v>
      </c>
      <c r="F186">
        <v>79.206379922104475</v>
      </c>
      <c r="G186">
        <v>97.156985486557119</v>
      </c>
      <c r="H186">
        <v>7021.5014956525574</v>
      </c>
      <c r="I186">
        <v>3965.3922747390375</v>
      </c>
      <c r="J186">
        <v>458.99935496974746</v>
      </c>
      <c r="K186">
        <v>366.12875327665597</v>
      </c>
      <c r="L186">
        <v>132.91853114753945</v>
      </c>
      <c r="M186">
        <v>198.68998328062301</v>
      </c>
      <c r="O186">
        <v>275.81275437099418</v>
      </c>
      <c r="P186">
        <v>153.44913909849529</v>
      </c>
      <c r="Q186">
        <v>42350.096779445274</v>
      </c>
      <c r="U186">
        <v>145.55501136015275</v>
      </c>
    </row>
    <row r="187" spans="1:21" ht="16.25" customHeight="1">
      <c r="A187" s="3">
        <v>42156</v>
      </c>
      <c r="B187" s="3">
        <v>42156</v>
      </c>
      <c r="C187">
        <v>280.35844326411217</v>
      </c>
      <c r="D187">
        <v>113.09492775569412</v>
      </c>
      <c r="E187">
        <v>156.03010159901078</v>
      </c>
      <c r="F187">
        <v>79.568319790844157</v>
      </c>
      <c r="G187">
        <v>94.757703170233157</v>
      </c>
      <c r="H187">
        <v>6512.2089900090305</v>
      </c>
      <c r="I187">
        <v>3687.4526993964405</v>
      </c>
      <c r="J187">
        <v>460.71266918739917</v>
      </c>
      <c r="K187">
        <v>369.32305326590847</v>
      </c>
      <c r="L187">
        <v>133.29825298632215</v>
      </c>
      <c r="M187">
        <v>199.63000356922657</v>
      </c>
      <c r="O187">
        <v>277.36283860379774</v>
      </c>
      <c r="P187">
        <v>152.64975654303743</v>
      </c>
      <c r="Q187">
        <v>41973.212713668247</v>
      </c>
      <c r="U187">
        <v>145.19497190662034</v>
      </c>
    </row>
    <row r="188" spans="1:21" ht="16.25" customHeight="1">
      <c r="A188" s="3">
        <v>42186</v>
      </c>
      <c r="B188" s="3">
        <v>42186</v>
      </c>
      <c r="C188">
        <v>278.69439187294154</v>
      </c>
      <c r="D188">
        <v>112.70160453780791</v>
      </c>
      <c r="E188">
        <v>156.72811284225878</v>
      </c>
      <c r="F188">
        <v>78.048346212852152</v>
      </c>
      <c r="G188">
        <v>95.250443826569395</v>
      </c>
      <c r="H188">
        <v>6581.4399141394733</v>
      </c>
      <c r="I188">
        <v>3834.3690471201057</v>
      </c>
      <c r="J188">
        <v>459.25750663946752</v>
      </c>
      <c r="K188">
        <v>370.38387953119474</v>
      </c>
      <c r="L188">
        <v>133.62608584629368</v>
      </c>
      <c r="M188">
        <v>199.75999647044048</v>
      </c>
      <c r="O188">
        <v>278.14007225410933</v>
      </c>
      <c r="P188">
        <v>152.41453260121182</v>
      </c>
      <c r="Q188">
        <v>42506.60389440992</v>
      </c>
      <c r="U188">
        <v>146.26887729408091</v>
      </c>
    </row>
    <row r="189" spans="1:21" ht="16.25" customHeight="1">
      <c r="A189" s="3">
        <v>42217</v>
      </c>
      <c r="B189" s="3">
        <v>42217</v>
      </c>
      <c r="C189">
        <v>275.85907610672035</v>
      </c>
      <c r="D189">
        <v>113.50003270023711</v>
      </c>
      <c r="E189">
        <v>155.11558954595091</v>
      </c>
      <c r="F189">
        <v>80.856663311080965</v>
      </c>
      <c r="G189">
        <v>95.094321378706013</v>
      </c>
      <c r="H189">
        <v>6552.3754779512319</v>
      </c>
      <c r="I189">
        <v>3827.7854021222784</v>
      </c>
      <c r="J189">
        <v>460.67918825406798</v>
      </c>
      <c r="K189">
        <v>363.13049787773269</v>
      </c>
      <c r="L189">
        <v>125.37533606344127</v>
      </c>
      <c r="M189">
        <v>197.77244009268063</v>
      </c>
      <c r="O189">
        <v>281.39371825117706</v>
      </c>
      <c r="P189">
        <v>151.30959920941226</v>
      </c>
      <c r="Q189">
        <v>42372.224556178386</v>
      </c>
      <c r="U189">
        <v>146.62270108924022</v>
      </c>
    </row>
    <row r="190" spans="1:21" ht="16.25" customHeight="1">
      <c r="A190" s="3">
        <v>42248</v>
      </c>
      <c r="B190" s="3">
        <v>42248</v>
      </c>
      <c r="C190">
        <v>276.7905156025268</v>
      </c>
      <c r="D190">
        <v>109.8853459830177</v>
      </c>
      <c r="E190">
        <v>156.72797898287104</v>
      </c>
      <c r="F190">
        <v>78.370657559296205</v>
      </c>
      <c r="G190">
        <v>95.067598236930664</v>
      </c>
      <c r="H190">
        <v>6387.8877116171225</v>
      </c>
      <c r="I190">
        <v>3777.6182311827888</v>
      </c>
      <c r="J190">
        <v>467.64402762535059</v>
      </c>
      <c r="K190">
        <v>368.55927364794081</v>
      </c>
      <c r="L190">
        <v>127.63597228868684</v>
      </c>
      <c r="M190">
        <v>198.69078046721933</v>
      </c>
      <c r="O190">
        <v>277.43723380875298</v>
      </c>
      <c r="P190">
        <v>151.81084381781778</v>
      </c>
      <c r="Q190">
        <v>43251.263926391737</v>
      </c>
      <c r="U190">
        <v>146.80151310591043</v>
      </c>
    </row>
    <row r="191" spans="1:21">
      <c r="A191" s="3">
        <v>42278</v>
      </c>
      <c r="B191" s="3">
        <v>42278</v>
      </c>
      <c r="C191">
        <v>278.06595331227237</v>
      </c>
      <c r="D191">
        <v>110.86114880262079</v>
      </c>
      <c r="E191">
        <v>156.16446961382968</v>
      </c>
      <c r="F191">
        <v>80.260736425304771</v>
      </c>
      <c r="G191">
        <v>94.884616750875352</v>
      </c>
      <c r="H191">
        <v>6251.4141386191714</v>
      </c>
      <c r="I191">
        <v>3650.553469424889</v>
      </c>
      <c r="J191">
        <v>468.58582085341772</v>
      </c>
      <c r="K191">
        <v>374.48059615223229</v>
      </c>
      <c r="L191">
        <v>127.61410794003662</v>
      </c>
      <c r="M191">
        <v>193.6688342257745</v>
      </c>
      <c r="O191">
        <v>280.81718424570295</v>
      </c>
      <c r="P191">
        <v>151.33910935160893</v>
      </c>
      <c r="Q191">
        <v>42717.139984196983</v>
      </c>
      <c r="U191">
        <v>145.7876989698683</v>
      </c>
    </row>
    <row r="192" spans="1:21">
      <c r="A192" s="3">
        <v>42309</v>
      </c>
      <c r="B192" s="3">
        <v>42309</v>
      </c>
      <c r="C192">
        <v>279.23551915937594</v>
      </c>
      <c r="D192">
        <v>113.430577773626</v>
      </c>
      <c r="E192">
        <v>155.59086107676592</v>
      </c>
      <c r="F192">
        <v>78.966751623774201</v>
      </c>
      <c r="G192">
        <v>95.204379987273157</v>
      </c>
      <c r="H192">
        <v>6657.7719853392873</v>
      </c>
      <c r="I192">
        <v>3962.6931749678197</v>
      </c>
      <c r="J192">
        <v>467.64740218224568</v>
      </c>
      <c r="K192">
        <v>373.83386376658575</v>
      </c>
      <c r="L192">
        <v>128.50886403873929</v>
      </c>
      <c r="M192">
        <v>195.6400957054087</v>
      </c>
      <c r="O192">
        <v>275.08663012871131</v>
      </c>
      <c r="P192">
        <v>151.91489936772265</v>
      </c>
      <c r="Q192">
        <v>43696.728073062375</v>
      </c>
      <c r="U192">
        <v>144.35888711352135</v>
      </c>
    </row>
    <row r="193" spans="1:21">
      <c r="A193" s="3">
        <v>42339</v>
      </c>
      <c r="B193" s="3">
        <v>42339</v>
      </c>
      <c r="C193">
        <v>279.07405007076864</v>
      </c>
      <c r="D193">
        <v>113.27669766161738</v>
      </c>
      <c r="E193">
        <v>156.11974199835416</v>
      </c>
      <c r="F193">
        <v>80.065455252258857</v>
      </c>
      <c r="G193">
        <v>93.519921605567731</v>
      </c>
      <c r="H193">
        <v>6615.2064645198043</v>
      </c>
      <c r="I193">
        <v>3863.8750395646457</v>
      </c>
      <c r="J193">
        <v>466.41957355091211</v>
      </c>
      <c r="K193">
        <v>369.47064690584563</v>
      </c>
      <c r="L193">
        <v>126.47147397663144</v>
      </c>
      <c r="M193">
        <v>193.63850898751275</v>
      </c>
      <c r="O193">
        <v>277.70245565507884</v>
      </c>
      <c r="P193">
        <v>151.54934761038075</v>
      </c>
      <c r="Q193">
        <v>42687.330648234296</v>
      </c>
      <c r="U193">
        <v>137.17029232402513</v>
      </c>
    </row>
    <row r="194" spans="1:21">
      <c r="A194" s="3">
        <v>42370</v>
      </c>
      <c r="B194" s="3">
        <v>42370</v>
      </c>
      <c r="C194">
        <v>277.14811229187455</v>
      </c>
      <c r="D194">
        <v>112.46940780917188</v>
      </c>
      <c r="E194">
        <v>155.44688675221357</v>
      </c>
      <c r="F194">
        <v>78.360844050124754</v>
      </c>
      <c r="G194">
        <v>97.880897613518144</v>
      </c>
      <c r="H194">
        <v>6528.2333771654194</v>
      </c>
      <c r="I194">
        <v>3765.5608130487863</v>
      </c>
      <c r="J194">
        <v>473.26460754718778</v>
      </c>
      <c r="K194">
        <v>373.68083628853293</v>
      </c>
      <c r="L194">
        <v>126.89327436143135</v>
      </c>
      <c r="M194">
        <v>195.01795224873499</v>
      </c>
      <c r="O194">
        <v>268.27350702893841</v>
      </c>
      <c r="P194">
        <v>151.48349769129027</v>
      </c>
      <c r="Q194">
        <v>42963.695651916009</v>
      </c>
      <c r="U194">
        <v>144.69220375252621</v>
      </c>
    </row>
    <row r="195" spans="1:21">
      <c r="A195" s="3">
        <v>42401</v>
      </c>
      <c r="B195" s="3">
        <v>42401</v>
      </c>
      <c r="C195">
        <v>279.20402511631221</v>
      </c>
      <c r="D195">
        <v>113.6603659855496</v>
      </c>
      <c r="E195">
        <v>156.05082416071042</v>
      </c>
      <c r="F195">
        <v>78.164732408289026</v>
      </c>
      <c r="G195">
        <v>97.690048769495789</v>
      </c>
      <c r="H195">
        <v>6748.8954788690835</v>
      </c>
      <c r="I195">
        <v>3957.5931692925597</v>
      </c>
      <c r="J195">
        <v>479.86448811160011</v>
      </c>
      <c r="K195">
        <v>374.79656107417355</v>
      </c>
      <c r="L195">
        <v>127.74707741398184</v>
      </c>
      <c r="M195">
        <v>196.97972561635066</v>
      </c>
      <c r="O195">
        <v>284.45115310054445</v>
      </c>
      <c r="P195">
        <v>152.03442238896912</v>
      </c>
      <c r="Q195">
        <v>43521.460658433789</v>
      </c>
      <c r="U195">
        <v>144.44996576201808</v>
      </c>
    </row>
    <row r="196" spans="1:21">
      <c r="A196" s="3">
        <v>42430</v>
      </c>
      <c r="B196" s="3">
        <v>42430</v>
      </c>
      <c r="C196">
        <v>274.51290983271406</v>
      </c>
      <c r="D196">
        <v>110.79079350754635</v>
      </c>
      <c r="E196">
        <v>155.62578720081711</v>
      </c>
      <c r="F196">
        <v>77.507610977490813</v>
      </c>
      <c r="G196">
        <v>96.920481603489236</v>
      </c>
      <c r="H196">
        <v>6491.9898079117474</v>
      </c>
      <c r="I196">
        <v>3848.130667968227</v>
      </c>
      <c r="J196">
        <v>484.30205766725118</v>
      </c>
      <c r="K196">
        <v>374.49001607559774</v>
      </c>
      <c r="L196">
        <v>127.34748048426125</v>
      </c>
      <c r="M196">
        <v>196.28516209541766</v>
      </c>
      <c r="O196">
        <v>299.02507648782853</v>
      </c>
      <c r="P196">
        <v>151.15954686034934</v>
      </c>
      <c r="Q196">
        <v>42401.394264931856</v>
      </c>
      <c r="U196">
        <v>144.25927248400009</v>
      </c>
    </row>
    <row r="197" spans="1:21">
      <c r="A197" s="3">
        <v>42461</v>
      </c>
      <c r="B197" s="3">
        <v>42461</v>
      </c>
      <c r="C197">
        <v>271.79968777707415</v>
      </c>
      <c r="D197">
        <v>108.18936366236758</v>
      </c>
      <c r="E197">
        <v>156.20368978491553</v>
      </c>
      <c r="F197">
        <v>76.494559247552701</v>
      </c>
      <c r="G197">
        <v>96.54199337036043</v>
      </c>
      <c r="H197">
        <v>6225.5051582009874</v>
      </c>
      <c r="I197">
        <v>3583.5456331287423</v>
      </c>
      <c r="J197">
        <v>481.1347084427739</v>
      </c>
      <c r="K197">
        <v>376.68133896488672</v>
      </c>
      <c r="L197">
        <v>128.27637435497925</v>
      </c>
      <c r="M197">
        <v>197.67726314370515</v>
      </c>
      <c r="O197">
        <v>291.87922129963334</v>
      </c>
      <c r="P197">
        <v>151.4684900766585</v>
      </c>
      <c r="Q197">
        <v>42384.796822050113</v>
      </c>
      <c r="U197">
        <v>144.24288373439222</v>
      </c>
    </row>
    <row r="198" spans="1:21">
      <c r="A198" s="3">
        <v>42491</v>
      </c>
      <c r="B198" s="3">
        <v>42491</v>
      </c>
      <c r="C198">
        <v>270.80696875936121</v>
      </c>
      <c r="D198">
        <v>105.87460000040775</v>
      </c>
      <c r="E198">
        <v>156.51591953176086</v>
      </c>
      <c r="F198">
        <v>77.491153581690057</v>
      </c>
      <c r="G198">
        <v>97.675817788370566</v>
      </c>
      <c r="H198">
        <v>6262.9624034235676</v>
      </c>
      <c r="I198">
        <v>3179.0990024232915</v>
      </c>
      <c r="J198">
        <v>486.67167668215905</v>
      </c>
      <c r="K198">
        <v>379.98573833892505</v>
      </c>
      <c r="L198">
        <v>128.65239787100049</v>
      </c>
      <c r="M198">
        <v>197.5951169911537</v>
      </c>
      <c r="O198">
        <v>284.75083990977504</v>
      </c>
      <c r="P198">
        <v>151.62627754827872</v>
      </c>
      <c r="Q198">
        <v>42626.818979766562</v>
      </c>
      <c r="U198">
        <v>144.17610185090658</v>
      </c>
    </row>
    <row r="199" spans="1:21">
      <c r="A199" s="3">
        <v>42522</v>
      </c>
      <c r="B199" s="3">
        <v>42522</v>
      </c>
      <c r="C199">
        <v>278.6166249427082</v>
      </c>
      <c r="D199">
        <v>111.84859284329957</v>
      </c>
      <c r="E199">
        <v>157.20098660970027</v>
      </c>
      <c r="F199">
        <v>77.856017261855058</v>
      </c>
      <c r="G199">
        <v>112.4793742485255</v>
      </c>
      <c r="H199">
        <v>6526.9485638882907</v>
      </c>
      <c r="I199">
        <v>4122.4674151441159</v>
      </c>
      <c r="J199">
        <v>488.41287466852168</v>
      </c>
      <c r="K199">
        <v>379.50996380347061</v>
      </c>
      <c r="L199">
        <v>128.87338034463374</v>
      </c>
      <c r="M199">
        <v>199.2267890610822</v>
      </c>
      <c r="O199">
        <v>289.06204725561327</v>
      </c>
      <c r="P199">
        <v>152.64296561763885</v>
      </c>
      <c r="Q199">
        <v>42790.32275416355</v>
      </c>
      <c r="U199">
        <v>144.27292210485015</v>
      </c>
    </row>
    <row r="200" spans="1:21">
      <c r="A200" s="3">
        <v>42552</v>
      </c>
      <c r="B200" s="3">
        <v>42552</v>
      </c>
      <c r="C200">
        <v>278.63895216536054</v>
      </c>
      <c r="D200">
        <v>110.98125014765328</v>
      </c>
      <c r="E200">
        <v>157.81952340445639</v>
      </c>
      <c r="F200">
        <v>77.658521406496348</v>
      </c>
      <c r="G200">
        <v>112.96217955971771</v>
      </c>
      <c r="H200">
        <v>6530.7220433503289</v>
      </c>
      <c r="I200">
        <v>4025.9174657160333</v>
      </c>
      <c r="J200">
        <v>508.16164853566522</v>
      </c>
      <c r="K200">
        <v>383.33247266106321</v>
      </c>
      <c r="L200">
        <v>128.27685896279124</v>
      </c>
      <c r="M200">
        <v>197.57290065464713</v>
      </c>
      <c r="O200">
        <v>281.85423158352012</v>
      </c>
      <c r="P200">
        <v>153.54368345533632</v>
      </c>
      <c r="Q200">
        <v>41737.88523959033</v>
      </c>
      <c r="U200">
        <v>143.26638763009447</v>
      </c>
    </row>
    <row r="201" spans="1:21">
      <c r="A201" s="3">
        <v>42583</v>
      </c>
      <c r="B201" s="3">
        <v>42583</v>
      </c>
      <c r="C201">
        <v>258.55522486069094</v>
      </c>
      <c r="D201">
        <v>97.327541761801186</v>
      </c>
      <c r="E201">
        <v>158.12332251172259</v>
      </c>
      <c r="F201">
        <v>76.879250994831438</v>
      </c>
      <c r="G201">
        <v>112.38805344361204</v>
      </c>
      <c r="H201">
        <v>5523.2101915546846</v>
      </c>
      <c r="I201">
        <v>3477.0084105119445</v>
      </c>
      <c r="J201">
        <v>498.88396268733732</v>
      </c>
      <c r="K201">
        <v>389.55619109920138</v>
      </c>
      <c r="L201">
        <v>130.41231026871003</v>
      </c>
      <c r="M201">
        <v>201.83467705541798</v>
      </c>
      <c r="O201">
        <v>286.51354944875578</v>
      </c>
      <c r="P201">
        <v>153.31931136757711</v>
      </c>
      <c r="Q201">
        <v>41927.734428409836</v>
      </c>
      <c r="U201">
        <v>143.43572381226784</v>
      </c>
    </row>
    <row r="202" spans="1:21">
      <c r="A202" s="3">
        <v>42614</v>
      </c>
      <c r="B202" s="3">
        <v>42614</v>
      </c>
      <c r="C202">
        <v>278.7807730469882</v>
      </c>
      <c r="D202">
        <v>109.68283872034993</v>
      </c>
      <c r="E202">
        <v>159.13634317018045</v>
      </c>
      <c r="F202">
        <v>78.297746891550389</v>
      </c>
      <c r="G202">
        <v>111.84065246295265</v>
      </c>
      <c r="H202">
        <v>6605.9007055285583</v>
      </c>
      <c r="I202">
        <v>4193.9780864732229</v>
      </c>
      <c r="J202">
        <v>494.15669845718998</v>
      </c>
      <c r="K202">
        <v>381.46804632730414</v>
      </c>
      <c r="L202">
        <v>128.63380370093714</v>
      </c>
      <c r="M202">
        <v>199.51078671166201</v>
      </c>
      <c r="O202">
        <v>286.3321636223817</v>
      </c>
      <c r="P202">
        <v>154.75373680340599</v>
      </c>
      <c r="Q202">
        <v>43265.812998251298</v>
      </c>
      <c r="U202">
        <v>143.42512907796919</v>
      </c>
    </row>
    <row r="203" spans="1:21">
      <c r="A203" s="3">
        <v>42644</v>
      </c>
      <c r="B203" s="3">
        <v>42644</v>
      </c>
      <c r="C203">
        <v>286.55010063912181</v>
      </c>
      <c r="D203">
        <v>116.9844471515307</v>
      </c>
      <c r="E203">
        <v>159.35621467502301</v>
      </c>
      <c r="F203">
        <v>78.80087285008274</v>
      </c>
      <c r="G203">
        <v>111.22544632312007</v>
      </c>
      <c r="H203">
        <v>6837.4833200558332</v>
      </c>
      <c r="I203">
        <v>4259.0920330426552</v>
      </c>
      <c r="J203">
        <v>501.23449150522794</v>
      </c>
      <c r="K203">
        <v>386.94911120808661</v>
      </c>
      <c r="L203">
        <v>129.44877170577467</v>
      </c>
      <c r="M203">
        <v>203.9710633385688</v>
      </c>
      <c r="O203">
        <v>282.90775724522246</v>
      </c>
      <c r="P203">
        <v>155.9096041199833</v>
      </c>
      <c r="Q203">
        <v>43062.623514450694</v>
      </c>
      <c r="U203">
        <v>144.87210623073474</v>
      </c>
    </row>
    <row r="204" spans="1:21">
      <c r="A204" s="3">
        <v>42675</v>
      </c>
      <c r="B204" s="3">
        <v>42675</v>
      </c>
      <c r="C204">
        <v>284.34415541246369</v>
      </c>
      <c r="D204">
        <v>115.01131667699663</v>
      </c>
      <c r="E204">
        <v>159.59486464691545</v>
      </c>
      <c r="F204">
        <v>78.122172075675181</v>
      </c>
      <c r="G204">
        <v>111.14712065573066</v>
      </c>
      <c r="H204">
        <v>6773.9277569592196</v>
      </c>
      <c r="I204">
        <v>4035.0264280940605</v>
      </c>
      <c r="J204">
        <v>521.85568022063046</v>
      </c>
      <c r="K204">
        <v>385.60235056238491</v>
      </c>
      <c r="L204">
        <v>130.3303275271449</v>
      </c>
      <c r="M204">
        <v>202.04901753697735</v>
      </c>
      <c r="O204">
        <v>304.82730109375603</v>
      </c>
      <c r="P204">
        <v>156.81274391355981</v>
      </c>
      <c r="Q204">
        <v>43698.987394415846</v>
      </c>
      <c r="U204">
        <v>145.5692598871064</v>
      </c>
    </row>
    <row r="205" spans="1:21">
      <c r="A205" s="3">
        <v>42705</v>
      </c>
      <c r="B205" s="3">
        <v>42705</v>
      </c>
      <c r="C205">
        <v>285.92705654288511</v>
      </c>
      <c r="D205">
        <v>115.27451845127206</v>
      </c>
      <c r="E205">
        <v>160.71641938991661</v>
      </c>
      <c r="F205">
        <v>77.505553898451311</v>
      </c>
      <c r="G205">
        <v>111.41291561564073</v>
      </c>
      <c r="H205">
        <v>6925.3423782326045</v>
      </c>
      <c r="I205">
        <v>4104.6479988206702</v>
      </c>
      <c r="J205">
        <v>512.98333171461354</v>
      </c>
      <c r="K205">
        <v>385.8323828178934</v>
      </c>
      <c r="L205">
        <v>130.32958737108578</v>
      </c>
      <c r="M205">
        <v>204.43961485207603</v>
      </c>
      <c r="O205">
        <v>300.77968931636508</v>
      </c>
      <c r="P205">
        <v>156.91229757129318</v>
      </c>
      <c r="Q205">
        <v>44572.091689133755</v>
      </c>
      <c r="U205">
        <v>144.03856490480138</v>
      </c>
    </row>
    <row r="206" spans="1:21">
      <c r="A206" s="3">
        <v>42736</v>
      </c>
      <c r="B206" s="3">
        <v>42736</v>
      </c>
      <c r="C206">
        <v>289.80232188940602</v>
      </c>
      <c r="D206">
        <v>117.21971574836824</v>
      </c>
      <c r="E206">
        <v>161.67769836465462</v>
      </c>
      <c r="F206">
        <v>79.553549355812052</v>
      </c>
      <c r="G206">
        <v>108.10447452029294</v>
      </c>
      <c r="H206">
        <v>6939.1022702790124</v>
      </c>
      <c r="I206">
        <v>4201.3428295204267</v>
      </c>
      <c r="J206">
        <v>524.49634920736275</v>
      </c>
      <c r="K206">
        <v>387.34967708286752</v>
      </c>
      <c r="L206">
        <v>129.27273446137227</v>
      </c>
      <c r="M206">
        <v>205.53816826383493</v>
      </c>
      <c r="O206">
        <v>300.31429998789042</v>
      </c>
      <c r="P206">
        <v>157.63881796639376</v>
      </c>
      <c r="Q206">
        <v>44901.845257028865</v>
      </c>
      <c r="U206">
        <v>145.42338955755352</v>
      </c>
    </row>
    <row r="207" spans="1:21">
      <c r="A207" s="3">
        <v>42767</v>
      </c>
      <c r="B207" s="3">
        <v>42767</v>
      </c>
      <c r="C207">
        <v>288.28956106476733</v>
      </c>
      <c r="D207">
        <v>115.84960341841315</v>
      </c>
      <c r="E207">
        <v>162.36417852113905</v>
      </c>
      <c r="F207">
        <v>79.649104821947461</v>
      </c>
      <c r="G207">
        <v>107.47033945621784</v>
      </c>
      <c r="H207">
        <v>6892.7858129635033</v>
      </c>
      <c r="I207">
        <v>4183.715948759108</v>
      </c>
      <c r="J207">
        <v>509.54302002240212</v>
      </c>
      <c r="K207">
        <v>390.4510781287517</v>
      </c>
      <c r="L207">
        <v>130.42193048547429</v>
      </c>
      <c r="M207">
        <v>207.50873855156814</v>
      </c>
      <c r="O207">
        <v>280.66082989954208</v>
      </c>
      <c r="P207">
        <v>157.95999886383711</v>
      </c>
      <c r="Q207">
        <v>44218.934346242699</v>
      </c>
      <c r="U207">
        <v>145.42854359686066</v>
      </c>
    </row>
    <row r="208" spans="1:21">
      <c r="A208" s="3">
        <v>42795</v>
      </c>
      <c r="B208" s="3">
        <v>42795</v>
      </c>
      <c r="C208">
        <v>293.30795840996967</v>
      </c>
      <c r="D208">
        <v>120.44987676499956</v>
      </c>
      <c r="E208">
        <v>162.77220126992972</v>
      </c>
      <c r="F208">
        <v>81.60162474633691</v>
      </c>
      <c r="G208">
        <v>108.2092096706829</v>
      </c>
      <c r="H208">
        <v>7253.6805711587722</v>
      </c>
      <c r="I208">
        <v>4384.8655567838377</v>
      </c>
      <c r="J208">
        <v>513.29439020999439</v>
      </c>
      <c r="K208">
        <v>392.6395862839525</v>
      </c>
      <c r="L208">
        <v>131.32228063341316</v>
      </c>
      <c r="M208">
        <v>208.31869599895242</v>
      </c>
      <c r="O208">
        <v>296.4549058215822</v>
      </c>
      <c r="P208">
        <v>159.4581819666806</v>
      </c>
      <c r="Q208">
        <v>46286.980725690912</v>
      </c>
      <c r="U208">
        <v>145.87200824702236</v>
      </c>
    </row>
    <row r="209" spans="1:21">
      <c r="A209" s="3">
        <v>42826</v>
      </c>
      <c r="B209" s="3">
        <v>42826</v>
      </c>
      <c r="C209">
        <v>296.73501070239087</v>
      </c>
      <c r="D209">
        <v>122.46734528784361</v>
      </c>
      <c r="E209">
        <v>164.02579326910026</v>
      </c>
      <c r="F209">
        <v>81.280020560706291</v>
      </c>
      <c r="G209">
        <v>107.51291705650058</v>
      </c>
      <c r="H209">
        <v>7078.1705667221631</v>
      </c>
      <c r="I209">
        <v>4429.2810912088225</v>
      </c>
      <c r="J209">
        <v>524.33331794331275</v>
      </c>
      <c r="K209">
        <v>391.97507443359933</v>
      </c>
      <c r="L209">
        <v>130.61859384460746</v>
      </c>
      <c r="M209">
        <v>207.93277793961303</v>
      </c>
      <c r="O209">
        <v>306.57700709612436</v>
      </c>
      <c r="P209">
        <v>160.23289683190362</v>
      </c>
      <c r="Q209">
        <v>45259.662778208243</v>
      </c>
      <c r="U209">
        <v>145.34913694795176</v>
      </c>
    </row>
    <row r="210" spans="1:21">
      <c r="A210" s="3">
        <v>42856</v>
      </c>
      <c r="B210" s="3">
        <v>42856</v>
      </c>
      <c r="C210">
        <v>296.90451534878571</v>
      </c>
      <c r="D210">
        <v>120.3406056775126</v>
      </c>
      <c r="E210">
        <v>164.66792235663749</v>
      </c>
      <c r="F210">
        <v>80.378803157028216</v>
      </c>
      <c r="G210">
        <v>106.82787057637815</v>
      </c>
      <c r="H210">
        <v>7309.4313161002083</v>
      </c>
      <c r="I210">
        <v>4424.382265597942</v>
      </c>
      <c r="J210">
        <v>526.62554034051095</v>
      </c>
      <c r="K210">
        <v>393.16249820073364</v>
      </c>
      <c r="L210">
        <v>132.16897918779227</v>
      </c>
      <c r="M210">
        <v>211.56732877036541</v>
      </c>
      <c r="O210">
        <v>303.59140358832121</v>
      </c>
      <c r="P210">
        <v>160.85480567799348</v>
      </c>
      <c r="Q210">
        <v>45939.150396405974</v>
      </c>
      <c r="U210">
        <v>145.76257725070599</v>
      </c>
    </row>
    <row r="211" spans="1:21">
      <c r="A211" s="3">
        <v>42887</v>
      </c>
      <c r="B211" s="3">
        <v>42887</v>
      </c>
      <c r="C211">
        <v>297.06932560389009</v>
      </c>
      <c r="D211">
        <v>121.90979957996221</v>
      </c>
      <c r="E211">
        <v>164.84681548006483</v>
      </c>
      <c r="F211">
        <v>80.033266206365752</v>
      </c>
      <c r="G211">
        <v>109.69331322856206</v>
      </c>
      <c r="H211">
        <v>7325.8351577510575</v>
      </c>
      <c r="I211">
        <v>4498.1745963586909</v>
      </c>
      <c r="J211">
        <v>519.59402686392104</v>
      </c>
      <c r="K211">
        <v>395.25986956179162</v>
      </c>
      <c r="L211">
        <v>131.92385881213352</v>
      </c>
      <c r="M211">
        <v>209.80269501555338</v>
      </c>
      <c r="O211">
        <v>296.29244517618991</v>
      </c>
      <c r="P211">
        <v>161.33787391786214</v>
      </c>
      <c r="Q211">
        <v>46429.5814368766</v>
      </c>
      <c r="U211">
        <v>146.11616280628525</v>
      </c>
    </row>
    <row r="212" spans="1:21">
      <c r="A212" s="3">
        <v>42917</v>
      </c>
      <c r="B212" s="3">
        <v>42917</v>
      </c>
      <c r="C212">
        <v>298.67046269218383</v>
      </c>
      <c r="D212">
        <v>122.34449286554049</v>
      </c>
      <c r="E212">
        <v>165.73375961791908</v>
      </c>
      <c r="F212">
        <v>81.153521252091437</v>
      </c>
      <c r="G212">
        <v>107.66004652829683</v>
      </c>
      <c r="H212">
        <v>7051.0489650043046</v>
      </c>
      <c r="I212">
        <v>4455.4532120760614</v>
      </c>
      <c r="J212">
        <v>515.66217016917597</v>
      </c>
      <c r="K212">
        <v>395.11356564778498</v>
      </c>
      <c r="L212">
        <v>133.29888084061176</v>
      </c>
      <c r="M212">
        <v>213.71138741436067</v>
      </c>
      <c r="O212">
        <v>313.38062278562182</v>
      </c>
      <c r="P212">
        <v>161.75554084081676</v>
      </c>
      <c r="Q212">
        <v>46437.048388776006</v>
      </c>
      <c r="U212">
        <v>146.0208832383606</v>
      </c>
    </row>
    <row r="213" spans="1:21">
      <c r="A213" s="3">
        <v>42948</v>
      </c>
      <c r="B213" s="3">
        <v>42948</v>
      </c>
      <c r="C213">
        <v>298.54042770594731</v>
      </c>
      <c r="D213">
        <v>122.05736923823228</v>
      </c>
      <c r="E213">
        <v>166.5223162332498</v>
      </c>
      <c r="F213">
        <v>82.11536314225863</v>
      </c>
      <c r="G213">
        <v>108.08637572148294</v>
      </c>
      <c r="H213">
        <v>7192.764267509272</v>
      </c>
      <c r="I213">
        <v>4443.5784759918106</v>
      </c>
      <c r="J213">
        <v>525.39162705494414</v>
      </c>
      <c r="K213">
        <v>405.10827875659731</v>
      </c>
      <c r="L213">
        <v>133.81392292822048</v>
      </c>
      <c r="M213">
        <v>210.54780397826303</v>
      </c>
      <c r="O213">
        <v>316.00428438356562</v>
      </c>
      <c r="P213">
        <v>163.42928130961161</v>
      </c>
      <c r="Q213">
        <v>46873.82536167973</v>
      </c>
      <c r="U213">
        <v>146.54205920997489</v>
      </c>
    </row>
    <row r="214" spans="1:21">
      <c r="A214" s="3">
        <v>42979</v>
      </c>
      <c r="B214" s="3">
        <v>42979</v>
      </c>
      <c r="C214">
        <v>298.1131241091619</v>
      </c>
      <c r="D214">
        <v>122.39908779029194</v>
      </c>
      <c r="E214">
        <v>165.71903739047482</v>
      </c>
      <c r="F214">
        <v>81.955417367002113</v>
      </c>
      <c r="G214">
        <v>107.52562707392806</v>
      </c>
      <c r="H214">
        <v>7455.7707953302761</v>
      </c>
      <c r="I214">
        <v>4717.4167416697564</v>
      </c>
      <c r="J214">
        <v>525.70363346996021</v>
      </c>
      <c r="K214">
        <v>408.64868693684701</v>
      </c>
      <c r="L214">
        <v>132.94646356645862</v>
      </c>
      <c r="M214">
        <v>213.00776351496626</v>
      </c>
      <c r="O214">
        <v>316.26933501606942</v>
      </c>
      <c r="P214">
        <v>162.56393697004094</v>
      </c>
      <c r="Q214">
        <v>46809.296682353037</v>
      </c>
      <c r="U214">
        <v>146.90680185907993</v>
      </c>
    </row>
    <row r="215" spans="1:21">
      <c r="A215" s="3">
        <v>43009</v>
      </c>
      <c r="B215" s="3">
        <v>43009</v>
      </c>
      <c r="C215">
        <v>294.44254619514987</v>
      </c>
      <c r="D215">
        <v>119.40583886130712</v>
      </c>
      <c r="E215">
        <v>165.54040871926955</v>
      </c>
      <c r="F215">
        <v>81.925940101604468</v>
      </c>
      <c r="G215">
        <v>107.0707331768954</v>
      </c>
      <c r="H215">
        <v>7157.113441450344</v>
      </c>
      <c r="I215">
        <v>4491.6792660693936</v>
      </c>
      <c r="J215">
        <v>526.53409898968584</v>
      </c>
      <c r="K215">
        <v>341.14212503429985</v>
      </c>
      <c r="L215">
        <v>133.96099827618579</v>
      </c>
      <c r="M215">
        <v>216.45453886811956</v>
      </c>
      <c r="O215">
        <v>330.41929927135243</v>
      </c>
      <c r="P215">
        <v>162.89221691878919</v>
      </c>
      <c r="Q215">
        <v>46545.429005221667</v>
      </c>
      <c r="U215">
        <v>147.60763781260496</v>
      </c>
    </row>
    <row r="216" spans="1:21">
      <c r="A216" s="3">
        <v>43040</v>
      </c>
      <c r="B216" s="3">
        <v>43040</v>
      </c>
      <c r="C216">
        <v>301.24098224064551</v>
      </c>
      <c r="D216">
        <v>120.91481242564173</v>
      </c>
      <c r="E216">
        <v>169.15244762688044</v>
      </c>
      <c r="F216">
        <v>84.213207406129655</v>
      </c>
      <c r="G216">
        <v>107.96574415979424</v>
      </c>
      <c r="H216">
        <v>7221.8221081400889</v>
      </c>
      <c r="I216">
        <v>4478.8539074650625</v>
      </c>
      <c r="J216">
        <v>516.51825484366373</v>
      </c>
      <c r="K216">
        <v>396.82568770673873</v>
      </c>
      <c r="L216">
        <v>133.1661132302647</v>
      </c>
      <c r="M216">
        <v>216.22757169367819</v>
      </c>
      <c r="O216">
        <v>331.5894580435276</v>
      </c>
      <c r="P216">
        <v>163.47766830457803</v>
      </c>
      <c r="Q216">
        <v>47428.924868699389</v>
      </c>
      <c r="U216">
        <v>148.11142205655415</v>
      </c>
    </row>
    <row r="217" spans="1:21">
      <c r="A217" s="3">
        <v>43070</v>
      </c>
      <c r="B217" s="3">
        <v>43070</v>
      </c>
      <c r="C217">
        <v>303.88534254028957</v>
      </c>
      <c r="D217">
        <v>122.98511054042334</v>
      </c>
      <c r="E217">
        <v>169.98802544715386</v>
      </c>
      <c r="F217">
        <v>82.901741983511172</v>
      </c>
      <c r="G217">
        <v>108.55534340592962</v>
      </c>
      <c r="H217">
        <v>7341.1127917640679</v>
      </c>
      <c r="I217">
        <v>4534.5898619761874</v>
      </c>
      <c r="J217">
        <v>532.47656417279552</v>
      </c>
      <c r="K217">
        <v>404.97433661522427</v>
      </c>
      <c r="L217">
        <v>136.64531586074176</v>
      </c>
      <c r="M217">
        <v>217.84273657199373</v>
      </c>
      <c r="O217">
        <v>329.26837913847004</v>
      </c>
      <c r="P217">
        <v>165.3924060096528</v>
      </c>
      <c r="Q217">
        <v>48289.157361572332</v>
      </c>
      <c r="U217">
        <v>148.76485706321412</v>
      </c>
    </row>
    <row r="218" spans="1:21">
      <c r="A218" s="3">
        <v>43101</v>
      </c>
      <c r="B218" s="3">
        <v>43101</v>
      </c>
      <c r="C218">
        <v>305.21632248718771</v>
      </c>
      <c r="D218">
        <v>122.39748706429482</v>
      </c>
      <c r="E218">
        <v>171.01516760946646</v>
      </c>
      <c r="F218">
        <v>84.062908211853042</v>
      </c>
      <c r="G218">
        <v>105.50858995644731</v>
      </c>
      <c r="H218">
        <v>7361.9970302432666</v>
      </c>
      <c r="I218">
        <v>4542.2460165291877</v>
      </c>
      <c r="J218">
        <v>520.53075073222635</v>
      </c>
      <c r="K218">
        <v>403.06144073738665</v>
      </c>
      <c r="L218">
        <v>138.07676989877618</v>
      </c>
      <c r="M218">
        <v>218.39242813230862</v>
      </c>
      <c r="O218">
        <v>448.86653758388803</v>
      </c>
      <c r="P218">
        <v>165.76426151283314</v>
      </c>
      <c r="Q218">
        <v>48326.199197871916</v>
      </c>
      <c r="U218">
        <v>149.13749620287646</v>
      </c>
    </row>
    <row r="219" spans="1:21">
      <c r="A219" s="3">
        <v>43132</v>
      </c>
      <c r="B219" s="3">
        <v>43132</v>
      </c>
      <c r="C219">
        <v>303.68998938781897</v>
      </c>
      <c r="D219">
        <v>122.63762955994801</v>
      </c>
      <c r="E219">
        <v>170.25301207447797</v>
      </c>
      <c r="F219">
        <v>83.423483098733215</v>
      </c>
      <c r="G219">
        <v>106.85960441065393</v>
      </c>
      <c r="H219">
        <v>7405.4959760619477</v>
      </c>
      <c r="I219">
        <v>4548.5726605998507</v>
      </c>
      <c r="J219">
        <v>534.87595133943637</v>
      </c>
      <c r="K219">
        <v>403.29306877838337</v>
      </c>
      <c r="L219">
        <v>138.69260048502855</v>
      </c>
      <c r="M219">
        <v>219.7104660097871</v>
      </c>
      <c r="O219">
        <v>358.47150787242845</v>
      </c>
      <c r="P219">
        <v>166.39776141615891</v>
      </c>
      <c r="Q219">
        <v>48838.544401462044</v>
      </c>
      <c r="U219">
        <v>149.79120924871344</v>
      </c>
    </row>
    <row r="220" spans="1:21">
      <c r="A220" s="3">
        <v>43160</v>
      </c>
      <c r="B220" s="3">
        <v>43160</v>
      </c>
      <c r="C220">
        <v>303.82593778705689</v>
      </c>
      <c r="D220">
        <v>124.9078684320188</v>
      </c>
      <c r="E220">
        <v>169.32747703435669</v>
      </c>
      <c r="F220">
        <v>82.86603301898981</v>
      </c>
      <c r="G220">
        <v>106.00317808547717</v>
      </c>
      <c r="H220">
        <v>7444.0586707538705</v>
      </c>
      <c r="I220">
        <v>4538.4767533289014</v>
      </c>
      <c r="J220">
        <v>530.1242635099635</v>
      </c>
      <c r="K220">
        <v>405.96990749187813</v>
      </c>
      <c r="L220">
        <v>139.30427940913947</v>
      </c>
      <c r="M220">
        <v>220.55488045784159</v>
      </c>
      <c r="O220">
        <v>345.33057909227495</v>
      </c>
      <c r="P220">
        <v>166.82197618057074</v>
      </c>
      <c r="Q220">
        <v>50090.559788398066</v>
      </c>
      <c r="U220">
        <v>150.46098509639324</v>
      </c>
    </row>
    <row r="221" spans="1:21">
      <c r="A221" s="3">
        <v>43191</v>
      </c>
      <c r="B221" s="3">
        <v>43191</v>
      </c>
      <c r="C221">
        <v>307.1684722357096</v>
      </c>
      <c r="D221">
        <v>127.74990403239558</v>
      </c>
      <c r="E221">
        <v>169.40877832789161</v>
      </c>
      <c r="F221">
        <v>82.919672853587272</v>
      </c>
      <c r="G221">
        <v>107.83044866818368</v>
      </c>
      <c r="H221">
        <v>7624.2204394560868</v>
      </c>
      <c r="I221">
        <v>4801.72464087353</v>
      </c>
      <c r="J221">
        <v>533.61891299130843</v>
      </c>
      <c r="K221">
        <v>407.1370821492427</v>
      </c>
      <c r="L221">
        <v>140.50077643158949</v>
      </c>
      <c r="M221">
        <v>222.01689039943486</v>
      </c>
      <c r="O221">
        <v>356.90935890572729</v>
      </c>
      <c r="P221">
        <v>167.34386316047426</v>
      </c>
      <c r="Q221">
        <v>49895.875285351693</v>
      </c>
      <c r="U221">
        <v>151.20798971104068</v>
      </c>
    </row>
    <row r="222" spans="1:21">
      <c r="A222" s="3">
        <v>43221</v>
      </c>
      <c r="B222" s="3">
        <v>43221</v>
      </c>
      <c r="C222">
        <v>315.05612561005114</v>
      </c>
      <c r="D222">
        <v>129.20235770770577</v>
      </c>
      <c r="E222">
        <v>171.09592292154414</v>
      </c>
      <c r="F222">
        <v>82.509498822194075</v>
      </c>
      <c r="G222">
        <v>108.47198852375998</v>
      </c>
      <c r="H222">
        <v>7858.9329459294358</v>
      </c>
      <c r="I222">
        <v>5105.559278636596</v>
      </c>
      <c r="J222">
        <v>530.09602399795028</v>
      </c>
      <c r="K222">
        <v>408.18565916417288</v>
      </c>
      <c r="L222">
        <v>140.70953550827511</v>
      </c>
      <c r="M222">
        <v>223.46091846552122</v>
      </c>
      <c r="O222">
        <v>355.33606489322307</v>
      </c>
      <c r="P222">
        <v>168.7006076356688</v>
      </c>
      <c r="Q222">
        <v>50171.294873609069</v>
      </c>
      <c r="U222">
        <v>152.05261135330457</v>
      </c>
    </row>
    <row r="223" spans="1:21">
      <c r="A223" s="3">
        <v>43252</v>
      </c>
      <c r="B223" s="3">
        <v>43252</v>
      </c>
      <c r="C223">
        <v>308.14439080698099</v>
      </c>
      <c r="D223">
        <v>126.7243648263196</v>
      </c>
      <c r="E223">
        <v>171.36620417543841</v>
      </c>
      <c r="F223">
        <v>81.89163498021604</v>
      </c>
      <c r="G223">
        <v>107.80955221532889</v>
      </c>
      <c r="H223">
        <v>7583.1380456488587</v>
      </c>
      <c r="I223">
        <v>4738.7901041348305</v>
      </c>
      <c r="J223">
        <v>542.53984465275414</v>
      </c>
      <c r="K223">
        <v>408.76829274240134</v>
      </c>
      <c r="L223">
        <v>141.92565402638172</v>
      </c>
      <c r="M223">
        <v>223.55171366133493</v>
      </c>
      <c r="O223">
        <v>358.63868982950612</v>
      </c>
      <c r="P223">
        <v>167.62783489179057</v>
      </c>
      <c r="Q223">
        <v>50386.1041250485</v>
      </c>
      <c r="U223">
        <v>152.59896081697451</v>
      </c>
    </row>
    <row r="224" spans="1:21">
      <c r="A224" s="3">
        <v>43282</v>
      </c>
      <c r="B224" s="3">
        <v>43282</v>
      </c>
      <c r="C224">
        <v>312.83281331159816</v>
      </c>
      <c r="D224">
        <v>129.30630592491963</v>
      </c>
      <c r="E224">
        <v>171.98273990289869</v>
      </c>
      <c r="F224">
        <v>82.91364116454514</v>
      </c>
      <c r="G224">
        <v>109.7206741617115</v>
      </c>
      <c r="H224">
        <v>7574.2333735670918</v>
      </c>
      <c r="I224">
        <v>4332.9875553981283</v>
      </c>
      <c r="J224">
        <v>531.6748922639257</v>
      </c>
      <c r="K224">
        <v>409.433564519058</v>
      </c>
      <c r="L224">
        <v>143.25095824482779</v>
      </c>
      <c r="M224">
        <v>225.15738821725446</v>
      </c>
      <c r="O224">
        <v>366.262717393439</v>
      </c>
      <c r="P224">
        <v>169.16940829376531</v>
      </c>
      <c r="Q224">
        <v>50186.083910616122</v>
      </c>
      <c r="U224">
        <v>154.91789586793305</v>
      </c>
    </row>
    <row r="225" spans="1:21">
      <c r="A225" s="3">
        <v>43313</v>
      </c>
      <c r="B225" s="3">
        <v>43313</v>
      </c>
      <c r="C225">
        <v>305.89585069906059</v>
      </c>
      <c r="D225">
        <v>124.37331356970847</v>
      </c>
      <c r="E225">
        <v>171.59995125324733</v>
      </c>
      <c r="F225">
        <v>82.063151540011972</v>
      </c>
      <c r="G225">
        <v>108.9010762524035</v>
      </c>
      <c r="H225">
        <v>7322.4265083614237</v>
      </c>
      <c r="I225">
        <v>4630.4672868054095</v>
      </c>
      <c r="J225">
        <v>545.12331231773419</v>
      </c>
      <c r="K225">
        <v>389.55893636738756</v>
      </c>
      <c r="L225">
        <v>143.32969731609103</v>
      </c>
      <c r="M225">
        <v>228.18364918660322</v>
      </c>
      <c r="O225">
        <v>356.98063709603923</v>
      </c>
      <c r="P225">
        <v>168.16642769421651</v>
      </c>
      <c r="Q225">
        <v>50481.931004484541</v>
      </c>
      <c r="U225">
        <v>155.43826368035525</v>
      </c>
    </row>
    <row r="226" spans="1:21">
      <c r="A226" s="3">
        <v>43344</v>
      </c>
      <c r="B226" s="3">
        <v>43344</v>
      </c>
      <c r="C226">
        <v>312.88517801377236</v>
      </c>
      <c r="D226">
        <v>128.73183836063805</v>
      </c>
      <c r="E226">
        <v>172.76615148239509</v>
      </c>
      <c r="F226">
        <v>82.572023554526865</v>
      </c>
      <c r="G226">
        <v>109.8627479333976</v>
      </c>
      <c r="H226">
        <v>7664.2340338636996</v>
      </c>
      <c r="I226">
        <v>4660.7998059334941</v>
      </c>
      <c r="J226">
        <v>548.13416467173204</v>
      </c>
      <c r="K226">
        <v>417.86361098157346</v>
      </c>
      <c r="L226">
        <v>146.30635322490065</v>
      </c>
      <c r="M226">
        <v>229.64951559428104</v>
      </c>
      <c r="O226">
        <v>379.86545248241976</v>
      </c>
      <c r="P226">
        <v>171.10620994523779</v>
      </c>
      <c r="Q226">
        <v>50263.486981316804</v>
      </c>
      <c r="U226">
        <v>156.25452640383864</v>
      </c>
    </row>
    <row r="227" spans="1:21">
      <c r="A227" s="3">
        <v>43374</v>
      </c>
      <c r="B227" s="3">
        <v>43374</v>
      </c>
      <c r="C227">
        <v>309.71177809193091</v>
      </c>
      <c r="D227">
        <v>123.28798147539624</v>
      </c>
      <c r="E227">
        <v>174.97008760643101</v>
      </c>
      <c r="F227">
        <v>84.182910545077718</v>
      </c>
      <c r="G227">
        <v>111.59926814289039</v>
      </c>
      <c r="H227">
        <v>7192.2056105780821</v>
      </c>
      <c r="I227">
        <v>4403.4593268239914</v>
      </c>
      <c r="J227">
        <v>555.16674769839676</v>
      </c>
      <c r="K227">
        <v>411.61044790914571</v>
      </c>
      <c r="L227">
        <v>147.0448790082576</v>
      </c>
      <c r="M227">
        <v>226.52893335322759</v>
      </c>
      <c r="O227">
        <v>385.55418477327163</v>
      </c>
      <c r="P227">
        <v>170.43915731203151</v>
      </c>
      <c r="Q227">
        <v>49667.062296451208</v>
      </c>
      <c r="U227">
        <v>156.7909270854345</v>
      </c>
    </row>
    <row r="228" spans="1:21">
      <c r="A228" s="3">
        <v>43405</v>
      </c>
      <c r="B228" s="3">
        <v>43405</v>
      </c>
      <c r="C228">
        <v>309.55320265973705</v>
      </c>
      <c r="D228">
        <v>127.34889633635748</v>
      </c>
      <c r="E228">
        <v>171.79789189653479</v>
      </c>
      <c r="F228">
        <v>83.73442929265687</v>
      </c>
      <c r="G228">
        <v>109.10490104485652</v>
      </c>
      <c r="H228">
        <v>7785.1633568632478</v>
      </c>
      <c r="I228">
        <v>4775.6314936603239</v>
      </c>
      <c r="J228">
        <v>557.13495703843284</v>
      </c>
      <c r="K228">
        <v>417.03353444533047</v>
      </c>
      <c r="L228">
        <v>147.37427408971013</v>
      </c>
      <c r="M228">
        <v>228.9671188166121</v>
      </c>
      <c r="O228">
        <v>367.57018583014315</v>
      </c>
      <c r="P228">
        <v>171.63290003907943</v>
      </c>
      <c r="Q228">
        <v>48104.234162240507</v>
      </c>
      <c r="U228">
        <v>157.71217743340108</v>
      </c>
    </row>
    <row r="229" spans="1:21">
      <c r="A229" s="3">
        <v>43435</v>
      </c>
      <c r="B229" s="3">
        <v>43435</v>
      </c>
      <c r="C229">
        <v>305.86592144764501</v>
      </c>
      <c r="D229">
        <v>127.34033410875861</v>
      </c>
      <c r="E229">
        <v>170.75917834360357</v>
      </c>
      <c r="F229">
        <v>85.143116749748174</v>
      </c>
      <c r="G229">
        <v>110.28909137541744</v>
      </c>
      <c r="H229">
        <v>7572.5614256346616</v>
      </c>
      <c r="I229">
        <v>4651.9589878598836</v>
      </c>
      <c r="J229">
        <v>557.97173700673591</v>
      </c>
      <c r="K229">
        <v>412.39852151181623</v>
      </c>
      <c r="L229">
        <v>147.43357042310791</v>
      </c>
      <c r="M229">
        <v>230.39370498160397</v>
      </c>
      <c r="O229">
        <v>379.34632056516517</v>
      </c>
      <c r="P229">
        <v>170.87052499706024</v>
      </c>
      <c r="Q229">
        <v>49285.963292746063</v>
      </c>
      <c r="U229">
        <v>158.71592631236228</v>
      </c>
    </row>
    <row r="230" spans="1:21">
      <c r="A230" s="3">
        <v>43466</v>
      </c>
      <c r="B230" s="3">
        <v>43466</v>
      </c>
      <c r="C230">
        <v>312.5275153309712</v>
      </c>
      <c r="D230">
        <v>130.26674358474511</v>
      </c>
      <c r="E230">
        <v>172.82163865974968</v>
      </c>
      <c r="F230">
        <v>84.368907819596643</v>
      </c>
      <c r="G230">
        <v>111.98540623188389</v>
      </c>
      <c r="H230">
        <v>7698.9071475630008</v>
      </c>
      <c r="I230">
        <v>4661.4289489273497</v>
      </c>
      <c r="J230">
        <v>559.37846111490205</v>
      </c>
      <c r="K230">
        <v>416.30655015979681</v>
      </c>
      <c r="L230">
        <v>148.83910653738158</v>
      </c>
      <c r="M230">
        <v>231.2070886927157</v>
      </c>
      <c r="O230">
        <v>404.00667354820956</v>
      </c>
      <c r="P230">
        <v>172.67521802837948</v>
      </c>
      <c r="Q230">
        <v>50347.807396167394</v>
      </c>
      <c r="U230">
        <v>158.88893308892571</v>
      </c>
    </row>
    <row r="231" spans="1:21">
      <c r="A231" s="3">
        <v>43497</v>
      </c>
      <c r="B231" s="3">
        <v>43497</v>
      </c>
      <c r="C231">
        <v>310.41233461316699</v>
      </c>
      <c r="D231">
        <v>128.02466442694299</v>
      </c>
      <c r="E231">
        <v>173.22637959334119</v>
      </c>
      <c r="F231">
        <v>83.987057680463693</v>
      </c>
      <c r="G231">
        <v>111.77934883156026</v>
      </c>
      <c r="H231">
        <v>7634.9878630944149</v>
      </c>
      <c r="I231">
        <v>4750.6084754105468</v>
      </c>
      <c r="J231">
        <v>568.67687700700287</v>
      </c>
      <c r="K231">
        <v>417.86766829922828</v>
      </c>
      <c r="L231">
        <v>150.18825033729843</v>
      </c>
      <c r="M231">
        <v>231.60577703364575</v>
      </c>
      <c r="O231">
        <v>385.94423834140906</v>
      </c>
      <c r="P231">
        <v>173.24658580111353</v>
      </c>
      <c r="Q231">
        <v>49775.224133458752</v>
      </c>
      <c r="U231">
        <v>160.06901462972962</v>
      </c>
    </row>
    <row r="232" spans="1:21">
      <c r="A232" s="3">
        <v>43525</v>
      </c>
      <c r="B232" s="3">
        <v>43525</v>
      </c>
      <c r="C232">
        <v>312.22869354684286</v>
      </c>
      <c r="D232">
        <v>126.70881350167585</v>
      </c>
      <c r="E232">
        <v>176.33768335438651</v>
      </c>
      <c r="F232">
        <v>82.8115271828663</v>
      </c>
      <c r="G232">
        <v>110.45347102694792</v>
      </c>
      <c r="H232">
        <v>7465.0243416015646</v>
      </c>
      <c r="I232">
        <v>4563.956915939908</v>
      </c>
      <c r="J232">
        <v>584.67204557598541</v>
      </c>
      <c r="K232">
        <v>417.18686292663426</v>
      </c>
      <c r="L232">
        <v>152.17169685070965</v>
      </c>
      <c r="M232">
        <v>237.88411874183197</v>
      </c>
      <c r="O232">
        <v>392.8132563105367</v>
      </c>
      <c r="P232">
        <v>174.77257821972532</v>
      </c>
      <c r="Q232">
        <v>50600.290808382211</v>
      </c>
      <c r="U232">
        <v>160.87203173775492</v>
      </c>
    </row>
    <row r="233" spans="1:21">
      <c r="A233" s="3">
        <v>43556</v>
      </c>
      <c r="B233" s="3">
        <v>43556</v>
      </c>
      <c r="C233">
        <v>310.75215951751881</v>
      </c>
      <c r="D233">
        <v>123.03860230396671</v>
      </c>
      <c r="E233">
        <v>178.04873764885139</v>
      </c>
      <c r="F233">
        <v>83.272410813839286</v>
      </c>
      <c r="G233">
        <v>112.43611718113175</v>
      </c>
      <c r="H233">
        <v>6674.0668188460741</v>
      </c>
      <c r="I233">
        <v>4334.3588017505563</v>
      </c>
      <c r="J233">
        <v>587.16731671165758</v>
      </c>
      <c r="K233">
        <v>419.45445357941895</v>
      </c>
      <c r="L233">
        <v>152.92586437185307</v>
      </c>
      <c r="M233">
        <v>237.04187445181432</v>
      </c>
      <c r="O233">
        <v>389.13167346226959</v>
      </c>
      <c r="P233">
        <v>175.07044966903959</v>
      </c>
      <c r="Q233">
        <v>50519.396168069718</v>
      </c>
      <c r="U233">
        <v>162.10530145744133</v>
      </c>
    </row>
    <row r="234" spans="1:21">
      <c r="A234" s="3">
        <v>43586</v>
      </c>
      <c r="B234" s="3">
        <v>43586</v>
      </c>
      <c r="C234">
        <v>313.41190687565887</v>
      </c>
      <c r="D234">
        <v>126.9592146214152</v>
      </c>
      <c r="E234">
        <v>178.37342767889623</v>
      </c>
      <c r="F234">
        <v>83.414482354292076</v>
      </c>
      <c r="G234">
        <v>111.57049379430498</v>
      </c>
      <c r="H234">
        <v>7092.0768704927896</v>
      </c>
      <c r="I234">
        <v>4393.1561689334021</v>
      </c>
      <c r="J234">
        <v>586.27384786017433</v>
      </c>
      <c r="K234">
        <v>418.38562921608718</v>
      </c>
      <c r="L234">
        <v>152.74020556352104</v>
      </c>
      <c r="M234">
        <v>233.93484450758595</v>
      </c>
      <c r="O234">
        <v>394.84685198539637</v>
      </c>
      <c r="P234">
        <v>175.89240339136936</v>
      </c>
      <c r="Q234">
        <v>50868.289392712286</v>
      </c>
      <c r="U234">
        <v>162.96866385057643</v>
      </c>
    </row>
    <row r="235" spans="1:21">
      <c r="A235" s="3">
        <v>43617</v>
      </c>
      <c r="B235" s="3">
        <v>43617</v>
      </c>
      <c r="C235">
        <v>327.75055481464267</v>
      </c>
      <c r="D235">
        <v>137.40378054770395</v>
      </c>
      <c r="E235">
        <v>179.01543147141157</v>
      </c>
      <c r="F235">
        <v>85.026248564382698</v>
      </c>
      <c r="G235">
        <v>111.03127367925384</v>
      </c>
      <c r="H235">
        <v>7750.5499759695249</v>
      </c>
      <c r="I235">
        <v>4850.3827560708014</v>
      </c>
      <c r="J235">
        <v>582.02441706996308</v>
      </c>
      <c r="K235">
        <v>419.90113882565447</v>
      </c>
      <c r="L235">
        <v>152.61409701316143</v>
      </c>
      <c r="M235">
        <v>235.89636360367558</v>
      </c>
      <c r="O235">
        <v>414.5415170725999</v>
      </c>
      <c r="P235">
        <v>176.73086144606708</v>
      </c>
      <c r="Q235">
        <v>50640.452532033334</v>
      </c>
      <c r="U235">
        <v>164.1301136925689</v>
      </c>
    </row>
    <row r="236" spans="1:21">
      <c r="A236" s="3">
        <v>43647</v>
      </c>
      <c r="B236" s="3">
        <v>43647</v>
      </c>
      <c r="C236">
        <v>327.75526223029652</v>
      </c>
      <c r="D236">
        <v>136.2215131970645</v>
      </c>
      <c r="E236">
        <v>179.1908703157161</v>
      </c>
      <c r="F236">
        <v>84.500265222956557</v>
      </c>
      <c r="G236">
        <v>111.51359782373342</v>
      </c>
      <c r="H236">
        <v>7736.5714481074674</v>
      </c>
      <c r="I236">
        <v>5126.8899094757953</v>
      </c>
      <c r="J236">
        <v>613.67889430787841</v>
      </c>
      <c r="K236">
        <v>421.80261413978803</v>
      </c>
      <c r="L236">
        <v>155.31180678792708</v>
      </c>
      <c r="M236">
        <v>241.5453132840446</v>
      </c>
      <c r="O236">
        <v>411.42137261556928</v>
      </c>
      <c r="P236">
        <v>178.85666445256197</v>
      </c>
      <c r="Q236">
        <v>51496.196291147542</v>
      </c>
      <c r="U236">
        <v>164.28312240376457</v>
      </c>
    </row>
    <row r="237" spans="1:21">
      <c r="A237" s="3">
        <v>43678</v>
      </c>
      <c r="B237" s="3">
        <v>43678</v>
      </c>
      <c r="C237">
        <v>328.53215367251306</v>
      </c>
      <c r="D237">
        <v>135.69959107196746</v>
      </c>
      <c r="E237">
        <v>180.07438912608978</v>
      </c>
      <c r="F237">
        <v>85.242092664785915</v>
      </c>
      <c r="G237">
        <v>111.53728940792917</v>
      </c>
      <c r="H237">
        <v>7755.2923785249022</v>
      </c>
      <c r="I237">
        <v>4909.3093360486182</v>
      </c>
      <c r="J237">
        <v>603.56235134779092</v>
      </c>
      <c r="K237">
        <v>412.38557964019509</v>
      </c>
      <c r="L237">
        <v>152.62635040459477</v>
      </c>
      <c r="M237">
        <v>237.86050446034275</v>
      </c>
      <c r="O237">
        <v>416.92930545366585</v>
      </c>
      <c r="P237">
        <v>178.39609983475805</v>
      </c>
      <c r="Q237">
        <v>51249.50748175069</v>
      </c>
      <c r="U237">
        <v>165.27256791886882</v>
      </c>
    </row>
    <row r="238" spans="1:21">
      <c r="A238" s="3">
        <v>43709</v>
      </c>
      <c r="B238" s="3">
        <v>43709</v>
      </c>
      <c r="C238">
        <v>324.1650395858419</v>
      </c>
      <c r="D238">
        <v>132.90226413760573</v>
      </c>
      <c r="E238">
        <v>180.12518285184277</v>
      </c>
      <c r="F238">
        <v>85.236910794270116</v>
      </c>
      <c r="G238">
        <v>110.2000568857697</v>
      </c>
      <c r="H238">
        <v>7731.2539707013675</v>
      </c>
      <c r="I238">
        <v>4487.1082224344273</v>
      </c>
      <c r="J238">
        <v>608.31971920535875</v>
      </c>
      <c r="K238">
        <v>413.19320734887702</v>
      </c>
      <c r="L238">
        <v>153.42298509859944</v>
      </c>
      <c r="M238">
        <v>233.96031237821353</v>
      </c>
      <c r="O238">
        <v>397.40846619148482</v>
      </c>
      <c r="P238">
        <v>177.36844563768335</v>
      </c>
      <c r="Q238">
        <v>50612.003368156795</v>
      </c>
      <c r="U238">
        <v>166.07432054268244</v>
      </c>
    </row>
    <row r="239" spans="1:21">
      <c r="A239" s="3">
        <v>43739</v>
      </c>
      <c r="B239" s="3">
        <v>43739</v>
      </c>
      <c r="C239">
        <v>328.64147895898225</v>
      </c>
      <c r="D239">
        <v>135.14428259084454</v>
      </c>
      <c r="E239">
        <v>179.88852381635959</v>
      </c>
      <c r="F239">
        <v>85.137745860938665</v>
      </c>
      <c r="G239">
        <v>111.49238833887007</v>
      </c>
      <c r="H239">
        <v>7705.1675430166106</v>
      </c>
      <c r="I239">
        <v>4615.2035833812433</v>
      </c>
      <c r="J239">
        <v>603.75958229708908</v>
      </c>
      <c r="K239">
        <v>416.13015791887921</v>
      </c>
      <c r="L239">
        <v>155.62551869000194</v>
      </c>
      <c r="M239">
        <v>238.82687047196782</v>
      </c>
      <c r="O239">
        <v>399.66932131850956</v>
      </c>
      <c r="P239">
        <v>179.32500912822641</v>
      </c>
      <c r="Q239">
        <v>51764.93360584008</v>
      </c>
      <c r="U239">
        <v>167.5222460146573</v>
      </c>
    </row>
    <row r="240" spans="1:21">
      <c r="A240" s="3">
        <v>43770</v>
      </c>
      <c r="B240" s="3">
        <v>43770</v>
      </c>
      <c r="C240">
        <v>324.04746333446838</v>
      </c>
      <c r="D240">
        <v>131.57811256882562</v>
      </c>
      <c r="E240">
        <v>182.00130414516195</v>
      </c>
      <c r="F240">
        <v>85.527474176156787</v>
      </c>
      <c r="G240">
        <v>109.85844617323121</v>
      </c>
      <c r="H240">
        <v>7583.6178530146362</v>
      </c>
      <c r="I240">
        <v>4874.0063794454691</v>
      </c>
      <c r="J240">
        <v>607.7772924129406</v>
      </c>
      <c r="K240">
        <v>421.17074109343292</v>
      </c>
      <c r="L240">
        <v>155.50127448756777</v>
      </c>
      <c r="M240">
        <v>241.02091442011221</v>
      </c>
      <c r="O240">
        <v>404.12663674199956</v>
      </c>
      <c r="P240">
        <v>178.9997878468115</v>
      </c>
      <c r="Q240">
        <v>51176.634978543072</v>
      </c>
      <c r="U240">
        <v>168.30342136324219</v>
      </c>
    </row>
    <row r="241" spans="1:21">
      <c r="A241" s="3">
        <v>43800</v>
      </c>
      <c r="B241" s="3">
        <v>43800</v>
      </c>
      <c r="C241">
        <v>322.76749546696658</v>
      </c>
      <c r="D241">
        <v>132.1157650643859</v>
      </c>
      <c r="E241">
        <v>180.92930313035481</v>
      </c>
      <c r="F241">
        <v>83.664453209674022</v>
      </c>
      <c r="G241">
        <v>108.41275822203202</v>
      </c>
      <c r="H241">
        <v>7752.1555999897519</v>
      </c>
      <c r="I241">
        <v>4862.3572671707334</v>
      </c>
      <c r="J241">
        <v>627.91850682609584</v>
      </c>
      <c r="K241">
        <v>419.59201144921622</v>
      </c>
      <c r="L241">
        <v>155.64507175259328</v>
      </c>
      <c r="M241">
        <v>240.42776388898824</v>
      </c>
      <c r="O241">
        <v>414.34870867640689</v>
      </c>
      <c r="P241">
        <v>180.37251532869212</v>
      </c>
      <c r="Q241">
        <v>49742.455717719407</v>
      </c>
      <c r="U241">
        <v>168.63219761058593</v>
      </c>
    </row>
    <row r="242" spans="1:21">
      <c r="A242" s="3">
        <v>43831</v>
      </c>
      <c r="B242" s="3">
        <v>43831</v>
      </c>
      <c r="C242">
        <v>325.81862416090684</v>
      </c>
      <c r="D242">
        <v>133.82839550830803</v>
      </c>
      <c r="E242">
        <v>183.02224744990303</v>
      </c>
      <c r="F242">
        <v>82.559835090471722</v>
      </c>
      <c r="G242">
        <v>110.5947906834527</v>
      </c>
      <c r="H242">
        <v>7840.5307311914239</v>
      </c>
      <c r="I242">
        <v>4898.5935512680117</v>
      </c>
      <c r="J242">
        <v>632.77891496449661</v>
      </c>
      <c r="K242">
        <v>427.3100302264574</v>
      </c>
      <c r="L242">
        <v>156.5295692185685</v>
      </c>
      <c r="M242">
        <v>243.97588199300077</v>
      </c>
      <c r="O242">
        <v>429.01586786444608</v>
      </c>
      <c r="P242">
        <v>181.43798086873312</v>
      </c>
      <c r="Q242">
        <v>49964.817742768413</v>
      </c>
      <c r="U242">
        <v>171.48155259363557</v>
      </c>
    </row>
    <row r="243" spans="1:21">
      <c r="A243" s="3">
        <v>43862</v>
      </c>
      <c r="B243" s="3">
        <v>43862</v>
      </c>
      <c r="C243">
        <v>326.52888971226929</v>
      </c>
      <c r="D243">
        <v>134.4870425590033</v>
      </c>
      <c r="E243">
        <v>182.62325461541874</v>
      </c>
      <c r="F243">
        <v>83.913912347415589</v>
      </c>
      <c r="G243">
        <v>107.06184588387407</v>
      </c>
      <c r="H243">
        <v>7827.3741409338345</v>
      </c>
      <c r="I243">
        <v>4703.9783298290595</v>
      </c>
      <c r="J243">
        <v>631.21363856896733</v>
      </c>
      <c r="K243">
        <v>425.80652566527806</v>
      </c>
      <c r="L243">
        <v>154.50611627554315</v>
      </c>
      <c r="M243">
        <v>242.78683698569773</v>
      </c>
      <c r="O243">
        <v>450.03202313511872</v>
      </c>
      <c r="P243">
        <v>181.33704255953404</v>
      </c>
      <c r="Q243">
        <v>50271.247844655925</v>
      </c>
      <c r="U243">
        <v>171.6263258593363</v>
      </c>
    </row>
    <row r="244" spans="1:21">
      <c r="A244" s="3">
        <v>43891</v>
      </c>
      <c r="B244" s="3">
        <v>43891</v>
      </c>
      <c r="C244">
        <v>322.12514894776643</v>
      </c>
      <c r="D244">
        <v>132.03375975770754</v>
      </c>
      <c r="E244">
        <v>182.42977750649047</v>
      </c>
      <c r="F244">
        <v>84.06331651758174</v>
      </c>
      <c r="G244">
        <v>110.44480064769776</v>
      </c>
      <c r="H244">
        <v>7738.1786394344363</v>
      </c>
      <c r="I244">
        <v>4783.0187303141993</v>
      </c>
      <c r="J244">
        <v>626.68603521549198</v>
      </c>
      <c r="K244">
        <v>430.04459338911767</v>
      </c>
      <c r="L244">
        <v>152.11719956312996</v>
      </c>
      <c r="M244">
        <v>237.37805987999241</v>
      </c>
      <c r="O244">
        <v>364.08176937012132</v>
      </c>
      <c r="P244">
        <v>180.80194603739471</v>
      </c>
      <c r="Q244">
        <v>49085.1200686843</v>
      </c>
      <c r="U244">
        <v>172.00685359929247</v>
      </c>
    </row>
    <row r="245" spans="1:21">
      <c r="A245" s="3">
        <v>43922</v>
      </c>
      <c r="B245" s="3">
        <v>43922</v>
      </c>
      <c r="C245">
        <v>323.28765009137049</v>
      </c>
      <c r="D245">
        <v>132.61587726235624</v>
      </c>
      <c r="E245">
        <v>182.22704032331401</v>
      </c>
      <c r="F245">
        <v>85.850292438589832</v>
      </c>
      <c r="G245">
        <v>107.96487087266748</v>
      </c>
      <c r="H245">
        <v>7787.3554973686259</v>
      </c>
      <c r="I245">
        <v>4882.5333040017031</v>
      </c>
      <c r="J245">
        <v>631.1992626449761</v>
      </c>
      <c r="K245">
        <v>428.68980526046016</v>
      </c>
      <c r="L245">
        <v>104.09054349897053</v>
      </c>
      <c r="M245">
        <v>134.56209488209575</v>
      </c>
      <c r="O245">
        <v>363.94036383380291</v>
      </c>
      <c r="P245">
        <v>165.32503832308856</v>
      </c>
      <c r="Q245">
        <v>48228.259542017862</v>
      </c>
      <c r="U245">
        <v>164.54191442375324</v>
      </c>
    </row>
    <row r="246" spans="1:21">
      <c r="A246" s="3">
        <v>43952</v>
      </c>
      <c r="B246" s="3">
        <v>43952</v>
      </c>
      <c r="C246">
        <v>316.20886500510142</v>
      </c>
      <c r="D246">
        <v>128.33863027413042</v>
      </c>
      <c r="E246">
        <v>182.47150435893576</v>
      </c>
      <c r="F246">
        <v>85.792956872614241</v>
      </c>
      <c r="G246">
        <v>106.96783983051543</v>
      </c>
      <c r="H246">
        <v>7269.803900001918</v>
      </c>
      <c r="I246">
        <v>4705.995365155617</v>
      </c>
      <c r="J246">
        <v>651.60045610808288</v>
      </c>
      <c r="K246">
        <v>430.97715695526477</v>
      </c>
      <c r="L246">
        <v>116.98392279310907</v>
      </c>
      <c r="M246">
        <v>161.99892424013657</v>
      </c>
      <c r="O246">
        <v>379.27659340621545</v>
      </c>
      <c r="P246">
        <v>166.76882785254148</v>
      </c>
      <c r="Q246">
        <v>48159.221756766929</v>
      </c>
      <c r="U246">
        <v>164.54336754007036</v>
      </c>
    </row>
    <row r="247" spans="1:21">
      <c r="A247" s="3">
        <v>43983</v>
      </c>
      <c r="B247" s="3">
        <v>43983</v>
      </c>
      <c r="C247">
        <v>314.58313812349223</v>
      </c>
      <c r="D247">
        <v>120.99502886597469</v>
      </c>
      <c r="E247">
        <v>197.82431615004216</v>
      </c>
      <c r="F247">
        <v>85.588679951926892</v>
      </c>
      <c r="G247">
        <v>108.2033351667146</v>
      </c>
      <c r="H247">
        <v>6537.5322891129208</v>
      </c>
      <c r="I247">
        <v>4370.2095918123041</v>
      </c>
      <c r="J247">
        <v>662.96098131230144</v>
      </c>
      <c r="K247">
        <v>432.27365519212856</v>
      </c>
      <c r="L247">
        <v>143.57662408598415</v>
      </c>
      <c r="M247">
        <v>235.43408933416919</v>
      </c>
      <c r="O247">
        <v>367.13381845542574</v>
      </c>
      <c r="P247">
        <v>169.29425378312686</v>
      </c>
      <c r="Q247">
        <v>48039.288498130911</v>
      </c>
      <c r="U247">
        <v>164.7253654929132</v>
      </c>
    </row>
    <row r="248" spans="1:21">
      <c r="A248" s="3">
        <v>44013</v>
      </c>
      <c r="B248" s="3">
        <v>44013</v>
      </c>
      <c r="C248">
        <v>303.9286202201464</v>
      </c>
      <c r="D248">
        <v>117.34257461617888</v>
      </c>
      <c r="E248">
        <v>183.17908665431165</v>
      </c>
      <c r="F248">
        <v>85.761505461064502</v>
      </c>
      <c r="G248">
        <v>107.61876922812755</v>
      </c>
      <c r="H248">
        <v>6490.2433419519975</v>
      </c>
      <c r="I248">
        <v>4289.7179956256205</v>
      </c>
      <c r="J248">
        <v>645.27362066326896</v>
      </c>
      <c r="K248">
        <v>436.07796956357117</v>
      </c>
      <c r="L248">
        <v>133.27647948557623</v>
      </c>
      <c r="M248">
        <v>232.78669515370149</v>
      </c>
      <c r="O248">
        <v>369.28684805370159</v>
      </c>
      <c r="P248">
        <v>167.26409596570426</v>
      </c>
      <c r="Q248">
        <v>48122.355389143813</v>
      </c>
      <c r="U248">
        <v>165.10988950184878</v>
      </c>
    </row>
    <row r="249" spans="1:21">
      <c r="A249" s="3">
        <v>44044</v>
      </c>
      <c r="B249" s="3">
        <v>44044</v>
      </c>
      <c r="C249">
        <v>315.41132784712028</v>
      </c>
      <c r="D249">
        <v>125.04715316358934</v>
      </c>
      <c r="E249">
        <v>185.57981107540468</v>
      </c>
      <c r="F249">
        <v>83.842071693613349</v>
      </c>
      <c r="G249">
        <v>107.27644792788297</v>
      </c>
      <c r="H249">
        <v>6906.0517818076041</v>
      </c>
      <c r="I249">
        <v>4509.2893573950923</v>
      </c>
      <c r="J249">
        <v>652.69137215361081</v>
      </c>
      <c r="K249">
        <v>443.52766460706681</v>
      </c>
      <c r="L249">
        <v>142.06470761972102</v>
      </c>
      <c r="M249">
        <v>242.01163380088272</v>
      </c>
      <c r="O249">
        <v>364.66946829104654</v>
      </c>
      <c r="P249">
        <v>171.21951576555142</v>
      </c>
      <c r="Q249">
        <v>48053.323079960872</v>
      </c>
      <c r="U249">
        <v>165.13090455186043</v>
      </c>
    </row>
    <row r="250" spans="1:21">
      <c r="A250" s="3">
        <v>44075</v>
      </c>
      <c r="B250" s="3">
        <v>44075</v>
      </c>
      <c r="C250">
        <v>315.0115599539925</v>
      </c>
      <c r="D250">
        <v>123.29491559460828</v>
      </c>
      <c r="E250">
        <v>186.72373545829322</v>
      </c>
      <c r="F250">
        <v>84.78911788506467</v>
      </c>
      <c r="G250">
        <v>108.78052583127707</v>
      </c>
      <c r="H250">
        <v>6712.1845033730206</v>
      </c>
      <c r="I250">
        <v>4366.3664579378592</v>
      </c>
      <c r="J250">
        <v>675.61307584005272</v>
      </c>
      <c r="K250">
        <v>437.85429097285066</v>
      </c>
      <c r="L250">
        <v>143.88836481349338</v>
      </c>
      <c r="M250">
        <v>244.96666823791688</v>
      </c>
      <c r="O250">
        <v>385.34684871715882</v>
      </c>
      <c r="P250">
        <v>171.90675827113864</v>
      </c>
      <c r="Q250">
        <v>49032.656185572523</v>
      </c>
      <c r="U250">
        <v>165.14471449901333</v>
      </c>
    </row>
    <row r="251" spans="1:21">
      <c r="A251" s="3">
        <v>44105</v>
      </c>
      <c r="B251" s="3">
        <v>44105</v>
      </c>
      <c r="C251">
        <v>313.06603112805095</v>
      </c>
      <c r="D251">
        <v>120.84828859497691</v>
      </c>
      <c r="E251">
        <v>187.02455571549862</v>
      </c>
      <c r="F251">
        <v>82.51089692093413</v>
      </c>
      <c r="G251">
        <v>107.73794560275739</v>
      </c>
      <c r="H251">
        <v>6900.7283700078024</v>
      </c>
      <c r="I251">
        <v>4510.5716242217923</v>
      </c>
      <c r="J251">
        <v>685.09149157138552</v>
      </c>
      <c r="K251">
        <v>442.64317096862624</v>
      </c>
      <c r="L251">
        <v>144.37618251216915</v>
      </c>
      <c r="M251">
        <v>242.25737591008632</v>
      </c>
      <c r="O251">
        <v>382.50066567454775</v>
      </c>
      <c r="P251">
        <v>173.65959952211117</v>
      </c>
      <c r="Q251">
        <v>49230.585208827273</v>
      </c>
      <c r="U251">
        <v>179.74380230701826</v>
      </c>
    </row>
    <row r="252" spans="1:21">
      <c r="A252" s="3">
        <v>44136</v>
      </c>
      <c r="B252" s="3">
        <v>44136</v>
      </c>
      <c r="C252">
        <v>314.84666694313245</v>
      </c>
      <c r="D252">
        <v>122.90280303076558</v>
      </c>
      <c r="E252">
        <v>188.40609726363519</v>
      </c>
      <c r="F252">
        <v>82.020651115702734</v>
      </c>
      <c r="G252">
        <v>110.09675105809616</v>
      </c>
      <c r="H252">
        <v>6806.6967912853052</v>
      </c>
      <c r="I252">
        <v>4440.8713343490926</v>
      </c>
      <c r="J252">
        <v>690.42046488016865</v>
      </c>
      <c r="K252">
        <v>445.30953475098573</v>
      </c>
      <c r="L252">
        <v>147.87239765162667</v>
      </c>
      <c r="M252">
        <v>240.36094712853659</v>
      </c>
      <c r="O252">
        <v>391.57939134365819</v>
      </c>
      <c r="P252">
        <v>173.61667714665657</v>
      </c>
      <c r="Q252">
        <v>50028.410359000198</v>
      </c>
      <c r="U252">
        <v>179.05996634832397</v>
      </c>
    </row>
    <row r="253" spans="1:21">
      <c r="A253" s="3">
        <v>44166</v>
      </c>
      <c r="B253" s="3">
        <v>44166</v>
      </c>
      <c r="C253">
        <v>321.25326268994075</v>
      </c>
      <c r="D253">
        <v>123.30138831228722</v>
      </c>
      <c r="E253">
        <v>191.58670439717557</v>
      </c>
      <c r="F253">
        <v>84.713101013150506</v>
      </c>
      <c r="G253">
        <v>111.34155144731331</v>
      </c>
      <c r="H253">
        <v>6800.3407150982348</v>
      </c>
      <c r="I253">
        <v>4321.8490886386871</v>
      </c>
      <c r="J253">
        <v>677.74413504331949</v>
      </c>
      <c r="K253">
        <v>452.06421645211361</v>
      </c>
      <c r="L253">
        <v>128.13571503679151</v>
      </c>
      <c r="M253">
        <v>244.30626339893075</v>
      </c>
      <c r="O253">
        <v>388.71896998600755</v>
      </c>
      <c r="P253">
        <v>175.43087878532819</v>
      </c>
      <c r="Q253">
        <v>50342.706972972846</v>
      </c>
      <c r="U253">
        <v>179.14674729137346</v>
      </c>
    </row>
    <row r="254" spans="1:21">
      <c r="A254" s="3">
        <v>44197</v>
      </c>
      <c r="B254" s="3">
        <v>44197</v>
      </c>
      <c r="C254">
        <v>314.54335593128644</v>
      </c>
      <c r="D254">
        <v>120.9383209658002</v>
      </c>
      <c r="E254">
        <v>189.32553523016344</v>
      </c>
      <c r="F254">
        <v>87.261124162053918</v>
      </c>
      <c r="G254">
        <v>110.64104242023912</v>
      </c>
      <c r="H254">
        <v>6806.1360120766867</v>
      </c>
      <c r="I254">
        <v>4379.9854917238617</v>
      </c>
      <c r="J254">
        <v>685.25908447992185</v>
      </c>
      <c r="K254">
        <v>442.24545970557614</v>
      </c>
      <c r="L254">
        <v>148.84802707656794</v>
      </c>
      <c r="M254">
        <v>240.98504032083477</v>
      </c>
      <c r="O254">
        <v>374.64345137712365</v>
      </c>
      <c r="P254">
        <v>174.93412056744404</v>
      </c>
      <c r="Q254">
        <v>48762.999725171976</v>
      </c>
      <c r="U254">
        <v>177.62173584302704</v>
      </c>
    </row>
    <row r="255" spans="1:21">
      <c r="A255" s="3">
        <v>44228</v>
      </c>
      <c r="B255" s="3">
        <v>44228</v>
      </c>
      <c r="C255">
        <v>323.39708918910247</v>
      </c>
      <c r="D255">
        <v>124.78397824624398</v>
      </c>
      <c r="E255">
        <v>192.61197004021577</v>
      </c>
      <c r="F255">
        <v>87.227706816966119</v>
      </c>
      <c r="G255">
        <v>114.6488005355739</v>
      </c>
      <c r="H255">
        <v>7091.4732650014648</v>
      </c>
      <c r="I255">
        <v>4570.7555081823793</v>
      </c>
      <c r="J255">
        <v>690.7269460800901</v>
      </c>
      <c r="K255">
        <v>444.77868928668551</v>
      </c>
      <c r="L255">
        <v>150.93298086960868</v>
      </c>
      <c r="M255">
        <v>243.77788434986573</v>
      </c>
      <c r="O255">
        <v>372.51342576699892</v>
      </c>
      <c r="P255">
        <v>176.98986521809385</v>
      </c>
      <c r="Q255">
        <v>48204.217930900195</v>
      </c>
      <c r="U255">
        <v>177.48207849375351</v>
      </c>
    </row>
    <row r="256" spans="1:21">
      <c r="A256" s="3">
        <v>44256</v>
      </c>
      <c r="B256" s="3">
        <v>44256</v>
      </c>
      <c r="C256">
        <v>328.68443722720048</v>
      </c>
      <c r="D256">
        <v>126.41769423417108</v>
      </c>
      <c r="E256">
        <v>193.45164032430165</v>
      </c>
      <c r="F256">
        <v>88.029718679485413</v>
      </c>
      <c r="G256">
        <v>113.81112592172016</v>
      </c>
      <c r="H256">
        <v>7064.6761418557135</v>
      </c>
      <c r="I256">
        <v>4500.5380722722603</v>
      </c>
      <c r="J256">
        <v>699.3166494939087</v>
      </c>
      <c r="K256">
        <v>443.38212416408982</v>
      </c>
      <c r="L256">
        <v>152.48965262162957</v>
      </c>
      <c r="M256">
        <v>246.54907884692102</v>
      </c>
      <c r="O256">
        <v>387.80458447684964</v>
      </c>
      <c r="P256">
        <v>178.29305704583399</v>
      </c>
      <c r="Q256">
        <v>48282.995200731573</v>
      </c>
      <c r="U256">
        <v>177.20377901086167</v>
      </c>
    </row>
    <row r="257" spans="1:21">
      <c r="A257" s="3">
        <v>44287</v>
      </c>
      <c r="B257" s="3">
        <v>44287</v>
      </c>
      <c r="C257">
        <v>327.7995200982657</v>
      </c>
      <c r="D257">
        <v>125.99239015685717</v>
      </c>
      <c r="E257">
        <v>193.97817700535276</v>
      </c>
      <c r="F257">
        <v>88.476505622001554</v>
      </c>
      <c r="G257">
        <v>114.01245458659827</v>
      </c>
      <c r="H257">
        <v>7204.5107923053338</v>
      </c>
      <c r="I257">
        <v>4435.1124833827444</v>
      </c>
      <c r="J257">
        <v>694.81121823265687</v>
      </c>
      <c r="K257">
        <v>444.10547730969313</v>
      </c>
      <c r="L257">
        <v>150.9397122295556</v>
      </c>
      <c r="M257">
        <v>192.56378063523849</v>
      </c>
      <c r="O257">
        <v>386.28641657681254</v>
      </c>
      <c r="P257">
        <v>179.38963375294392</v>
      </c>
      <c r="Q257">
        <v>49858.463569322717</v>
      </c>
      <c r="U257">
        <v>176.46460029442167</v>
      </c>
    </row>
    <row r="258" spans="1:21">
      <c r="A258" s="3">
        <v>44317</v>
      </c>
      <c r="B258" s="3">
        <v>44317</v>
      </c>
      <c r="C258">
        <v>326.25561663298697</v>
      </c>
      <c r="D258">
        <v>128.56313120618</v>
      </c>
      <c r="E258">
        <v>194.05658344151493</v>
      </c>
      <c r="F258">
        <v>89.929328070448278</v>
      </c>
      <c r="G258">
        <v>115.70825315295635</v>
      </c>
      <c r="H258">
        <v>7313.1046550733836</v>
      </c>
      <c r="I258">
        <v>4656.075727773492</v>
      </c>
      <c r="J258">
        <v>691.15881085878902</v>
      </c>
      <c r="K258">
        <v>443.86078379869929</v>
      </c>
      <c r="L258">
        <v>129.03649417424492</v>
      </c>
      <c r="M258">
        <v>183.06875817137146</v>
      </c>
      <c r="O258">
        <v>382.74537192370332</v>
      </c>
      <c r="P258">
        <v>178.61013913376681</v>
      </c>
      <c r="Q258">
        <v>49771.820405397339</v>
      </c>
      <c r="U258">
        <v>176.20267884191469</v>
      </c>
    </row>
    <row r="259" spans="1:21">
      <c r="A259" s="3">
        <v>44348</v>
      </c>
      <c r="B259" s="3">
        <v>44348</v>
      </c>
      <c r="C259">
        <v>322.40461859274717</v>
      </c>
      <c r="D259">
        <v>128.17195455119298</v>
      </c>
      <c r="E259">
        <v>194.96882957389661</v>
      </c>
      <c r="F259">
        <v>89.473912136111295</v>
      </c>
      <c r="G259">
        <v>116.32317900220548</v>
      </c>
      <c r="H259">
        <v>7066.8621049317817</v>
      </c>
      <c r="I259">
        <v>4449.9412578239499</v>
      </c>
      <c r="J259">
        <v>694.1743743299096</v>
      </c>
      <c r="K259">
        <v>444.23330776283558</v>
      </c>
      <c r="L259">
        <v>153.41079268413034</v>
      </c>
      <c r="M259">
        <v>250.33682724705284</v>
      </c>
      <c r="O259">
        <v>395.1374335486488</v>
      </c>
      <c r="P259">
        <v>179.13321343415873</v>
      </c>
      <c r="Q259">
        <v>49613.473715074135</v>
      </c>
      <c r="U259">
        <v>175.61394166820929</v>
      </c>
    </row>
    <row r="260" spans="1:21">
      <c r="A260" s="3">
        <v>44378</v>
      </c>
      <c r="B260" s="3">
        <v>44378</v>
      </c>
      <c r="C260">
        <v>329.7807229647845</v>
      </c>
      <c r="D260">
        <v>127.80432563613553</v>
      </c>
      <c r="E260">
        <v>196.70259593582406</v>
      </c>
      <c r="F260">
        <v>89.558658204314753</v>
      </c>
      <c r="G260">
        <v>116.17579476509863</v>
      </c>
      <c r="H260">
        <v>7022.3655686889751</v>
      </c>
      <c r="I260">
        <v>4513.7200715219815</v>
      </c>
      <c r="J260">
        <v>695.62096292328295</v>
      </c>
      <c r="K260">
        <v>439.15569138684509</v>
      </c>
      <c r="L260">
        <v>152.55171703099526</v>
      </c>
      <c r="M260">
        <v>251.00729944021242</v>
      </c>
      <c r="O260">
        <v>388.8804608060604</v>
      </c>
      <c r="P260">
        <v>180.45400901740018</v>
      </c>
      <c r="Q260">
        <v>49335.151673938322</v>
      </c>
      <c r="U260">
        <v>174.7908822428667</v>
      </c>
    </row>
    <row r="261" spans="1:21">
      <c r="A261" s="3">
        <v>44409</v>
      </c>
      <c r="B261" s="3">
        <v>44409</v>
      </c>
      <c r="C261">
        <v>324.44233997790894</v>
      </c>
      <c r="D261">
        <v>123.81559085756599</v>
      </c>
      <c r="E261">
        <v>196.24910628961732</v>
      </c>
      <c r="F261">
        <v>89.224557148215453</v>
      </c>
      <c r="G261">
        <v>118.33998151695087</v>
      </c>
      <c r="H261">
        <v>6492.7461352146574</v>
      </c>
      <c r="I261">
        <v>4079.2098070597631</v>
      </c>
      <c r="J261">
        <v>700.55406022048351</v>
      </c>
      <c r="K261">
        <v>441.46304878568623</v>
      </c>
      <c r="L261">
        <v>152.37735063611197</v>
      </c>
      <c r="M261">
        <v>250.1080659147556</v>
      </c>
      <c r="O261">
        <v>406.77788806720019</v>
      </c>
      <c r="P261">
        <v>180.34447834085489</v>
      </c>
      <c r="Q261">
        <v>49126.250685485487</v>
      </c>
      <c r="U261">
        <v>174.28115314237218</v>
      </c>
    </row>
    <row r="262" spans="1:21">
      <c r="A262" s="3">
        <v>44440</v>
      </c>
      <c r="B262" s="3">
        <v>44440</v>
      </c>
      <c r="C262">
        <v>330.27303020070855</v>
      </c>
      <c r="D262">
        <v>128.40370180145982</v>
      </c>
      <c r="E262">
        <v>197.45656483729294</v>
      </c>
      <c r="F262">
        <v>90.102107500700669</v>
      </c>
      <c r="G262">
        <v>118.15743909469901</v>
      </c>
      <c r="J262">
        <v>694.4104959527856</v>
      </c>
      <c r="K262">
        <v>439.44269193166775</v>
      </c>
      <c r="L262">
        <v>154.30424949778876</v>
      </c>
      <c r="M262">
        <v>254.26875291585247</v>
      </c>
      <c r="P262">
        <v>181.7410095790575</v>
      </c>
      <c r="Q262">
        <v>47948.291219844337</v>
      </c>
      <c r="U262">
        <v>173.82001019136291</v>
      </c>
    </row>
    <row r="263" spans="1:21">
      <c r="A263" s="3">
        <v>44470</v>
      </c>
      <c r="B263" s="3">
        <v>44470</v>
      </c>
      <c r="C263">
        <v>328.85592652343104</v>
      </c>
      <c r="D263">
        <v>130.93313724107969</v>
      </c>
      <c r="G263">
        <v>118.1513046562515</v>
      </c>
      <c r="J263">
        <v>686.6078090370288</v>
      </c>
      <c r="K263">
        <v>353.42965540949052</v>
      </c>
      <c r="L263">
        <v>154.91355438080521</v>
      </c>
      <c r="M263">
        <v>255.99199527592421</v>
      </c>
      <c r="P263">
        <v>181.2094038375898</v>
      </c>
      <c r="U263">
        <v>172.2694508795667</v>
      </c>
    </row>
    <row r="264" spans="1:21">
      <c r="A264" s="3">
        <v>44501</v>
      </c>
      <c r="B264" s="3">
        <v>44501</v>
      </c>
      <c r="C264">
        <v>335.15568974884451</v>
      </c>
      <c r="D264">
        <v>132.49334360354692</v>
      </c>
      <c r="G264">
        <v>119.58935683199874</v>
      </c>
      <c r="J264">
        <v>689.84838984039084</v>
      </c>
      <c r="K264">
        <v>433.31674886578156</v>
      </c>
      <c r="M264">
        <v>258.92754685593383</v>
      </c>
      <c r="P264">
        <v>183.41543521528328</v>
      </c>
      <c r="U264">
        <v>172.17445682622079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>
    <tabColor theme="0" tint="-0.499984740745262"/>
  </sheetPr>
  <dimension ref="A1:BG88"/>
  <sheetViews>
    <sheetView workbookViewId="0">
      <pane xSplit="1" ySplit="1" topLeftCell="K68" activePane="bottomRight" state="frozen"/>
      <selection pane="topRight" activeCell="B1" sqref="B1"/>
      <selection pane="bottomLeft" activeCell="A2" sqref="A2"/>
      <selection pane="bottomRight" sqref="A1:A1048576"/>
    </sheetView>
  </sheetViews>
  <sheetFormatPr baseColWidth="10" defaultColWidth="8.83203125" defaultRowHeight="15"/>
  <cols>
    <col min="1" max="1" width="14.5" customWidth="1" collapsed="1"/>
    <col min="2" max="2" width="11" customWidth="1" collapsed="1"/>
  </cols>
  <sheetData>
    <row r="1" spans="1:59">
      <c r="B1" t="s">
        <v>280</v>
      </c>
      <c r="C1" t="s">
        <v>45</v>
      </c>
      <c r="D1" t="s">
        <v>121</v>
      </c>
      <c r="E1" t="s">
        <v>139</v>
      </c>
      <c r="F1" t="s">
        <v>122</v>
      </c>
      <c r="G1" t="s">
        <v>123</v>
      </c>
      <c r="H1" t="s">
        <v>124</v>
      </c>
      <c r="I1" t="s">
        <v>137</v>
      </c>
      <c r="J1" t="s">
        <v>138</v>
      </c>
      <c r="K1" t="s">
        <v>46</v>
      </c>
      <c r="L1" t="s">
        <v>47</v>
      </c>
      <c r="M1" t="s">
        <v>125</v>
      </c>
      <c r="N1" t="s">
        <v>140</v>
      </c>
      <c r="O1" t="s">
        <v>126</v>
      </c>
      <c r="P1" t="s">
        <v>127</v>
      </c>
      <c r="Q1" t="s">
        <v>75</v>
      </c>
      <c r="R1" t="s">
        <v>128</v>
      </c>
      <c r="S1" t="s">
        <v>129</v>
      </c>
      <c r="T1" t="s">
        <v>48</v>
      </c>
      <c r="U1" t="s">
        <v>49</v>
      </c>
      <c r="V1" t="s">
        <v>50</v>
      </c>
      <c r="W1" t="s">
        <v>261</v>
      </c>
      <c r="X1" t="s">
        <v>51</v>
      </c>
      <c r="Y1" t="s">
        <v>262</v>
      </c>
      <c r="Z1" t="s">
        <v>263</v>
      </c>
      <c r="AA1" t="s">
        <v>52</v>
      </c>
      <c r="AB1" t="s">
        <v>240</v>
      </c>
      <c r="AC1" t="s">
        <v>242</v>
      </c>
      <c r="AD1" t="s">
        <v>130</v>
      </c>
      <c r="AE1" t="s">
        <v>53</v>
      </c>
      <c r="AF1" t="s">
        <v>54</v>
      </c>
      <c r="AG1" t="s">
        <v>131</v>
      </c>
      <c r="AH1" t="s">
        <v>264</v>
      </c>
      <c r="AI1" t="s">
        <v>55</v>
      </c>
      <c r="AJ1" t="s">
        <v>56</v>
      </c>
      <c r="AK1" t="s">
        <v>132</v>
      </c>
      <c r="AL1" t="s">
        <v>133</v>
      </c>
      <c r="AM1" t="s">
        <v>298</v>
      </c>
      <c r="AN1" t="s">
        <v>57</v>
      </c>
      <c r="AO1" t="s">
        <v>58</v>
      </c>
      <c r="AP1" t="s">
        <v>249</v>
      </c>
      <c r="AQ1" t="s">
        <v>59</v>
      </c>
      <c r="AR1" t="s">
        <v>250</v>
      </c>
      <c r="AS1" t="s">
        <v>251</v>
      </c>
      <c r="AT1" t="s">
        <v>60</v>
      </c>
      <c r="AU1" t="s">
        <v>239</v>
      </c>
      <c r="AV1" t="s">
        <v>241</v>
      </c>
      <c r="AW1" t="s">
        <v>134</v>
      </c>
      <c r="AX1" t="s">
        <v>61</v>
      </c>
      <c r="AY1" t="s">
        <v>62</v>
      </c>
      <c r="AZ1" t="s">
        <v>135</v>
      </c>
      <c r="BA1" t="s">
        <v>245</v>
      </c>
      <c r="BB1" t="s">
        <v>63</v>
      </c>
      <c r="BC1" t="s">
        <v>64</v>
      </c>
      <c r="BD1" t="s">
        <v>136</v>
      </c>
      <c r="BE1" t="s">
        <v>299</v>
      </c>
      <c r="BF1" t="s">
        <v>162</v>
      </c>
      <c r="BG1" t="s">
        <v>270</v>
      </c>
    </row>
    <row r="2" spans="1:59" ht="14" customHeight="1">
      <c r="A2" s="3">
        <v>36586</v>
      </c>
      <c r="B2" s="3">
        <v>36586</v>
      </c>
      <c r="C2">
        <v>341648.2</v>
      </c>
      <c r="D2">
        <v>5771.5</v>
      </c>
      <c r="E2">
        <v>48779.199999999997</v>
      </c>
      <c r="F2">
        <v>68802.3</v>
      </c>
      <c r="G2">
        <v>16868.400000000001</v>
      </c>
      <c r="H2">
        <v>85670.7</v>
      </c>
      <c r="I2">
        <v>289906.7</v>
      </c>
      <c r="J2">
        <v>247637.2</v>
      </c>
      <c r="K2">
        <v>524139.1</v>
      </c>
      <c r="L2">
        <v>1170673.6200897177</v>
      </c>
      <c r="M2">
        <v>15569.00673831735</v>
      </c>
      <c r="N2">
        <v>447941.45600792475</v>
      </c>
      <c r="O2">
        <v>512465.54965657741</v>
      </c>
      <c r="P2">
        <v>696609.4483848809</v>
      </c>
      <c r="Q2">
        <v>184143.89872830349</v>
      </c>
      <c r="R2">
        <v>1882478.1860391726</v>
      </c>
      <c r="S2">
        <v>1305705.4351570574</v>
      </c>
      <c r="T2">
        <v>3059710.9046725403</v>
      </c>
      <c r="AN2">
        <v>86835.90670156377</v>
      </c>
      <c r="AO2">
        <v>330893.68495781563</v>
      </c>
      <c r="AT2">
        <v>70109.532975257098</v>
      </c>
      <c r="AX2">
        <v>15445.466334524059</v>
      </c>
      <c r="AY2">
        <v>94825.236389676153</v>
      </c>
      <c r="BB2">
        <v>58255.816036108314</v>
      </c>
      <c r="BE2">
        <v>1047255.1495971549</v>
      </c>
      <c r="BG2">
        <v>1094410.6759808732</v>
      </c>
    </row>
    <row r="3" spans="1:59" ht="14" customHeight="1">
      <c r="A3" s="3">
        <v>36678</v>
      </c>
      <c r="B3" s="3">
        <v>36678</v>
      </c>
      <c r="C3">
        <v>373429.5</v>
      </c>
      <c r="D3">
        <v>5811.6</v>
      </c>
      <c r="E3">
        <v>75480</v>
      </c>
      <c r="F3">
        <v>104648.5</v>
      </c>
      <c r="G3">
        <v>-30505.3</v>
      </c>
      <c r="H3">
        <v>74143.199999999997</v>
      </c>
      <c r="I3">
        <v>360543.8</v>
      </c>
      <c r="J3">
        <v>298696.5</v>
      </c>
      <c r="K3">
        <v>590711.6</v>
      </c>
      <c r="L3">
        <v>1324490.1560508625</v>
      </c>
      <c r="M3">
        <v>14122.474536825655</v>
      </c>
      <c r="N3">
        <v>440442.78853043978</v>
      </c>
      <c r="O3">
        <v>351221.12287247105</v>
      </c>
      <c r="P3">
        <v>733916.01593291142</v>
      </c>
      <c r="Q3">
        <v>382694.89306044037</v>
      </c>
      <c r="R3">
        <v>2257909.2451436426</v>
      </c>
      <c r="S3">
        <v>1757246.1507405653</v>
      </c>
      <c r="T3">
        <v>3152694.7641133419</v>
      </c>
      <c r="AN3">
        <v>98017.965460859894</v>
      </c>
      <c r="AO3">
        <v>357846.11657211278</v>
      </c>
      <c r="AT3">
        <v>62750.455569490543</v>
      </c>
      <c r="AX3">
        <v>19980.373424283895</v>
      </c>
      <c r="AY3">
        <v>89246.362819834569</v>
      </c>
      <c r="BB3">
        <v>65430.219726040516</v>
      </c>
      <c r="BE3">
        <v>1115171.2648493298</v>
      </c>
      <c r="BG3">
        <v>1175744.8833009135</v>
      </c>
    </row>
    <row r="4" spans="1:59" ht="14" customHeight="1">
      <c r="A4" s="3">
        <v>36770</v>
      </c>
      <c r="B4" s="3">
        <v>36770</v>
      </c>
      <c r="C4">
        <v>460827.9</v>
      </c>
      <c r="D4">
        <v>4545.1000000000004</v>
      </c>
      <c r="E4">
        <v>85564.9</v>
      </c>
      <c r="F4">
        <v>135570.79999999999</v>
      </c>
      <c r="G4">
        <v>70905.899999999994</v>
      </c>
      <c r="H4">
        <v>206476.7</v>
      </c>
      <c r="I4">
        <v>378203.1</v>
      </c>
      <c r="J4">
        <v>357414.6</v>
      </c>
      <c r="K4">
        <v>778203.1</v>
      </c>
      <c r="L4">
        <v>1854981.9281397609</v>
      </c>
      <c r="M4">
        <v>15789.717389280369</v>
      </c>
      <c r="N4">
        <v>344590.55353187246</v>
      </c>
      <c r="O4">
        <v>464386.25565140526</v>
      </c>
      <c r="P4">
        <v>864976.45588288573</v>
      </c>
      <c r="Q4">
        <v>400590.20023148047</v>
      </c>
      <c r="R4">
        <v>1618398.5229283576</v>
      </c>
      <c r="S4">
        <v>1191051.3315369745</v>
      </c>
      <c r="T4">
        <v>3962383.7532052086</v>
      </c>
      <c r="AN4">
        <v>101462.69156599807</v>
      </c>
      <c r="AO4">
        <v>337262.76191150694</v>
      </c>
      <c r="AT4">
        <v>78294.388158199989</v>
      </c>
      <c r="AX4">
        <v>23606.354868517214</v>
      </c>
      <c r="AY4">
        <v>97269.10718484025</v>
      </c>
      <c r="BB4">
        <v>67151.787886676786</v>
      </c>
      <c r="BE4">
        <v>1135504.1886342503</v>
      </c>
      <c r="BG4">
        <v>1199742.5573040079</v>
      </c>
    </row>
    <row r="5" spans="1:59" ht="14" customHeight="1">
      <c r="A5" s="3">
        <v>36861</v>
      </c>
      <c r="B5" s="3">
        <v>36861</v>
      </c>
      <c r="C5">
        <v>413156</v>
      </c>
      <c r="D5">
        <v>3798.4</v>
      </c>
      <c r="E5">
        <v>104160.4</v>
      </c>
      <c r="F5">
        <v>141236.79999999999</v>
      </c>
      <c r="G5">
        <v>-25725.3</v>
      </c>
      <c r="H5">
        <v>115511.5</v>
      </c>
      <c r="I5">
        <v>442953.8</v>
      </c>
      <c r="J5">
        <v>372732.3</v>
      </c>
      <c r="K5">
        <v>706847.8</v>
      </c>
      <c r="L5">
        <v>2270796.5418183007</v>
      </c>
      <c r="M5">
        <v>22152.755996067564</v>
      </c>
      <c r="N5">
        <v>717268.99781498499</v>
      </c>
      <c r="O5">
        <v>620776.16725882201</v>
      </c>
      <c r="P5">
        <v>937359.87154557393</v>
      </c>
      <c r="Q5">
        <v>316583.70428675192</v>
      </c>
      <c r="R5">
        <v>2420970.5887550064</v>
      </c>
      <c r="S5">
        <v>1548090.1293861426</v>
      </c>
      <c r="T5">
        <v>4442892.4823216479</v>
      </c>
      <c r="AN5">
        <v>68975.161644560911</v>
      </c>
      <c r="AO5">
        <v>321975.84425415529</v>
      </c>
      <c r="AT5">
        <v>55322.64196695252</v>
      </c>
      <c r="AX5">
        <v>27484.493117702772</v>
      </c>
      <c r="AY5">
        <v>118357.68223333733</v>
      </c>
      <c r="BB5">
        <v>69454.696829243709</v>
      </c>
      <c r="BE5">
        <v>1081956.2172618487</v>
      </c>
      <c r="BG5">
        <v>1187398.139541304</v>
      </c>
    </row>
    <row r="6" spans="1:59" ht="14" customHeight="1">
      <c r="A6" s="3">
        <v>36951</v>
      </c>
      <c r="B6" s="3">
        <v>36951</v>
      </c>
      <c r="C6">
        <v>345340.3</v>
      </c>
      <c r="D6">
        <v>6899.4</v>
      </c>
      <c r="E6">
        <v>70740.100000000006</v>
      </c>
      <c r="F6">
        <v>129436.6</v>
      </c>
      <c r="G6">
        <v>35317</v>
      </c>
      <c r="H6">
        <v>164753.60000000001</v>
      </c>
      <c r="I6">
        <v>361877.4</v>
      </c>
      <c r="J6">
        <v>314990.59999999998</v>
      </c>
      <c r="K6">
        <v>634620.19999999995</v>
      </c>
      <c r="L6">
        <v>1118790.5738664682</v>
      </c>
      <c r="M6">
        <v>24718.096075003381</v>
      </c>
      <c r="N6">
        <v>483489.1239166903</v>
      </c>
      <c r="O6">
        <v>758618.11495095748</v>
      </c>
      <c r="P6">
        <v>1077678.1984623484</v>
      </c>
      <c r="Q6">
        <v>319060.08351139096</v>
      </c>
      <c r="R6">
        <v>2143844.6371481013</v>
      </c>
      <c r="S6">
        <v>1438478.5058835209</v>
      </c>
      <c r="T6">
        <v>3407840.2619738188</v>
      </c>
      <c r="AN6">
        <v>91054.039210963456</v>
      </c>
      <c r="AO6">
        <v>370637.11574981845</v>
      </c>
      <c r="AT6">
        <v>83019.946974359307</v>
      </c>
      <c r="AX6">
        <v>16989.760219386473</v>
      </c>
      <c r="AY6">
        <v>103370.06869343706</v>
      </c>
      <c r="BB6">
        <v>61328.289641779622</v>
      </c>
      <c r="BE6">
        <v>1181204.4287080336</v>
      </c>
      <c r="BG6">
        <v>1233563.0316307112</v>
      </c>
    </row>
    <row r="7" spans="1:59" ht="14" customHeight="1">
      <c r="A7" s="3">
        <v>37043</v>
      </c>
      <c r="B7" s="3">
        <v>37043</v>
      </c>
      <c r="C7">
        <v>400499.20000000001</v>
      </c>
      <c r="D7">
        <v>8060.7</v>
      </c>
      <c r="E7">
        <v>108549</v>
      </c>
      <c r="F7">
        <v>201103.8</v>
      </c>
      <c r="G7">
        <v>94552.6</v>
      </c>
      <c r="H7">
        <v>295656.40000000002</v>
      </c>
      <c r="I7">
        <v>399718.8</v>
      </c>
      <c r="J7">
        <v>414160.1</v>
      </c>
      <c r="K7">
        <v>798324</v>
      </c>
      <c r="L7">
        <v>1338751.915858367</v>
      </c>
      <c r="M7">
        <v>25815.493563409524</v>
      </c>
      <c r="N7">
        <v>452990.7953690057</v>
      </c>
      <c r="O7">
        <v>497323.90878420282</v>
      </c>
      <c r="P7">
        <v>1182093.5708174373</v>
      </c>
      <c r="Q7">
        <v>684769.66203323449</v>
      </c>
      <c r="R7">
        <v>2228161.0478099906</v>
      </c>
      <c r="S7">
        <v>1851708.9935001037</v>
      </c>
      <c r="T7">
        <v>3576554.3326969221</v>
      </c>
      <c r="AN7">
        <v>102796.51765503861</v>
      </c>
      <c r="AO7">
        <v>410313.92702437687</v>
      </c>
      <c r="AT7">
        <v>83963.539344730583</v>
      </c>
      <c r="AX7">
        <v>25492.113352314609</v>
      </c>
      <c r="AY7">
        <v>103019.50315942575</v>
      </c>
      <c r="BB7">
        <v>68197.252182280004</v>
      </c>
      <c r="BE7">
        <v>1280649.9860416187</v>
      </c>
      <c r="BG7">
        <v>1342928.382331965</v>
      </c>
    </row>
    <row r="8" spans="1:59" ht="14" customHeight="1">
      <c r="A8" s="3">
        <v>37135</v>
      </c>
      <c r="B8" s="3">
        <v>37135</v>
      </c>
      <c r="C8">
        <v>578151.80000000005</v>
      </c>
      <c r="D8">
        <v>7476.2</v>
      </c>
      <c r="E8">
        <v>111821.1</v>
      </c>
      <c r="F8">
        <v>193228.9</v>
      </c>
      <c r="G8">
        <v>108156.4</v>
      </c>
      <c r="H8">
        <v>301385.3</v>
      </c>
      <c r="I8">
        <v>375176.6</v>
      </c>
      <c r="J8">
        <v>398859.6</v>
      </c>
      <c r="K8">
        <v>975151.4</v>
      </c>
      <c r="L8">
        <v>2015911.3786649662</v>
      </c>
      <c r="M8">
        <v>29495.886599235502</v>
      </c>
      <c r="N8">
        <v>347800.82147707872</v>
      </c>
      <c r="O8">
        <v>463087.228805413</v>
      </c>
      <c r="P8">
        <v>1212435.4609119594</v>
      </c>
      <c r="Q8">
        <v>749348.23210654641</v>
      </c>
      <c r="R8">
        <v>1407601.8719669145</v>
      </c>
      <c r="S8">
        <v>1107519.9926285429</v>
      </c>
      <c r="T8">
        <v>4543568.058161757</v>
      </c>
      <c r="AN8">
        <v>110456.37771449753</v>
      </c>
      <c r="AO8">
        <v>386630.74302212714</v>
      </c>
      <c r="AT8">
        <v>97157.895317710776</v>
      </c>
      <c r="AX8">
        <v>32545.247430006886</v>
      </c>
      <c r="AY8">
        <v>104419.79822389598</v>
      </c>
      <c r="BB8">
        <v>71810.521602022578</v>
      </c>
      <c r="BE8">
        <v>1294071.9207692326</v>
      </c>
      <c r="BG8">
        <v>1385266.4304932361</v>
      </c>
    </row>
    <row r="9" spans="1:59" ht="14" customHeight="1">
      <c r="A9" s="3">
        <v>37226</v>
      </c>
      <c r="B9" s="3">
        <v>37226</v>
      </c>
      <c r="C9">
        <v>526807.80000000005</v>
      </c>
      <c r="D9">
        <v>9258.1</v>
      </c>
      <c r="E9">
        <v>144926.20000000001</v>
      </c>
      <c r="F9">
        <v>247615.3</v>
      </c>
      <c r="G9">
        <v>-42922.400000000001</v>
      </c>
      <c r="H9">
        <v>204692.9</v>
      </c>
      <c r="I9">
        <v>355087.6</v>
      </c>
      <c r="J9">
        <v>398274.9</v>
      </c>
      <c r="K9">
        <v>842497.7</v>
      </c>
      <c r="L9">
        <v>2621885.5411320524</v>
      </c>
      <c r="M9">
        <v>53671.717213355405</v>
      </c>
      <c r="N9">
        <v>623613.88328713924</v>
      </c>
      <c r="O9">
        <v>821908.50148759689</v>
      </c>
      <c r="P9">
        <v>1520092.6343062378</v>
      </c>
      <c r="Q9">
        <v>698184.13281864091</v>
      </c>
      <c r="R9">
        <v>1974996.1733657762</v>
      </c>
      <c r="S9">
        <v>1336784.6055454446</v>
      </c>
      <c r="T9">
        <v>5222248.1818127958</v>
      </c>
      <c r="AN9">
        <v>103142.2304443863</v>
      </c>
      <c r="AO9">
        <v>362831.48690680711</v>
      </c>
      <c r="AT9">
        <v>72065.357644215357</v>
      </c>
      <c r="AX9">
        <v>27231.692408378793</v>
      </c>
      <c r="AY9">
        <v>128480.46601011575</v>
      </c>
      <c r="BB9">
        <v>94939.972581654118</v>
      </c>
      <c r="BE9">
        <v>1232166.2945898979</v>
      </c>
      <c r="BG9">
        <v>1337298.3220389734</v>
      </c>
    </row>
    <row r="10" spans="1:59" ht="14" customHeight="1">
      <c r="A10" s="3">
        <v>37316</v>
      </c>
      <c r="B10" s="3">
        <v>37316</v>
      </c>
      <c r="C10">
        <v>467894.4</v>
      </c>
      <c r="D10">
        <v>13732.8</v>
      </c>
      <c r="E10">
        <v>96960.5</v>
      </c>
      <c r="F10">
        <v>207962</v>
      </c>
      <c r="G10">
        <v>-67256.3</v>
      </c>
      <c r="H10">
        <v>140705.70000000001</v>
      </c>
      <c r="I10">
        <v>360694</v>
      </c>
      <c r="J10">
        <v>333696.8</v>
      </c>
      <c r="K10">
        <v>746290.6</v>
      </c>
      <c r="L10">
        <v>1237978.9752024487</v>
      </c>
      <c r="M10">
        <v>26263.482107806391</v>
      </c>
      <c r="N10">
        <v>486535.59382596507</v>
      </c>
      <c r="O10">
        <v>779022.8498525332</v>
      </c>
      <c r="P10">
        <v>1131966.129226712</v>
      </c>
      <c r="Q10">
        <v>352943.27937417885</v>
      </c>
      <c r="R10">
        <v>2172086.134698499</v>
      </c>
      <c r="S10">
        <v>1316951.5812776494</v>
      </c>
      <c r="T10">
        <v>3771592.2257293379</v>
      </c>
      <c r="AN10">
        <v>95838.689900827449</v>
      </c>
      <c r="AO10">
        <v>413231.09449524363</v>
      </c>
      <c r="AT10">
        <v>91763.827752623823</v>
      </c>
      <c r="AX10">
        <v>19251.860099831414</v>
      </c>
      <c r="AY10">
        <v>116416.67282265003</v>
      </c>
      <c r="BB10">
        <v>64595.917146393876</v>
      </c>
      <c r="BE10">
        <v>1289575.9369194282</v>
      </c>
      <c r="BG10">
        <v>1347462.7166969064</v>
      </c>
    </row>
    <row r="11" spans="1:59" ht="14" customHeight="1">
      <c r="A11" s="3">
        <v>37408</v>
      </c>
      <c r="B11" s="3">
        <v>37408</v>
      </c>
      <c r="C11">
        <v>468316.7</v>
      </c>
      <c r="D11">
        <v>17387</v>
      </c>
      <c r="E11">
        <v>111616.3</v>
      </c>
      <c r="F11">
        <v>220161</v>
      </c>
      <c r="G11">
        <v>116313.60000000001</v>
      </c>
      <c r="H11">
        <v>336474.6</v>
      </c>
      <c r="I11">
        <v>434544.8</v>
      </c>
      <c r="J11">
        <v>448747.7</v>
      </c>
      <c r="K11">
        <v>919591.7</v>
      </c>
      <c r="L11">
        <v>1635535.0427505772</v>
      </c>
      <c r="M11">
        <v>26102.393684225361</v>
      </c>
      <c r="N11">
        <v>436386.22257100523</v>
      </c>
      <c r="O11">
        <v>531861.43435976189</v>
      </c>
      <c r="P11">
        <v>822548.52094755694</v>
      </c>
      <c r="Q11">
        <v>290687.08658779506</v>
      </c>
      <c r="R11">
        <v>2496943.9002905912</v>
      </c>
      <c r="S11">
        <v>1790670.8659076525</v>
      </c>
      <c r="T11">
        <v>3838113.6560727376</v>
      </c>
      <c r="AN11">
        <v>107566.46604620296</v>
      </c>
      <c r="AO11">
        <v>433786.93034185882</v>
      </c>
      <c r="AT11">
        <v>97437.461732220079</v>
      </c>
      <c r="AX11">
        <v>30639.607961558529</v>
      </c>
      <c r="AY11">
        <v>112606.0647002461</v>
      </c>
      <c r="BB11">
        <v>72352.520541550766</v>
      </c>
      <c r="BE11">
        <v>1363066.8991044059</v>
      </c>
      <c r="BG11">
        <v>1430204.2572627796</v>
      </c>
    </row>
    <row r="12" spans="1:59" ht="14" customHeight="1">
      <c r="A12" s="3">
        <v>37500</v>
      </c>
      <c r="B12" s="3">
        <v>37500</v>
      </c>
      <c r="C12">
        <v>576757.5</v>
      </c>
      <c r="D12">
        <v>19833</v>
      </c>
      <c r="E12">
        <v>106874.3</v>
      </c>
      <c r="F12">
        <v>256072.8</v>
      </c>
      <c r="G12">
        <v>164312.4</v>
      </c>
      <c r="H12">
        <v>420385.2</v>
      </c>
      <c r="I12">
        <v>470527.1</v>
      </c>
      <c r="J12">
        <v>499743.9</v>
      </c>
      <c r="K12">
        <v>1094633.2</v>
      </c>
      <c r="L12">
        <v>2103982.7804094488</v>
      </c>
      <c r="M12">
        <v>38874.484148849719</v>
      </c>
      <c r="N12">
        <v>315305.84858975699</v>
      </c>
      <c r="O12">
        <v>616953.26229533402</v>
      </c>
      <c r="P12">
        <v>1243428.5929523448</v>
      </c>
      <c r="Q12">
        <v>626475.33065701078</v>
      </c>
      <c r="R12">
        <v>1862310.3759142708</v>
      </c>
      <c r="S12">
        <v>1235137.171940326</v>
      </c>
      <c r="T12">
        <v>4960517.3378863698</v>
      </c>
      <c r="AN12">
        <v>117975.07180253763</v>
      </c>
      <c r="AO12">
        <v>434756.79822827899</v>
      </c>
      <c r="AT12">
        <v>98154.72026776844</v>
      </c>
      <c r="AX12">
        <v>37505.966557095249</v>
      </c>
      <c r="AY12">
        <v>114364.24762239678</v>
      </c>
      <c r="BB12">
        <v>76650.5565438669</v>
      </c>
      <c r="BE12">
        <v>1403565.5482587393</v>
      </c>
      <c r="BG12">
        <v>1503442.4061136914</v>
      </c>
    </row>
    <row r="13" spans="1:59" ht="14" customHeight="1">
      <c r="A13" s="3">
        <v>37591</v>
      </c>
      <c r="B13" s="3">
        <v>37591</v>
      </c>
      <c r="C13">
        <v>480742.2</v>
      </c>
      <c r="D13">
        <v>17142.8</v>
      </c>
      <c r="E13">
        <v>122956</v>
      </c>
      <c r="F13">
        <v>222930.2</v>
      </c>
      <c r="G13">
        <v>157471.5</v>
      </c>
      <c r="H13">
        <v>380401.7</v>
      </c>
      <c r="I13">
        <v>508731</v>
      </c>
      <c r="J13">
        <v>494211.9</v>
      </c>
      <c r="K13">
        <v>1015761.8</v>
      </c>
      <c r="L13">
        <v>2358898.727615695</v>
      </c>
      <c r="M13">
        <v>55711.206129130347</v>
      </c>
      <c r="N13">
        <v>586775.07175295567</v>
      </c>
      <c r="O13">
        <v>813501.57290025067</v>
      </c>
      <c r="P13">
        <v>2194391.6466242126</v>
      </c>
      <c r="Q13">
        <v>1380890.0737239621</v>
      </c>
      <c r="R13">
        <v>2457473.0767713175</v>
      </c>
      <c r="S13">
        <v>1509850.8217643439</v>
      </c>
      <c r="T13">
        <v>5820638.4539518319</v>
      </c>
      <c r="AN13">
        <v>97690.39402334264</v>
      </c>
      <c r="AO13">
        <v>407081.37589716655</v>
      </c>
      <c r="AT13">
        <v>108804.58829334707</v>
      </c>
      <c r="AX13">
        <v>31840.249339354887</v>
      </c>
      <c r="AY13">
        <v>138406.61512168584</v>
      </c>
      <c r="BB13">
        <v>99174.867105443729</v>
      </c>
      <c r="BE13">
        <v>1403855.1585209509</v>
      </c>
      <c r="BG13">
        <v>1524839.9690309011</v>
      </c>
    </row>
    <row r="14" spans="1:59" ht="14" customHeight="1">
      <c r="A14" s="3">
        <v>37681</v>
      </c>
      <c r="B14" s="3">
        <v>37681</v>
      </c>
      <c r="C14">
        <v>503355.5</v>
      </c>
      <c r="D14">
        <v>12512.3</v>
      </c>
      <c r="E14">
        <v>103650.1</v>
      </c>
      <c r="F14">
        <v>203729.7</v>
      </c>
      <c r="G14">
        <v>-6290.8</v>
      </c>
      <c r="H14">
        <v>197438.9</v>
      </c>
      <c r="I14">
        <v>547722</v>
      </c>
      <c r="J14">
        <v>415101.3</v>
      </c>
      <c r="K14">
        <v>949577.5</v>
      </c>
      <c r="L14">
        <v>1500852.3770229048</v>
      </c>
      <c r="M14">
        <v>18795.126338822447</v>
      </c>
      <c r="N14">
        <v>498953.27008659579</v>
      </c>
      <c r="O14">
        <v>780671.9817304028</v>
      </c>
      <c r="P14">
        <v>1377281.3488820081</v>
      </c>
      <c r="Q14">
        <v>596609.36715160531</v>
      </c>
      <c r="R14">
        <v>2407516.2668348947</v>
      </c>
      <c r="S14">
        <v>1344385.2478357167</v>
      </c>
      <c r="T14">
        <v>4209975.6311753178</v>
      </c>
      <c r="AN14">
        <v>101756.37695161998</v>
      </c>
      <c r="AO14">
        <v>468756.46525853791</v>
      </c>
      <c r="AT14">
        <v>113061.52734442338</v>
      </c>
      <c r="AX14">
        <v>21915.830238366572</v>
      </c>
      <c r="AY14">
        <v>133312.54077575859</v>
      </c>
      <c r="BB14">
        <v>68787.504253712847</v>
      </c>
      <c r="BE14">
        <v>1442290.798886914</v>
      </c>
      <c r="BG14">
        <v>1506019.4081133436</v>
      </c>
    </row>
    <row r="15" spans="1:59" ht="14" customHeight="1">
      <c r="A15" s="3">
        <v>37773</v>
      </c>
      <c r="B15" s="3">
        <v>37773</v>
      </c>
      <c r="C15">
        <v>563126.9</v>
      </c>
      <c r="D15">
        <v>12958.5</v>
      </c>
      <c r="E15">
        <v>141013.9</v>
      </c>
      <c r="F15">
        <v>233327.8</v>
      </c>
      <c r="G15">
        <v>68700.600000000006</v>
      </c>
      <c r="H15">
        <v>302028.40000000002</v>
      </c>
      <c r="I15">
        <v>514216</v>
      </c>
      <c r="J15">
        <v>473063.1</v>
      </c>
      <c r="K15">
        <v>1060280.6000000001</v>
      </c>
      <c r="L15">
        <v>1995651.0119889416</v>
      </c>
      <c r="M15">
        <v>18021.373614579323</v>
      </c>
      <c r="N15">
        <v>511049.82592100452</v>
      </c>
      <c r="O15">
        <v>543503.79008197587</v>
      </c>
      <c r="P15">
        <v>841824.23069955455</v>
      </c>
      <c r="Q15">
        <v>298320.44061757869</v>
      </c>
      <c r="R15">
        <v>2463437.9454096612</v>
      </c>
      <c r="S15">
        <v>1522798.5937446556</v>
      </c>
      <c r="T15">
        <v>4211360.2773084529</v>
      </c>
      <c r="AN15">
        <v>103250.79845419714</v>
      </c>
      <c r="AO15">
        <v>465423.36693773285</v>
      </c>
      <c r="AT15">
        <v>117605.01191040162</v>
      </c>
      <c r="AX15">
        <v>33674.985618115134</v>
      </c>
      <c r="AY15">
        <v>126115.23940300527</v>
      </c>
      <c r="BB15">
        <v>77047.990450318335</v>
      </c>
      <c r="BE15">
        <v>1495909.6456530031</v>
      </c>
      <c r="BG15">
        <v>1569713.044451253</v>
      </c>
    </row>
    <row r="16" spans="1:59" ht="14" customHeight="1">
      <c r="A16" s="3">
        <v>37865</v>
      </c>
      <c r="B16" s="3">
        <v>37865</v>
      </c>
      <c r="C16">
        <v>686791.1</v>
      </c>
      <c r="D16">
        <v>21551</v>
      </c>
      <c r="E16">
        <v>133320</v>
      </c>
      <c r="F16">
        <v>323668.3</v>
      </c>
      <c r="G16">
        <v>112173.6</v>
      </c>
      <c r="H16">
        <v>435841.9</v>
      </c>
      <c r="I16">
        <v>573199.80000000005</v>
      </c>
      <c r="J16">
        <v>519064</v>
      </c>
      <c r="K16">
        <v>1331639.8</v>
      </c>
      <c r="L16">
        <v>2640723.4358421238</v>
      </c>
      <c r="M16">
        <v>42912.674117617695</v>
      </c>
      <c r="N16">
        <v>350020.54849825497</v>
      </c>
      <c r="O16">
        <v>707483.81614773325</v>
      </c>
      <c r="P16">
        <v>984509.78890635853</v>
      </c>
      <c r="Q16">
        <v>277025.97275862528</v>
      </c>
      <c r="R16">
        <v>2070160.6950325426</v>
      </c>
      <c r="S16">
        <v>1061961.6861926676</v>
      </c>
      <c r="T16">
        <v>5359201.7734999219</v>
      </c>
      <c r="AN16">
        <v>121243.69955551274</v>
      </c>
      <c r="AO16">
        <v>450142.03498815041</v>
      </c>
      <c r="AT16">
        <v>120911.61271070172</v>
      </c>
      <c r="AX16">
        <v>42027.19223809737</v>
      </c>
      <c r="AY16">
        <v>131947.18713858654</v>
      </c>
      <c r="BB16">
        <v>81009.551343907515</v>
      </c>
      <c r="BE16">
        <v>1515294.1695088325</v>
      </c>
      <c r="BG16">
        <v>1623219.2359263671</v>
      </c>
    </row>
    <row r="17" spans="1:59" ht="14" customHeight="1">
      <c r="A17" s="3">
        <v>37956</v>
      </c>
      <c r="B17" s="3">
        <v>37956</v>
      </c>
      <c r="C17">
        <v>681160.6</v>
      </c>
      <c r="D17">
        <v>31381.8</v>
      </c>
      <c r="E17">
        <v>141211.29999999999</v>
      </c>
      <c r="F17">
        <v>301931.90000000002</v>
      </c>
      <c r="G17">
        <v>95005.3</v>
      </c>
      <c r="H17">
        <v>396937.2</v>
      </c>
      <c r="I17">
        <v>597843.30000000005</v>
      </c>
      <c r="J17">
        <v>578056.80000000005</v>
      </c>
      <c r="K17">
        <v>1270477.3999999999</v>
      </c>
      <c r="L17">
        <v>3437146.3506847764</v>
      </c>
      <c r="M17">
        <v>105971.66237200254</v>
      </c>
      <c r="N17">
        <v>625052.98789028951</v>
      </c>
      <c r="O17">
        <v>952288.57697118341</v>
      </c>
      <c r="P17">
        <v>1582398.0125773267</v>
      </c>
      <c r="Q17">
        <v>630109.43560614332</v>
      </c>
      <c r="R17">
        <v>2692049.9943482061</v>
      </c>
      <c r="S17">
        <v>1497869.1034583116</v>
      </c>
      <c r="T17">
        <v>6201074.894272008</v>
      </c>
      <c r="AN17">
        <v>97512.215787189562</v>
      </c>
      <c r="AO17">
        <v>457431.12895421061</v>
      </c>
      <c r="AT17">
        <v>93747.346508114628</v>
      </c>
      <c r="AX17">
        <v>43314.873535570208</v>
      </c>
      <c r="AY17">
        <v>152119.54213109805</v>
      </c>
      <c r="BB17">
        <v>109003.95364083408</v>
      </c>
      <c r="BE17">
        <v>1493333.1506067985</v>
      </c>
      <c r="BG17">
        <v>1623695.7583528063</v>
      </c>
    </row>
    <row r="18" spans="1:59" ht="14" customHeight="1">
      <c r="A18" s="3">
        <v>38047</v>
      </c>
      <c r="B18" s="3">
        <v>38047</v>
      </c>
      <c r="C18">
        <v>650876.30000000005</v>
      </c>
      <c r="D18">
        <v>20368.2</v>
      </c>
      <c r="E18">
        <v>132034</v>
      </c>
      <c r="F18">
        <v>296540.79999999999</v>
      </c>
      <c r="G18">
        <v>51135.199999999997</v>
      </c>
      <c r="H18">
        <v>347676</v>
      </c>
      <c r="I18">
        <v>645877.69999999995</v>
      </c>
      <c r="J18">
        <v>526090.6</v>
      </c>
      <c r="K18">
        <v>1270741.6000000001</v>
      </c>
      <c r="L18">
        <v>1570875.6152360938</v>
      </c>
      <c r="M18">
        <v>53417.833810993332</v>
      </c>
      <c r="N18">
        <v>540549.72607609502</v>
      </c>
      <c r="O18">
        <v>979514.53093055787</v>
      </c>
      <c r="P18">
        <v>1078423.8886490073</v>
      </c>
      <c r="Q18">
        <v>98909.357718449435</v>
      </c>
      <c r="R18">
        <v>2698690.9209347521</v>
      </c>
      <c r="S18">
        <v>1504622.1154514481</v>
      </c>
      <c r="T18">
        <v>4591666.8616577592</v>
      </c>
      <c r="AN18">
        <v>107596.37008052025</v>
      </c>
      <c r="AO18">
        <v>511413.54207064043</v>
      </c>
      <c r="AT18">
        <v>121767.87178736502</v>
      </c>
      <c r="AX18">
        <v>23841.774494119694</v>
      </c>
      <c r="AY18">
        <v>147518.36892953501</v>
      </c>
      <c r="BB18">
        <v>109574.56172686297</v>
      </c>
      <c r="BE18">
        <v>1570672.5156642837</v>
      </c>
      <c r="BG18">
        <v>1640145.0763084039</v>
      </c>
    </row>
    <row r="19" spans="1:59" ht="14" customHeight="1">
      <c r="A19" s="3">
        <v>38139</v>
      </c>
      <c r="B19" s="3">
        <v>38139</v>
      </c>
      <c r="C19">
        <v>716801.3</v>
      </c>
      <c r="D19">
        <v>21603.4</v>
      </c>
      <c r="E19">
        <v>176852.4</v>
      </c>
      <c r="F19">
        <v>367785.4</v>
      </c>
      <c r="G19">
        <v>39955.199999999997</v>
      </c>
      <c r="H19">
        <v>407740.6</v>
      </c>
      <c r="I19">
        <v>695108.9</v>
      </c>
      <c r="J19">
        <v>637285.9</v>
      </c>
      <c r="K19">
        <v>1380820.7</v>
      </c>
      <c r="L19">
        <v>1777096.2948411026</v>
      </c>
      <c r="M19">
        <v>50821.781657851323</v>
      </c>
      <c r="N19">
        <v>556775.07278060971</v>
      </c>
      <c r="O19">
        <v>735909.90357034479</v>
      </c>
      <c r="P19">
        <v>1026841.0521910487</v>
      </c>
      <c r="Q19">
        <v>290931.14862070396</v>
      </c>
      <c r="R19">
        <v>2817389.4698056136</v>
      </c>
      <c r="S19">
        <v>1790204.0946030961</v>
      </c>
      <c r="T19">
        <v>4596777.5228510387</v>
      </c>
      <c r="AN19">
        <v>108172.17377841432</v>
      </c>
      <c r="AO19">
        <v>507776.68819902057</v>
      </c>
      <c r="AT19">
        <v>126660.77116111474</v>
      </c>
      <c r="AX19">
        <v>38809.832820456737</v>
      </c>
      <c r="AY19">
        <v>137239.50552664074</v>
      </c>
      <c r="BB19">
        <v>131949.90454484028</v>
      </c>
      <c r="BE19">
        <v>1630256.3957313164</v>
      </c>
      <c r="BG19">
        <v>1710850.6861081754</v>
      </c>
    </row>
    <row r="20" spans="1:59" ht="14" customHeight="1">
      <c r="A20" s="3">
        <v>38231</v>
      </c>
      <c r="B20" s="3">
        <v>38231</v>
      </c>
      <c r="C20">
        <v>823782.1</v>
      </c>
      <c r="D20">
        <v>25658.9</v>
      </c>
      <c r="E20">
        <v>199303.7</v>
      </c>
      <c r="F20">
        <v>426954.2</v>
      </c>
      <c r="G20">
        <v>16344.7</v>
      </c>
      <c r="H20">
        <v>443298.9</v>
      </c>
      <c r="I20">
        <v>849495.2</v>
      </c>
      <c r="J20">
        <v>695235.5</v>
      </c>
      <c r="K20">
        <v>1646303.3</v>
      </c>
      <c r="L20">
        <v>2346618.5572749283</v>
      </c>
      <c r="M20">
        <v>86564.586920071742</v>
      </c>
      <c r="N20">
        <v>446966.06368673855</v>
      </c>
      <c r="O20">
        <v>789536.37162110605</v>
      </c>
      <c r="P20">
        <v>1180861.7452232689</v>
      </c>
      <c r="Q20">
        <v>391325.37360216281</v>
      </c>
      <c r="R20">
        <v>2396099.4717941978</v>
      </c>
      <c r="S20">
        <v>1295521.2411226891</v>
      </c>
      <c r="T20">
        <v>5812933.6295617269</v>
      </c>
      <c r="AN20">
        <v>113180.84150116539</v>
      </c>
      <c r="AO20">
        <v>504692.63185631426</v>
      </c>
      <c r="AT20">
        <v>128944.63157752386</v>
      </c>
      <c r="AX20">
        <v>49218.214312853255</v>
      </c>
      <c r="AY20">
        <v>155424.36552159488</v>
      </c>
      <c r="BB20">
        <v>147952.766274683</v>
      </c>
      <c r="BE20">
        <v>1640326.4618453991</v>
      </c>
      <c r="BG20">
        <v>1758061.5207118844</v>
      </c>
    </row>
    <row r="21" spans="1:59" ht="14" customHeight="1">
      <c r="A21" s="3">
        <v>38322</v>
      </c>
      <c r="B21" s="3">
        <v>38322</v>
      </c>
      <c r="C21">
        <v>862198.2</v>
      </c>
      <c r="D21">
        <v>21168.7</v>
      </c>
      <c r="E21">
        <v>173596.79999999999</v>
      </c>
      <c r="F21">
        <v>381143.8</v>
      </c>
      <c r="G21">
        <v>-46812.7</v>
      </c>
      <c r="H21">
        <v>334331.09999999998</v>
      </c>
      <c r="I21">
        <v>875329.3</v>
      </c>
      <c r="J21">
        <v>694355.4</v>
      </c>
      <c r="K21">
        <v>1572268.7</v>
      </c>
      <c r="L21">
        <v>3483634.4130933094</v>
      </c>
      <c r="M21">
        <v>125776.05362540719</v>
      </c>
      <c r="N21">
        <v>653863.40878406423</v>
      </c>
      <c r="O21">
        <v>1116070.2438450335</v>
      </c>
      <c r="P21">
        <v>1759541.6432108607</v>
      </c>
      <c r="Q21">
        <v>643471.39936582721</v>
      </c>
      <c r="R21">
        <v>2772952.7968731844</v>
      </c>
      <c r="S21">
        <v>1621869.9431681358</v>
      </c>
      <c r="T21">
        <v>6909360.3418486835</v>
      </c>
      <c r="AN21">
        <v>107756.7683572574</v>
      </c>
      <c r="AO21">
        <v>510702.46019149042</v>
      </c>
      <c r="AT21">
        <v>125449.19211069157</v>
      </c>
      <c r="AX21">
        <v>64722.037601124553</v>
      </c>
      <c r="AY21">
        <v>158614.72845329833</v>
      </c>
      <c r="BB21">
        <v>211050.71000164025</v>
      </c>
      <c r="BE21">
        <v>1662110.1292481467</v>
      </c>
      <c r="BG21">
        <v>1806495.2127133904</v>
      </c>
    </row>
    <row r="22" spans="1:59" ht="14" customHeight="1">
      <c r="A22" s="3">
        <v>38412</v>
      </c>
      <c r="B22" s="3">
        <v>38412</v>
      </c>
      <c r="C22">
        <v>749609.9</v>
      </c>
      <c r="D22">
        <v>21275.4</v>
      </c>
      <c r="E22">
        <v>150857.4</v>
      </c>
      <c r="F22">
        <v>387012.8</v>
      </c>
      <c r="G22">
        <v>144561.9</v>
      </c>
      <c r="H22">
        <v>531574.69999999995</v>
      </c>
      <c r="I22">
        <v>808383.6</v>
      </c>
      <c r="J22">
        <v>611552.4</v>
      </c>
      <c r="K22">
        <v>1650148.6</v>
      </c>
      <c r="L22">
        <v>1776937.7105816985</v>
      </c>
      <c r="M22">
        <v>45222.237555984444</v>
      </c>
      <c r="N22">
        <v>524357.07623223262</v>
      </c>
      <c r="O22">
        <v>1234881.2933838279</v>
      </c>
      <c r="P22">
        <v>1357366.7866654049</v>
      </c>
      <c r="Q22">
        <v>122485.49328157702</v>
      </c>
      <c r="R22">
        <v>2700845.1409154823</v>
      </c>
      <c r="S22">
        <v>1653838.8144305921</v>
      </c>
      <c r="T22">
        <v>4982357.4262763886</v>
      </c>
      <c r="AN22">
        <v>111183.23947454548</v>
      </c>
      <c r="AO22">
        <v>547694.93041009805</v>
      </c>
      <c r="AT22">
        <v>155709.060327082</v>
      </c>
      <c r="AX22">
        <v>27736.630265924898</v>
      </c>
      <c r="AY22">
        <v>170131.23818783357</v>
      </c>
      <c r="BB22">
        <v>74573.534997124516</v>
      </c>
      <c r="BE22">
        <v>1706620.5591538518</v>
      </c>
      <c r="BG22">
        <v>1782326.666342685</v>
      </c>
    </row>
    <row r="23" spans="1:59" ht="14" customHeight="1">
      <c r="A23" s="3">
        <v>38504</v>
      </c>
      <c r="B23" s="3">
        <v>38504</v>
      </c>
      <c r="C23">
        <v>902158.6</v>
      </c>
      <c r="D23">
        <v>22565</v>
      </c>
      <c r="E23">
        <v>220606.7</v>
      </c>
      <c r="F23">
        <v>535518.1</v>
      </c>
      <c r="G23">
        <v>-96849.8</v>
      </c>
      <c r="H23">
        <v>438668.3</v>
      </c>
      <c r="I23">
        <v>1059372.8999999999</v>
      </c>
      <c r="J23">
        <v>859664.1</v>
      </c>
      <c r="K23">
        <v>1783707.4</v>
      </c>
      <c r="L23">
        <v>2087492.1277194005</v>
      </c>
      <c r="M23">
        <v>54499.988334977432</v>
      </c>
      <c r="N23">
        <v>647797.12020747538</v>
      </c>
      <c r="O23">
        <v>920379.79295306699</v>
      </c>
      <c r="P23">
        <v>896776.15309996018</v>
      </c>
      <c r="Q23">
        <v>-23603.639853106812</v>
      </c>
      <c r="R23">
        <v>3088102.7949849875</v>
      </c>
      <c r="S23">
        <v>2000111.1502619693</v>
      </c>
      <c r="T23">
        <v>4985840.5007245904</v>
      </c>
      <c r="AN23">
        <v>112907.70695752121</v>
      </c>
      <c r="AO23">
        <v>540328.32038471766</v>
      </c>
      <c r="AT23">
        <v>164624.52018446679</v>
      </c>
      <c r="AX23">
        <v>61167.918742376642</v>
      </c>
      <c r="AY23">
        <v>148875.7811871155</v>
      </c>
      <c r="BB23">
        <v>85155.556573987385</v>
      </c>
      <c r="BE23">
        <v>1770473.7203068037</v>
      </c>
      <c r="BG23">
        <v>1858389.6580512973</v>
      </c>
    </row>
    <row r="24" spans="1:59" ht="14" customHeight="1">
      <c r="A24" s="3">
        <v>38596</v>
      </c>
      <c r="B24" s="3">
        <v>38596</v>
      </c>
      <c r="C24">
        <v>967832.1</v>
      </c>
      <c r="D24">
        <v>34958.800000000003</v>
      </c>
      <c r="E24">
        <v>231755.9</v>
      </c>
      <c r="F24">
        <v>631827</v>
      </c>
      <c r="G24">
        <v>-20033.3</v>
      </c>
      <c r="H24">
        <v>611793.69999999995</v>
      </c>
      <c r="I24">
        <v>1074925.2</v>
      </c>
      <c r="J24">
        <v>911613.6</v>
      </c>
      <c r="K24">
        <v>2009652.1</v>
      </c>
      <c r="L24">
        <v>2563023.6414934527</v>
      </c>
      <c r="M24">
        <v>91918.148214171306</v>
      </c>
      <c r="N24">
        <v>459274.27021800278</v>
      </c>
      <c r="O24">
        <v>1012488.4548106855</v>
      </c>
      <c r="P24">
        <v>1643039.7785378117</v>
      </c>
      <c r="Q24">
        <v>630551.32372712623</v>
      </c>
      <c r="R24">
        <v>2184202.0294456715</v>
      </c>
      <c r="S24">
        <v>1431011.4474428797</v>
      </c>
      <c r="T24">
        <v>6346859.4680142347</v>
      </c>
      <c r="AN24">
        <v>122596.82156101784</v>
      </c>
      <c r="AO24">
        <v>498706.47292168351</v>
      </c>
      <c r="AT24">
        <v>192455.24792448318</v>
      </c>
      <c r="AX24">
        <v>68942.377074275355</v>
      </c>
      <c r="AY24">
        <v>165535.11006053881</v>
      </c>
      <c r="BB24">
        <v>90859.8696006869</v>
      </c>
      <c r="BE24">
        <v>1794225.0296373568</v>
      </c>
      <c r="BG24">
        <v>1922360.6715726762</v>
      </c>
    </row>
    <row r="25" spans="1:59" ht="14" customHeight="1">
      <c r="A25" s="3">
        <v>38687</v>
      </c>
      <c r="B25" s="3">
        <v>38687</v>
      </c>
      <c r="C25">
        <v>1066162.7</v>
      </c>
      <c r="D25">
        <v>19878.5</v>
      </c>
      <c r="E25">
        <v>250610.1</v>
      </c>
      <c r="F25">
        <v>568321.19999999995</v>
      </c>
      <c r="G25">
        <v>132740.79999999999</v>
      </c>
      <c r="H25">
        <v>701062</v>
      </c>
      <c r="I25">
        <v>1121509.3999999999</v>
      </c>
      <c r="J25">
        <v>1012137.3</v>
      </c>
      <c r="K25">
        <v>2147085.4</v>
      </c>
      <c r="L25">
        <v>3684225.3563066013</v>
      </c>
      <c r="M25">
        <v>142941.37347554852</v>
      </c>
      <c r="N25">
        <v>855360.71628970909</v>
      </c>
      <c r="O25">
        <v>1481174.0267169215</v>
      </c>
      <c r="P25">
        <v>2415643.7089901459</v>
      </c>
      <c r="Q25">
        <v>934469.68227322446</v>
      </c>
      <c r="R25">
        <v>2899823.5836086478</v>
      </c>
      <c r="S25">
        <v>1906008.8142045462</v>
      </c>
      <c r="T25">
        <v>7742354.5400618268</v>
      </c>
      <c r="AN25">
        <v>114799.68074644933</v>
      </c>
      <c r="AO25">
        <v>542176.45486342441</v>
      </c>
      <c r="AT25">
        <v>176688.47704208654</v>
      </c>
      <c r="AX25">
        <v>80208.609054311382</v>
      </c>
      <c r="AY25">
        <v>167957.99623585789</v>
      </c>
      <c r="BB25">
        <v>127227.58525814138</v>
      </c>
      <c r="BE25">
        <v>1855919.0532558514</v>
      </c>
      <c r="BG25">
        <v>2025081.1334517105</v>
      </c>
    </row>
    <row r="26" spans="1:59" ht="14" customHeight="1">
      <c r="A26" s="3">
        <v>38777</v>
      </c>
      <c r="B26" s="3">
        <v>38777</v>
      </c>
      <c r="C26">
        <v>944356.4</v>
      </c>
      <c r="D26">
        <v>26532.3</v>
      </c>
      <c r="E26">
        <v>221653.9</v>
      </c>
      <c r="F26">
        <v>384775.8</v>
      </c>
      <c r="G26">
        <v>211319.6</v>
      </c>
      <c r="H26">
        <v>596095.4</v>
      </c>
      <c r="I26">
        <v>1053796.3</v>
      </c>
      <c r="J26">
        <v>801486.4</v>
      </c>
      <c r="K26">
        <v>2040947.9</v>
      </c>
      <c r="L26">
        <v>2079042.1611369289</v>
      </c>
      <c r="M26">
        <v>53823.876415690589</v>
      </c>
      <c r="N26">
        <v>681520.70595400175</v>
      </c>
      <c r="O26">
        <v>1593528.2117757353</v>
      </c>
      <c r="P26">
        <v>1277224.0498246092</v>
      </c>
      <c r="Q26">
        <v>-316304.16195112607</v>
      </c>
      <c r="R26">
        <v>2796552.8914987273</v>
      </c>
      <c r="S26">
        <v>1938449.9229506436</v>
      </c>
      <c r="T26">
        <v>5331037.8979160404</v>
      </c>
      <c r="AN26">
        <v>115408.20257457822</v>
      </c>
      <c r="AO26">
        <v>556458.04929665965</v>
      </c>
      <c r="AT26">
        <v>194636.32540885248</v>
      </c>
      <c r="AX26">
        <v>39191.858565751878</v>
      </c>
      <c r="AY26">
        <v>172683.20676065105</v>
      </c>
      <c r="BB26">
        <v>78039.374863471341</v>
      </c>
      <c r="BE26">
        <v>1839736.9627678522</v>
      </c>
      <c r="BG26">
        <v>1923130.472983757</v>
      </c>
    </row>
    <row r="27" spans="1:59" ht="14" customHeight="1">
      <c r="A27" s="3">
        <v>38869</v>
      </c>
      <c r="B27" s="3">
        <v>38869</v>
      </c>
      <c r="C27">
        <v>1072445</v>
      </c>
      <c r="D27">
        <v>26324.7</v>
      </c>
      <c r="E27">
        <v>284572.79999999999</v>
      </c>
      <c r="F27">
        <v>927450.7</v>
      </c>
      <c r="G27">
        <v>-252159.5</v>
      </c>
      <c r="H27">
        <v>675291.2</v>
      </c>
      <c r="I27">
        <v>1332303.2</v>
      </c>
      <c r="J27">
        <v>1027131.9</v>
      </c>
      <c r="K27">
        <v>2363805</v>
      </c>
      <c r="L27">
        <v>2156285.2986906944</v>
      </c>
      <c r="M27">
        <v>58639.809950082861</v>
      </c>
      <c r="N27">
        <v>618908.90104916424</v>
      </c>
      <c r="O27">
        <v>1276933.7950724713</v>
      </c>
      <c r="P27">
        <v>1475335.8315029717</v>
      </c>
      <c r="Q27">
        <v>198402.03643050045</v>
      </c>
      <c r="R27">
        <v>3085114.6468209624</v>
      </c>
      <c r="S27">
        <v>2176200.6249057539</v>
      </c>
      <c r="T27">
        <v>5537861.3496710947</v>
      </c>
      <c r="AN27">
        <v>118101.46147756718</v>
      </c>
      <c r="AO27">
        <v>587336.88425818807</v>
      </c>
      <c r="AT27">
        <v>221749.22868847675</v>
      </c>
      <c r="AX27">
        <v>90956.695169914048</v>
      </c>
      <c r="AY27">
        <v>158403.83118309089</v>
      </c>
      <c r="BB27">
        <v>88250.806410395191</v>
      </c>
      <c r="BE27">
        <v>1968766.7769811659</v>
      </c>
      <c r="BG27">
        <v>2072104.4687271966</v>
      </c>
    </row>
    <row r="28" spans="1:59" ht="14" customHeight="1">
      <c r="A28" s="3">
        <v>38961</v>
      </c>
      <c r="B28" s="3">
        <v>38961</v>
      </c>
      <c r="C28">
        <v>1172175.3</v>
      </c>
      <c r="D28">
        <v>30890</v>
      </c>
      <c r="E28">
        <v>247213.2</v>
      </c>
      <c r="F28">
        <v>713854.2</v>
      </c>
      <c r="G28">
        <v>97037.3</v>
      </c>
      <c r="H28">
        <v>810891.5</v>
      </c>
      <c r="I28">
        <v>1470783</v>
      </c>
      <c r="J28">
        <v>1098350.3999999999</v>
      </c>
      <c r="K28">
        <v>2648602.6</v>
      </c>
      <c r="L28">
        <v>3022790.0164601919</v>
      </c>
      <c r="M28">
        <v>88913.840107113952</v>
      </c>
      <c r="N28">
        <v>488336.67554680462</v>
      </c>
      <c r="O28">
        <v>1194616.2430963393</v>
      </c>
      <c r="P28">
        <v>1694126.3611224189</v>
      </c>
      <c r="Q28">
        <v>499510.11802607961</v>
      </c>
      <c r="R28">
        <v>2444521.227052704</v>
      </c>
      <c r="S28">
        <v>1557845.7310824401</v>
      </c>
      <c r="T28">
        <v>7119144.9993276577</v>
      </c>
      <c r="AN28">
        <v>141599.32890297563</v>
      </c>
      <c r="AO28">
        <v>549574.53315969522</v>
      </c>
      <c r="AT28">
        <v>252693.74052484645</v>
      </c>
      <c r="AX28">
        <v>96795.097412282601</v>
      </c>
      <c r="AY28">
        <v>189703.23612937747</v>
      </c>
      <c r="BB28">
        <v>93953.749486664441</v>
      </c>
      <c r="BE28">
        <v>2004149.3581049275</v>
      </c>
      <c r="BG28">
        <v>2153043.9521613973</v>
      </c>
    </row>
    <row r="29" spans="1:59" ht="14" customHeight="1">
      <c r="A29" s="3">
        <v>39052</v>
      </c>
      <c r="B29" s="3">
        <v>39052</v>
      </c>
      <c r="C29">
        <v>1358357.8</v>
      </c>
      <c r="D29">
        <v>38817.800000000003</v>
      </c>
      <c r="E29">
        <v>286406</v>
      </c>
      <c r="F29">
        <v>1058307.3</v>
      </c>
      <c r="G29">
        <v>266403.90000000002</v>
      </c>
      <c r="H29">
        <v>1324711.2</v>
      </c>
      <c r="I29">
        <v>1386045.5</v>
      </c>
      <c r="J29">
        <v>1218962.6000000001</v>
      </c>
      <c r="K29">
        <v>3160375.7</v>
      </c>
      <c r="L29">
        <v>4147840.241380583</v>
      </c>
      <c r="M29">
        <v>157612.97525272676</v>
      </c>
      <c r="N29">
        <v>914669.95639119053</v>
      </c>
      <c r="O29">
        <v>1989563.0453822706</v>
      </c>
      <c r="P29">
        <v>2773888.3057983117</v>
      </c>
      <c r="Q29">
        <v>784325.26041604113</v>
      </c>
      <c r="R29">
        <v>3219097.1493574623</v>
      </c>
      <c r="S29">
        <v>2188858.295978487</v>
      </c>
      <c r="T29">
        <v>8647690.1345776618</v>
      </c>
      <c r="AN29">
        <v>114110.88266197064</v>
      </c>
      <c r="AO29">
        <v>592056.68871085951</v>
      </c>
      <c r="AT29">
        <v>238176.06705273269</v>
      </c>
      <c r="AX29">
        <v>111329.54936738421</v>
      </c>
      <c r="AY29">
        <v>166782.29026220689</v>
      </c>
      <c r="BB29">
        <v>133491.99219991631</v>
      </c>
      <c r="BE29">
        <v>2069349.7443802743</v>
      </c>
      <c r="BG29">
        <v>2251890.2203983022</v>
      </c>
    </row>
    <row r="30" spans="1:59" ht="14" customHeight="1">
      <c r="A30" s="3">
        <v>39142</v>
      </c>
      <c r="B30" s="3">
        <v>39142</v>
      </c>
      <c r="C30">
        <v>1146644.2</v>
      </c>
      <c r="D30">
        <v>32971.1</v>
      </c>
      <c r="E30">
        <v>292969.19999999995</v>
      </c>
      <c r="F30">
        <v>550683.9</v>
      </c>
      <c r="G30">
        <v>130984.6</v>
      </c>
      <c r="H30">
        <v>681668.5</v>
      </c>
      <c r="I30">
        <v>1355581.3</v>
      </c>
      <c r="J30">
        <v>1080706.6000000001</v>
      </c>
      <c r="K30">
        <v>2536234.9000000004</v>
      </c>
      <c r="L30">
        <v>2303391.2477140105</v>
      </c>
      <c r="M30">
        <v>59490.291869301596</v>
      </c>
      <c r="N30">
        <v>686206.30912967969</v>
      </c>
      <c r="O30">
        <v>1294040.6274153374</v>
      </c>
      <c r="P30">
        <v>1579531.9070229998</v>
      </c>
      <c r="Q30">
        <v>285491.27960766247</v>
      </c>
      <c r="R30">
        <v>3159645.0372658558</v>
      </c>
      <c r="S30">
        <v>2267288.5913816495</v>
      </c>
      <c r="T30">
        <v>5938494.6021516463</v>
      </c>
      <c r="AN30">
        <v>120255.3470827105</v>
      </c>
      <c r="AO30">
        <v>609878.02202913899</v>
      </c>
      <c r="AT30">
        <v>259255.5854445915</v>
      </c>
      <c r="AX30">
        <v>66626.1595617782</v>
      </c>
      <c r="AY30">
        <v>191505.67629756202</v>
      </c>
      <c r="BB30">
        <v>80563.634137180663</v>
      </c>
      <c r="BE30">
        <v>2051306.7134861555</v>
      </c>
      <c r="BG30">
        <v>2148136.7383228568</v>
      </c>
    </row>
    <row r="31" spans="1:59" ht="14" customHeight="1">
      <c r="A31" s="3">
        <v>39234</v>
      </c>
      <c r="B31" s="3">
        <v>39234</v>
      </c>
      <c r="C31">
        <v>1310845.7</v>
      </c>
      <c r="D31">
        <v>39769.500000000007</v>
      </c>
      <c r="E31">
        <v>379781</v>
      </c>
      <c r="F31">
        <v>1188365.2999999998</v>
      </c>
      <c r="G31">
        <v>127855.19999999998</v>
      </c>
      <c r="H31">
        <v>1316220.5</v>
      </c>
      <c r="I31">
        <v>1547890.4999999998</v>
      </c>
      <c r="J31">
        <v>1369191.7999999998</v>
      </c>
      <c r="K31">
        <v>3059192.5999999996</v>
      </c>
      <c r="L31">
        <v>2420443.6699084067</v>
      </c>
      <c r="M31">
        <v>65453.687819458966</v>
      </c>
      <c r="N31">
        <v>770729.3005354671</v>
      </c>
      <c r="O31">
        <v>1705188.139206839</v>
      </c>
      <c r="P31">
        <v>1849086.7680033639</v>
      </c>
      <c r="Q31">
        <v>143898.62879652483</v>
      </c>
      <c r="R31">
        <v>3417792.2760865614</v>
      </c>
      <c r="S31">
        <v>2907922.9912104923</v>
      </c>
      <c r="T31">
        <v>6074747.7121164771</v>
      </c>
      <c r="AN31">
        <v>122707.41847519232</v>
      </c>
      <c r="AO31">
        <v>614354.38093406474</v>
      </c>
      <c r="AT31">
        <v>287608.7496089543</v>
      </c>
      <c r="AX31">
        <v>152716.2911902857</v>
      </c>
      <c r="AY31">
        <v>168066.46488525943</v>
      </c>
      <c r="BB31">
        <v>90272.063818081675</v>
      </c>
      <c r="BE31">
        <v>2165643.4546792824</v>
      </c>
      <c r="BG31">
        <v>2279314.9155999161</v>
      </c>
    </row>
    <row r="32" spans="1:59" ht="14" customHeight="1">
      <c r="A32" s="3">
        <v>39326</v>
      </c>
      <c r="B32" s="3">
        <v>39326</v>
      </c>
      <c r="C32">
        <v>1618463.5</v>
      </c>
      <c r="D32">
        <v>44205.899999999994</v>
      </c>
      <c r="E32">
        <v>359508.30000000005</v>
      </c>
      <c r="F32">
        <v>1072385.3</v>
      </c>
      <c r="G32">
        <v>323510.00000000006</v>
      </c>
      <c r="H32">
        <v>1395895.2999999998</v>
      </c>
      <c r="I32">
        <v>1611303.7999999998</v>
      </c>
      <c r="J32">
        <v>1536678.4</v>
      </c>
      <c r="K32">
        <v>3400454.5</v>
      </c>
      <c r="L32">
        <v>3353537.0858678306</v>
      </c>
      <c r="M32">
        <v>104208.97787806965</v>
      </c>
      <c r="N32">
        <v>565929.04792915704</v>
      </c>
      <c r="O32">
        <v>1524376.3201902322</v>
      </c>
      <c r="P32">
        <v>2205988.4971797783</v>
      </c>
      <c r="Q32">
        <v>681612.17698954605</v>
      </c>
      <c r="R32">
        <v>2615009.9678758606</v>
      </c>
      <c r="S32">
        <v>2102266.715280219</v>
      </c>
      <c r="T32">
        <v>7810262.9290073514</v>
      </c>
      <c r="AN32">
        <v>163405.6255540339</v>
      </c>
      <c r="AO32">
        <v>554520.70395813254</v>
      </c>
      <c r="AT32">
        <v>304495.95733243995</v>
      </c>
      <c r="AX32">
        <v>115186.16592061629</v>
      </c>
      <c r="AY32">
        <v>208104.4500339271</v>
      </c>
      <c r="BB32">
        <v>99715.532369500623</v>
      </c>
      <c r="BE32">
        <v>2160473.0080371117</v>
      </c>
      <c r="BG32">
        <v>2329593.5562386322</v>
      </c>
    </row>
    <row r="33" spans="1:59" ht="14" customHeight="1">
      <c r="A33" s="3">
        <v>39417</v>
      </c>
      <c r="B33" s="3">
        <v>39417</v>
      </c>
      <c r="C33">
        <v>1565287.5000000005</v>
      </c>
      <c r="D33">
        <v>37251</v>
      </c>
      <c r="E33">
        <v>388147.80000000005</v>
      </c>
      <c r="F33">
        <v>1045757.3999999999</v>
      </c>
      <c r="G33">
        <v>125566</v>
      </c>
      <c r="H33">
        <v>1171323.4000000004</v>
      </c>
      <c r="I33">
        <v>1821820.3000000007</v>
      </c>
      <c r="J33">
        <v>1519407.2999999998</v>
      </c>
      <c r="K33">
        <v>3853912.0000000019</v>
      </c>
      <c r="L33">
        <v>4551273.4555953378</v>
      </c>
      <c r="M33">
        <v>145076.25051433296</v>
      </c>
      <c r="N33">
        <v>1054280.1001952228</v>
      </c>
      <c r="O33">
        <v>2373556.1711607901</v>
      </c>
      <c r="P33">
        <v>3000717.6435403908</v>
      </c>
      <c r="Q33">
        <v>627161.47237960063</v>
      </c>
      <c r="R33">
        <v>3397960.1903228629</v>
      </c>
      <c r="S33">
        <v>2572979.7024844661</v>
      </c>
      <c r="T33">
        <v>9146900.7887487076</v>
      </c>
      <c r="AN33">
        <v>127347.74505075923</v>
      </c>
      <c r="AO33">
        <v>627580.09003351105</v>
      </c>
      <c r="AT33">
        <v>201258.77665955914</v>
      </c>
      <c r="AX33">
        <v>181021.84727136674</v>
      </c>
      <c r="AY33">
        <v>194301.36815547105</v>
      </c>
      <c r="BB33">
        <v>136519.05783993655</v>
      </c>
      <c r="BE33">
        <v>2201788.1280206121</v>
      </c>
      <c r="BG33">
        <v>2393759.3042833954</v>
      </c>
    </row>
    <row r="34" spans="1:59" ht="14" customHeight="1">
      <c r="A34" s="3">
        <v>39508</v>
      </c>
      <c r="B34" s="3">
        <v>39508</v>
      </c>
      <c r="C34">
        <v>1467640.8</v>
      </c>
      <c r="D34">
        <v>38486.9</v>
      </c>
      <c r="E34">
        <v>339256.2</v>
      </c>
      <c r="F34">
        <v>645575.80000000005</v>
      </c>
      <c r="G34">
        <v>-64692.7</v>
      </c>
      <c r="H34">
        <v>580883.10000000009</v>
      </c>
      <c r="I34">
        <v>2029163.5</v>
      </c>
      <c r="J34">
        <v>1162825.6000000001</v>
      </c>
      <c r="K34">
        <v>3207244.4</v>
      </c>
      <c r="L34">
        <v>2538337.1549808397</v>
      </c>
      <c r="M34">
        <v>59490.291869301604</v>
      </c>
      <c r="N34">
        <v>703361.46685792168</v>
      </c>
      <c r="O34">
        <v>1435091.0558036091</v>
      </c>
      <c r="P34">
        <v>1274682.2489675609</v>
      </c>
      <c r="Q34">
        <v>-160408.80683604814</v>
      </c>
      <c r="R34">
        <v>3194401.13267578</v>
      </c>
      <c r="S34">
        <v>2119914.8329418423</v>
      </c>
      <c r="T34">
        <v>6300742.7728828965</v>
      </c>
      <c r="AN34">
        <v>124704.7949247708</v>
      </c>
      <c r="AO34">
        <v>634273.1429103046</v>
      </c>
      <c r="AT34">
        <v>310328.93577717606</v>
      </c>
      <c r="AX34">
        <v>79818.139155010285</v>
      </c>
      <c r="AY34">
        <v>198208.37496797671</v>
      </c>
      <c r="BB34">
        <v>83971.458193934435</v>
      </c>
      <c r="BE34">
        <v>2192846.8767167004</v>
      </c>
      <c r="BG34">
        <v>2298506.3100054567</v>
      </c>
    </row>
    <row r="35" spans="1:59" ht="14" customHeight="1">
      <c r="A35" s="3">
        <v>39600</v>
      </c>
      <c r="B35" s="3">
        <v>39600</v>
      </c>
      <c r="C35">
        <v>1538597.8</v>
      </c>
      <c r="D35">
        <v>47860.299999999996</v>
      </c>
      <c r="E35">
        <v>437158.3</v>
      </c>
      <c r="F35">
        <v>1269030.8</v>
      </c>
      <c r="G35">
        <v>47743.399999999994</v>
      </c>
      <c r="H35">
        <v>1316774.2</v>
      </c>
      <c r="I35">
        <v>2480119</v>
      </c>
      <c r="J35">
        <v>1584379</v>
      </c>
      <c r="K35">
        <v>3988354.1999999997</v>
      </c>
      <c r="L35">
        <v>2487823.197369413</v>
      </c>
      <c r="M35">
        <v>69701.783128876821</v>
      </c>
      <c r="N35">
        <v>827877.85890014737</v>
      </c>
      <c r="O35">
        <v>1567136.9395851889</v>
      </c>
      <c r="P35">
        <v>1687644.2862552172</v>
      </c>
      <c r="Q35">
        <v>120507.34667002829</v>
      </c>
      <c r="R35">
        <v>3442233.1164968098</v>
      </c>
      <c r="S35">
        <v>2693031.9388688495</v>
      </c>
      <c r="T35">
        <v>6397254.3532985104</v>
      </c>
      <c r="AN35">
        <v>128229.25230657597</v>
      </c>
      <c r="AO35">
        <v>638314.20179049333</v>
      </c>
      <c r="AT35">
        <v>295374.1858483961</v>
      </c>
      <c r="AX35">
        <v>158519.51025551654</v>
      </c>
      <c r="AY35">
        <v>182184.04793562123</v>
      </c>
      <c r="BB35">
        <v>91501.836913851177</v>
      </c>
      <c r="BE35">
        <v>2273925.6274132468</v>
      </c>
      <c r="BG35">
        <v>2393280.6613799119</v>
      </c>
    </row>
    <row r="36" spans="1:59" ht="14" customHeight="1">
      <c r="A36" s="3">
        <v>39692</v>
      </c>
      <c r="B36" s="3">
        <v>39692</v>
      </c>
      <c r="C36">
        <v>1684371.4</v>
      </c>
      <c r="D36">
        <v>55295.8</v>
      </c>
      <c r="E36">
        <v>405210.69999999995</v>
      </c>
      <c r="F36">
        <v>1329167.5</v>
      </c>
      <c r="G36">
        <v>87894</v>
      </c>
      <c r="H36">
        <v>1417061.5000000002</v>
      </c>
      <c r="I36">
        <v>2695848.5</v>
      </c>
      <c r="J36">
        <v>1714726.1</v>
      </c>
      <c r="K36">
        <v>4607982.3000000007</v>
      </c>
      <c r="L36">
        <v>3051211.6511399951</v>
      </c>
      <c r="M36">
        <v>106835.47129565669</v>
      </c>
      <c r="N36">
        <v>584677.10608557262</v>
      </c>
      <c r="O36">
        <v>1697797.6898092949</v>
      </c>
      <c r="P36">
        <v>1984858.5619742144</v>
      </c>
      <c r="Q36">
        <v>287060.87216491951</v>
      </c>
      <c r="R36">
        <v>2941895.8178672763</v>
      </c>
      <c r="S36">
        <v>1787726.0443595396</v>
      </c>
      <c r="T36">
        <v>7918448.3268250879</v>
      </c>
      <c r="AN36">
        <v>136443.69733761833</v>
      </c>
      <c r="AO36">
        <v>567274.68014916952</v>
      </c>
      <c r="AT36">
        <v>274959.84947119327</v>
      </c>
      <c r="AX36">
        <v>99751.219687253702</v>
      </c>
      <c r="AY36">
        <v>194369.55633168793</v>
      </c>
      <c r="BB36">
        <v>105564.0364915855</v>
      </c>
      <c r="BE36">
        <v>2153991.5890130005</v>
      </c>
      <c r="BG36">
        <v>2327263.9626823938</v>
      </c>
    </row>
    <row r="37" spans="1:59" ht="14" customHeight="1">
      <c r="A37" s="3">
        <v>39783</v>
      </c>
      <c r="B37" s="3">
        <v>39783</v>
      </c>
      <c r="C37">
        <v>2279858.5</v>
      </c>
      <c r="D37">
        <v>17280.899999999994</v>
      </c>
      <c r="E37">
        <v>453925.40000000014</v>
      </c>
      <c r="F37">
        <v>1065018.8000000003</v>
      </c>
      <c r="G37">
        <v>35856.100000000006</v>
      </c>
      <c r="H37">
        <v>1100874.8999999999</v>
      </c>
      <c r="I37">
        <v>1968532</v>
      </c>
      <c r="J37">
        <v>1501475.0999999996</v>
      </c>
      <c r="K37">
        <v>4249338.2999999989</v>
      </c>
      <c r="L37">
        <v>5536307.8014040133</v>
      </c>
      <c r="M37">
        <v>102275.65781153642</v>
      </c>
      <c r="N37">
        <v>1041234.0896484121</v>
      </c>
      <c r="O37">
        <v>2266107.1853548381</v>
      </c>
      <c r="P37">
        <v>2582818.1421339847</v>
      </c>
      <c r="Q37">
        <v>316710.95677914657</v>
      </c>
      <c r="R37">
        <v>3125191.071755236</v>
      </c>
      <c r="S37">
        <v>2116982.5141455596</v>
      </c>
      <c r="T37">
        <v>9309983.9780744873</v>
      </c>
      <c r="AN37">
        <v>111429.27691941433</v>
      </c>
      <c r="AO37">
        <v>621304.28913317597</v>
      </c>
      <c r="AT37">
        <v>208101.57506598416</v>
      </c>
      <c r="AX37">
        <v>171065.64567144157</v>
      </c>
      <c r="AY37">
        <v>221892.16243354796</v>
      </c>
      <c r="BB37">
        <v>138771.5232522868</v>
      </c>
      <c r="BE37">
        <v>2239218.5261969627</v>
      </c>
      <c r="BG37">
        <v>2432059.4531519297</v>
      </c>
    </row>
    <row r="38" spans="1:59" ht="14" customHeight="1">
      <c r="A38" s="3">
        <v>39873</v>
      </c>
      <c r="B38" s="3">
        <v>39873</v>
      </c>
      <c r="C38">
        <v>1628995.1</v>
      </c>
      <c r="D38">
        <v>45829</v>
      </c>
      <c r="E38">
        <v>396442.69999999995</v>
      </c>
      <c r="F38">
        <v>624901.5</v>
      </c>
      <c r="G38">
        <v>265888.8</v>
      </c>
      <c r="H38">
        <v>890790.3</v>
      </c>
      <c r="I38">
        <v>1264536.7</v>
      </c>
      <c r="J38">
        <v>1137612.6000000001</v>
      </c>
      <c r="K38">
        <v>3055263.8000000003</v>
      </c>
      <c r="L38">
        <v>2545952.1664457824</v>
      </c>
      <c r="M38">
        <v>59728.253036778813</v>
      </c>
      <c r="N38">
        <v>670303.47791559936</v>
      </c>
      <c r="O38">
        <v>1285841.5860000337</v>
      </c>
      <c r="P38">
        <v>1767984.2793180069</v>
      </c>
      <c r="Q38">
        <v>482142.69331797329</v>
      </c>
      <c r="R38">
        <v>2584270.5163347065</v>
      </c>
      <c r="S38">
        <v>1770128.8855064383</v>
      </c>
      <c r="T38">
        <v>6162126.4318794729</v>
      </c>
      <c r="AN38">
        <v>129817.69151668639</v>
      </c>
      <c r="AO38">
        <v>604462.30519352027</v>
      </c>
      <c r="AP38">
        <v>364528.9436485832</v>
      </c>
      <c r="AQ38">
        <v>195699.16104827434</v>
      </c>
      <c r="AR38">
        <v>38467.350899313533</v>
      </c>
      <c r="AS38">
        <v>6499.6890140590549</v>
      </c>
      <c r="AT38">
        <v>291088.54175899114</v>
      </c>
      <c r="AU38">
        <v>250143.82500119659</v>
      </c>
      <c r="AV38">
        <v>219348.31988584099</v>
      </c>
      <c r="AW38">
        <v>86045.748605305431</v>
      </c>
      <c r="AX38">
        <v>85724.681452481047</v>
      </c>
      <c r="AY38">
        <v>206731.3350915997</v>
      </c>
      <c r="AZ38">
        <v>121710.91861809643</v>
      </c>
      <c r="BA38">
        <v>53977.953863006893</v>
      </c>
      <c r="BB38">
        <v>125944.03347520894</v>
      </c>
      <c r="BC38">
        <v>35098.137579341274</v>
      </c>
      <c r="BE38">
        <v>2148989.9391823662</v>
      </c>
      <c r="BG38">
        <v>2252536.1838053474</v>
      </c>
    </row>
    <row r="39" spans="1:59" ht="14" customHeight="1">
      <c r="A39" s="3">
        <v>39965</v>
      </c>
      <c r="B39" s="3">
        <v>39965</v>
      </c>
      <c r="C39">
        <v>1638796.1</v>
      </c>
      <c r="D39">
        <v>44753</v>
      </c>
      <c r="E39">
        <v>541404.90000000014</v>
      </c>
      <c r="F39">
        <v>1040832</v>
      </c>
      <c r="G39">
        <v>32780</v>
      </c>
      <c r="H39">
        <v>1073612</v>
      </c>
      <c r="I39">
        <v>1558935.5999999999</v>
      </c>
      <c r="J39">
        <v>1476337.6</v>
      </c>
      <c r="K39">
        <v>3654517.1</v>
      </c>
      <c r="L39">
        <v>2515391.3083709218</v>
      </c>
      <c r="M39">
        <v>67138.364611432407</v>
      </c>
      <c r="N39">
        <v>888498.15570611472</v>
      </c>
      <c r="O39">
        <v>1187994.282200336</v>
      </c>
      <c r="P39">
        <v>1141020.3782707609</v>
      </c>
      <c r="Q39">
        <v>-46973.903929575114</v>
      </c>
      <c r="R39">
        <v>2811313.1282426086</v>
      </c>
      <c r="S39">
        <v>1974343.7029622796</v>
      </c>
      <c r="T39">
        <v>6231118.7632735791</v>
      </c>
      <c r="AN39">
        <v>130665.60810040093</v>
      </c>
      <c r="AO39">
        <v>630654.43136900745</v>
      </c>
      <c r="AP39">
        <v>372865.65573932213</v>
      </c>
      <c r="AQ39">
        <v>215068.98815747126</v>
      </c>
      <c r="AR39">
        <v>38459.275867272401</v>
      </c>
      <c r="AS39">
        <v>5921.7773218449947</v>
      </c>
      <c r="AT39">
        <v>261701.52866167895</v>
      </c>
      <c r="AU39">
        <v>262430.70173203701</v>
      </c>
      <c r="AV39">
        <v>201455.19004334498</v>
      </c>
      <c r="AW39">
        <v>85948.653364359183</v>
      </c>
      <c r="AX39">
        <v>159312.10780679411</v>
      </c>
      <c r="AY39">
        <v>189835.77794891733</v>
      </c>
      <c r="AZ39">
        <v>101716.17422857882</v>
      </c>
      <c r="BA39">
        <v>54087.026093878165</v>
      </c>
      <c r="BB39">
        <v>142784.70308550054</v>
      </c>
      <c r="BC39">
        <v>45110.217181409593</v>
      </c>
      <c r="BE39">
        <v>2210255.7098456761</v>
      </c>
      <c r="BG39">
        <v>2323875.5221998943</v>
      </c>
    </row>
    <row r="40" spans="1:59" ht="14" customHeight="1">
      <c r="A40" s="3">
        <v>40057</v>
      </c>
      <c r="B40" s="3">
        <v>40057</v>
      </c>
      <c r="C40">
        <v>1986742.8999999994</v>
      </c>
      <c r="D40">
        <v>55289.700000000012</v>
      </c>
      <c r="E40">
        <v>499180.10000000009</v>
      </c>
      <c r="F40">
        <v>1636293.7999999998</v>
      </c>
      <c r="G40">
        <v>-36662</v>
      </c>
      <c r="H40">
        <v>1599631.7999999996</v>
      </c>
      <c r="I40">
        <v>2040375.2999999998</v>
      </c>
      <c r="J40">
        <v>1585484.0999999996</v>
      </c>
      <c r="K40">
        <v>4511118.5999999978</v>
      </c>
      <c r="L40">
        <v>3226040.2007642901</v>
      </c>
      <c r="M40">
        <v>99719.826793870481</v>
      </c>
      <c r="N40">
        <v>584621.71183589473</v>
      </c>
      <c r="O40">
        <v>2141589.3546641576</v>
      </c>
      <c r="P40">
        <v>2236067.8434961047</v>
      </c>
      <c r="Q40">
        <v>94478.488831947092</v>
      </c>
      <c r="R40">
        <v>2937737.5137473689</v>
      </c>
      <c r="S40">
        <v>1371048.8440632117</v>
      </c>
      <c r="T40">
        <v>7913953.5760583449</v>
      </c>
      <c r="AN40">
        <v>136716.58473229356</v>
      </c>
      <c r="AO40">
        <v>589398.39267498709</v>
      </c>
      <c r="AP40">
        <v>332272.85124245804</v>
      </c>
      <c r="AQ40">
        <v>207847.74558910393</v>
      </c>
      <c r="AR40">
        <v>39968.251158502797</v>
      </c>
      <c r="AS40">
        <v>9375.7263408912077</v>
      </c>
      <c r="AT40">
        <v>256262.57970715215</v>
      </c>
      <c r="AU40">
        <v>274852.48144551693</v>
      </c>
      <c r="AV40">
        <v>242456.18061114411</v>
      </c>
      <c r="AW40">
        <v>72540.943976555791</v>
      </c>
      <c r="AX40">
        <v>73416.897689818725</v>
      </c>
      <c r="AY40">
        <v>193203.33899369781</v>
      </c>
      <c r="AZ40">
        <v>71302.189755673593</v>
      </c>
      <c r="BA40">
        <v>25799.28552544659</v>
      </c>
      <c r="BB40">
        <v>162727.0845479249</v>
      </c>
      <c r="BC40">
        <v>31943.883350664248</v>
      </c>
      <c r="BE40">
        <v>2143221.6310679354</v>
      </c>
      <c r="BG40">
        <v>2315627.6428689817</v>
      </c>
    </row>
    <row r="41" spans="1:59" ht="14" customHeight="1">
      <c r="A41" s="3">
        <v>40148</v>
      </c>
      <c r="B41" s="3">
        <v>40148</v>
      </c>
      <c r="C41">
        <v>2658072.9000000004</v>
      </c>
      <c r="D41">
        <v>24034.699999999983</v>
      </c>
      <c r="E41">
        <v>546561.59999999986</v>
      </c>
      <c r="F41">
        <v>1424691.4000000004</v>
      </c>
      <c r="G41">
        <v>13999.799999999988</v>
      </c>
      <c r="H41">
        <v>1438691.2000000002</v>
      </c>
      <c r="I41">
        <v>2251883.6000000006</v>
      </c>
      <c r="J41">
        <v>1570859.7999999998</v>
      </c>
      <c r="K41">
        <v>5786747.5000000019</v>
      </c>
      <c r="L41">
        <v>5407978.2081426317</v>
      </c>
      <c r="M41">
        <v>90741.9610087568</v>
      </c>
      <c r="N41">
        <v>1045298.6812493657</v>
      </c>
      <c r="O41">
        <v>2294978.5847239811</v>
      </c>
      <c r="P41">
        <v>2558120.8127507176</v>
      </c>
      <c r="Q41">
        <v>263142.22802673653</v>
      </c>
      <c r="R41">
        <v>2858657.1649538008</v>
      </c>
      <c r="S41">
        <v>2233462.0109242816</v>
      </c>
      <c r="T41">
        <v>9978347.8130425587</v>
      </c>
      <c r="AN41">
        <v>171378.22790205927</v>
      </c>
      <c r="AO41">
        <v>718227.75823795132</v>
      </c>
      <c r="AP41">
        <v>392531.38233003608</v>
      </c>
      <c r="AQ41">
        <v>268241.45385791583</v>
      </c>
      <c r="AR41">
        <v>43216.617803886606</v>
      </c>
      <c r="AS41">
        <v>4443.2875481414339</v>
      </c>
      <c r="AT41">
        <v>251178.6011046429</v>
      </c>
      <c r="AU41">
        <v>294183.27834897186</v>
      </c>
      <c r="AV41">
        <v>297304.12812293827</v>
      </c>
      <c r="AW41">
        <v>128746.81281146659</v>
      </c>
      <c r="AX41">
        <v>116153.57341090884</v>
      </c>
      <c r="AY41">
        <v>228327.03514412083</v>
      </c>
      <c r="AZ41">
        <v>22994.681382249822</v>
      </c>
      <c r="BA41">
        <v>25532.71092893801</v>
      </c>
      <c r="BB41">
        <v>181226.60244978743</v>
      </c>
      <c r="BC41">
        <v>25619.548566324636</v>
      </c>
      <c r="BE41">
        <v>2496728.6567096133</v>
      </c>
      <c r="BG41">
        <v>2680129.5173734268</v>
      </c>
    </row>
    <row r="42" spans="1:59" ht="14" customHeight="1">
      <c r="A42" s="3">
        <v>40238</v>
      </c>
      <c r="B42" s="3">
        <v>40238</v>
      </c>
      <c r="C42">
        <v>1835701.5</v>
      </c>
      <c r="D42">
        <v>52911.6</v>
      </c>
      <c r="E42">
        <v>455560.5</v>
      </c>
      <c r="F42">
        <v>721745.9</v>
      </c>
      <c r="G42">
        <v>122596.4</v>
      </c>
      <c r="H42">
        <v>844342.3</v>
      </c>
      <c r="I42">
        <v>2134610.7999999998</v>
      </c>
      <c r="J42">
        <v>1186635.1000000001</v>
      </c>
      <c r="K42">
        <v>4020878.4</v>
      </c>
      <c r="L42">
        <v>2642698.3487707223</v>
      </c>
      <c r="M42">
        <v>63431.404725059103</v>
      </c>
      <c r="N42">
        <v>745377.4674421465</v>
      </c>
      <c r="O42">
        <v>1392566.4376380362</v>
      </c>
      <c r="P42">
        <v>1571738.0243137083</v>
      </c>
      <c r="Q42">
        <v>179171.58667567209</v>
      </c>
      <c r="R42">
        <v>2716068.3126677764</v>
      </c>
      <c r="S42">
        <v>1617897.8013528849</v>
      </c>
      <c r="T42">
        <v>6599637.4085429152</v>
      </c>
      <c r="AN42">
        <v>132803.49842157017</v>
      </c>
      <c r="AO42">
        <v>680020.09334271029</v>
      </c>
      <c r="AP42">
        <v>390775.02759128122</v>
      </c>
      <c r="AQ42">
        <v>237578.78151260506</v>
      </c>
      <c r="AR42">
        <v>41660.141023956552</v>
      </c>
      <c r="AS42">
        <v>7156.1576044790199</v>
      </c>
      <c r="AT42">
        <v>265763.83862595889</v>
      </c>
      <c r="AU42">
        <v>278910.36487633421</v>
      </c>
      <c r="AV42">
        <v>230654.23202762479</v>
      </c>
      <c r="AW42">
        <v>91122.447773018444</v>
      </c>
      <c r="AX42">
        <v>66693.802170030249</v>
      </c>
      <c r="AY42">
        <v>215207.31983035526</v>
      </c>
      <c r="AZ42">
        <v>133273.45588681559</v>
      </c>
      <c r="BA42">
        <v>58242.212218184446</v>
      </c>
      <c r="BB42">
        <v>130244.45842964934</v>
      </c>
      <c r="BC42">
        <v>37245.772758787381</v>
      </c>
      <c r="BE42">
        <v>2308015.1946818614</v>
      </c>
      <c r="BG42">
        <v>2412466.2528555272</v>
      </c>
    </row>
    <row r="43" spans="1:59" ht="14" customHeight="1">
      <c r="A43" s="3">
        <v>40330</v>
      </c>
      <c r="B43" s="3">
        <v>40330</v>
      </c>
      <c r="C43">
        <v>1835731.6</v>
      </c>
      <c r="D43">
        <v>52124.299999999996</v>
      </c>
      <c r="E43">
        <v>614404.69999999995</v>
      </c>
      <c r="F43">
        <v>1081477.5</v>
      </c>
      <c r="G43">
        <v>107544.5</v>
      </c>
      <c r="H43">
        <v>1189021.9999999998</v>
      </c>
      <c r="I43">
        <v>2545710.4000000004</v>
      </c>
      <c r="J43">
        <v>1524265.1</v>
      </c>
      <c r="K43">
        <v>4691265.5</v>
      </c>
      <c r="L43">
        <v>2666650.9563120003</v>
      </c>
      <c r="M43">
        <v>68129.277776135918</v>
      </c>
      <c r="N43">
        <v>847717.80211924529</v>
      </c>
      <c r="O43">
        <v>1093638.6099033353</v>
      </c>
      <c r="P43">
        <v>1215088.4376563313</v>
      </c>
      <c r="Q43">
        <v>121449.827752996</v>
      </c>
      <c r="R43">
        <v>3256842.7818793119</v>
      </c>
      <c r="S43">
        <v>1890673.0140423041</v>
      </c>
      <c r="T43">
        <v>6779077.7334995</v>
      </c>
      <c r="AN43">
        <v>135422.7175337784</v>
      </c>
      <c r="AO43">
        <v>708252.18132777303</v>
      </c>
      <c r="AP43">
        <v>393629.80154962023</v>
      </c>
      <c r="AQ43">
        <v>264685.52339542471</v>
      </c>
      <c r="AR43">
        <v>41497.542510722844</v>
      </c>
      <c r="AS43">
        <v>6234.1831056255451</v>
      </c>
      <c r="AT43">
        <v>265467.41904830502</v>
      </c>
      <c r="AU43">
        <v>300298.85033221974</v>
      </c>
      <c r="AV43">
        <v>220162.04857255222</v>
      </c>
      <c r="AW43">
        <v>94459.511952249683</v>
      </c>
      <c r="AX43">
        <v>153006.41558561372</v>
      </c>
      <c r="AY43">
        <v>192457.32542853322</v>
      </c>
      <c r="AZ43">
        <v>95962.741373873199</v>
      </c>
      <c r="BA43">
        <v>52055.478705692396</v>
      </c>
      <c r="BB43">
        <v>147431.0293644091</v>
      </c>
      <c r="BC43">
        <v>46133.596849633221</v>
      </c>
      <c r="BE43">
        <v>2394400.2723863935</v>
      </c>
      <c r="BG43">
        <v>2527846.604933966</v>
      </c>
    </row>
    <row r="44" spans="1:59" ht="14" customHeight="1">
      <c r="A44" s="3">
        <v>40422</v>
      </c>
      <c r="B44" s="3">
        <v>40422</v>
      </c>
      <c r="C44">
        <v>2397947.6</v>
      </c>
      <c r="D44">
        <v>64691.800000000017</v>
      </c>
      <c r="E44">
        <v>587890.69999999995</v>
      </c>
      <c r="F44">
        <v>1295524.8999999999</v>
      </c>
      <c r="G44">
        <v>109423.9</v>
      </c>
      <c r="H44">
        <v>1404948.7999999998</v>
      </c>
      <c r="I44">
        <v>2438939.7000000002</v>
      </c>
      <c r="J44">
        <v>1825600.5999999996</v>
      </c>
      <c r="K44">
        <v>5423084.1999999993</v>
      </c>
      <c r="L44">
        <v>3682461.9829226555</v>
      </c>
      <c r="M44">
        <v>100237.25016305456</v>
      </c>
      <c r="N44">
        <v>601770.2361871996</v>
      </c>
      <c r="O44">
        <v>1566138.2981336834</v>
      </c>
      <c r="P44">
        <v>1848883.8615074297</v>
      </c>
      <c r="Q44">
        <v>282745.56337374635</v>
      </c>
      <c r="R44">
        <v>3210408.8219267139</v>
      </c>
      <c r="S44">
        <v>1632528.2242994006</v>
      </c>
      <c r="T44">
        <v>8451523.5370098371</v>
      </c>
      <c r="AN44">
        <v>113085.67302005709</v>
      </c>
      <c r="AO44">
        <v>622343.39774925797</v>
      </c>
      <c r="AP44">
        <v>338745.9940209802</v>
      </c>
      <c r="AQ44">
        <v>234507.22579263605</v>
      </c>
      <c r="AR44">
        <v>41919.835845165551</v>
      </c>
      <c r="AS44">
        <v>9758.2779126519945</v>
      </c>
      <c r="AT44">
        <v>276203.28715330269</v>
      </c>
      <c r="AU44">
        <v>309795.87702525547</v>
      </c>
      <c r="AV44">
        <v>263554.88121551136</v>
      </c>
      <c r="AW44">
        <v>83895.991507466766</v>
      </c>
      <c r="AX44">
        <v>72321.813176675147</v>
      </c>
      <c r="AY44">
        <v>199209.14988431858</v>
      </c>
      <c r="AZ44">
        <v>79934.820189175167</v>
      </c>
      <c r="BA44">
        <v>29590.466505159726</v>
      </c>
      <c r="BB44">
        <v>169426.50387976709</v>
      </c>
      <c r="BC44">
        <v>36355.931784604996</v>
      </c>
      <c r="BE44">
        <v>2261726.9899145393</v>
      </c>
      <c r="BG44">
        <v>2468629.4422503002</v>
      </c>
    </row>
    <row r="45" spans="1:59" ht="14" customHeight="1">
      <c r="A45" s="3">
        <v>40513</v>
      </c>
      <c r="B45" s="3">
        <v>40513</v>
      </c>
      <c r="C45">
        <v>3651718.8999999994</v>
      </c>
      <c r="D45">
        <v>9159.5</v>
      </c>
      <c r="E45">
        <v>700913</v>
      </c>
      <c r="F45">
        <v>2208388.2999999998</v>
      </c>
      <c r="G45">
        <v>-111330.5</v>
      </c>
      <c r="H45">
        <v>2097057.7999999998</v>
      </c>
      <c r="I45">
        <v>2532835.5999999996</v>
      </c>
      <c r="J45">
        <v>1985048.7000000002</v>
      </c>
      <c r="K45">
        <v>7680288.9000000004</v>
      </c>
      <c r="L45">
        <v>6319603.2979976349</v>
      </c>
      <c r="M45">
        <v>66490.768459538609</v>
      </c>
      <c r="N45">
        <v>1079952.0156794717</v>
      </c>
      <c r="O45">
        <v>3120655.8066018159</v>
      </c>
      <c r="P45">
        <v>3221546.8566348329</v>
      </c>
      <c r="Q45">
        <v>100891.05003301706</v>
      </c>
      <c r="R45">
        <v>2355609.7348263152</v>
      </c>
      <c r="S45">
        <v>2421004.923621852</v>
      </c>
      <c r="T45">
        <v>10666152.805852242</v>
      </c>
      <c r="AN45">
        <v>121311.16225486749</v>
      </c>
      <c r="AO45">
        <v>766059.56070346804</v>
      </c>
      <c r="AP45">
        <v>442864.1269387058</v>
      </c>
      <c r="AQ45">
        <v>270698.4173688757</v>
      </c>
      <c r="AR45">
        <v>42719.328144121217</v>
      </c>
      <c r="AS45">
        <v>7159.1360370453149</v>
      </c>
      <c r="AT45">
        <v>278242.25643447775</v>
      </c>
      <c r="AU45">
        <v>338622.58297515544</v>
      </c>
      <c r="AV45">
        <v>329591.19496836397</v>
      </c>
      <c r="AW45">
        <v>139266.01260693232</v>
      </c>
      <c r="AX45">
        <v>89128.536403403326</v>
      </c>
      <c r="AY45">
        <v>239857.10408637044</v>
      </c>
      <c r="AZ45">
        <v>35877.207437410078</v>
      </c>
      <c r="BA45">
        <v>50113.038453196874</v>
      </c>
      <c r="BB45">
        <v>185377.29488077058</v>
      </c>
      <c r="BC45">
        <v>51143.843840997943</v>
      </c>
      <c r="BE45">
        <v>2691994.7832096079</v>
      </c>
      <c r="BG45">
        <v>2861994.8934439374</v>
      </c>
    </row>
    <row r="46" spans="1:59" ht="14" customHeight="1">
      <c r="A46" s="3">
        <v>40603</v>
      </c>
      <c r="B46" s="3">
        <v>40603</v>
      </c>
      <c r="C46">
        <v>2137825</v>
      </c>
      <c r="D46">
        <v>53677</v>
      </c>
      <c r="E46">
        <v>609324.19999999995</v>
      </c>
      <c r="F46">
        <v>1019222.9</v>
      </c>
      <c r="G46">
        <v>145749.79999999999</v>
      </c>
      <c r="H46">
        <v>1164972.7</v>
      </c>
      <c r="I46">
        <v>2557371.6</v>
      </c>
      <c r="J46">
        <v>1344311.3</v>
      </c>
      <c r="K46">
        <v>5240223.5</v>
      </c>
      <c r="L46">
        <v>2840900.7249285262</v>
      </c>
      <c r="M46">
        <v>69647.682388114888</v>
      </c>
      <c r="N46">
        <v>807989.17470728676</v>
      </c>
      <c r="O46">
        <v>1424595.4657037109</v>
      </c>
      <c r="P46">
        <v>1595314.0946784138</v>
      </c>
      <c r="Q46">
        <v>170718.62897470291</v>
      </c>
      <c r="R46">
        <v>2800266.4303604774</v>
      </c>
      <c r="S46">
        <v>1648637.8595785899</v>
      </c>
      <c r="T46">
        <v>7035213.4775067475</v>
      </c>
      <c r="AN46">
        <v>135061.15789473685</v>
      </c>
      <c r="AO46">
        <v>722861.35922330094</v>
      </c>
      <c r="AP46">
        <v>409532.22891566268</v>
      </c>
      <c r="AQ46">
        <v>259436.02941176473</v>
      </c>
      <c r="AR46">
        <v>44243.069767441862</v>
      </c>
      <c r="AS46">
        <v>7370.8423326133907</v>
      </c>
      <c r="AT46">
        <v>274002.51762336359</v>
      </c>
      <c r="AU46">
        <v>318794.54705364996</v>
      </c>
      <c r="AV46">
        <v>247882.0004863982</v>
      </c>
      <c r="AW46">
        <v>108253.46795434591</v>
      </c>
      <c r="AX46">
        <v>64959.763313609459</v>
      </c>
      <c r="AY46">
        <v>216928.97838899808</v>
      </c>
      <c r="AZ46">
        <v>137005.11265164643</v>
      </c>
      <c r="BA46">
        <v>59989.478584729979</v>
      </c>
      <c r="BB46">
        <v>134796.11759819181</v>
      </c>
      <c r="BC46">
        <v>38962.307041086518</v>
      </c>
      <c r="BE46">
        <v>2458036.1823361823</v>
      </c>
      <c r="BG46">
        <v>2571689.0255439919</v>
      </c>
    </row>
    <row r="47" spans="1:59" ht="14" customHeight="1">
      <c r="A47" s="3">
        <v>40695</v>
      </c>
      <c r="B47" s="3">
        <v>40695</v>
      </c>
      <c r="C47">
        <v>2149522.5</v>
      </c>
      <c r="D47">
        <v>57259.7</v>
      </c>
      <c r="E47">
        <v>713261.3</v>
      </c>
      <c r="F47">
        <v>1005166.4</v>
      </c>
      <c r="G47">
        <v>142721.10000000003</v>
      </c>
      <c r="H47">
        <v>1147887.5000000002</v>
      </c>
      <c r="I47">
        <v>3887602.4</v>
      </c>
      <c r="J47">
        <v>1977254.0999999999</v>
      </c>
      <c r="K47">
        <v>5999807.4000000004</v>
      </c>
      <c r="L47">
        <v>2940980.6683065584</v>
      </c>
      <c r="M47">
        <v>77568.721330722357</v>
      </c>
      <c r="N47">
        <v>1006546.3373231387</v>
      </c>
      <c r="O47">
        <v>1123764.7080261949</v>
      </c>
      <c r="P47">
        <v>1252822.5494549668</v>
      </c>
      <c r="Q47">
        <v>129057.84142877185</v>
      </c>
      <c r="R47">
        <v>3536992.2409539828</v>
      </c>
      <c r="S47">
        <v>2214298.6081715128</v>
      </c>
      <c r="T47">
        <v>7280011.7244786378</v>
      </c>
      <c r="AN47">
        <v>136920.22508398659</v>
      </c>
      <c r="AO47">
        <v>745930.70737807022</v>
      </c>
      <c r="AP47">
        <v>407033.19822001568</v>
      </c>
      <c r="AQ47">
        <v>286525.27002326364</v>
      </c>
      <c r="AR47">
        <v>44569.336247595726</v>
      </c>
      <c r="AS47">
        <v>5698.1302004486643</v>
      </c>
      <c r="AT47">
        <v>266259.6714313628</v>
      </c>
      <c r="AU47">
        <v>343241.58592972712</v>
      </c>
      <c r="AV47">
        <v>233843.0702239949</v>
      </c>
      <c r="AW47">
        <v>106464.85944778931</v>
      </c>
      <c r="AX47">
        <v>152104.05182896677</v>
      </c>
      <c r="AY47">
        <v>195219.97796773812</v>
      </c>
      <c r="AZ47">
        <v>104839.07545838022</v>
      </c>
      <c r="BA47">
        <v>63764.53063185986</v>
      </c>
      <c r="BB47">
        <v>151659.04999087058</v>
      </c>
      <c r="BC47">
        <v>80299.676865589092</v>
      </c>
      <c r="BE47">
        <v>2573548.3674268508</v>
      </c>
      <c r="BG47">
        <v>2714445.7322907657</v>
      </c>
    </row>
    <row r="48" spans="1:59" ht="14" customHeight="1">
      <c r="A48" s="3">
        <v>40787</v>
      </c>
      <c r="B48" s="3">
        <v>40787</v>
      </c>
      <c r="C48">
        <v>2766382.0999999996</v>
      </c>
      <c r="D48">
        <v>72983.000000000015</v>
      </c>
      <c r="E48">
        <v>691198.89999999991</v>
      </c>
      <c r="F48">
        <v>1402332.4999999998</v>
      </c>
      <c r="G48">
        <v>167774.89999999997</v>
      </c>
      <c r="H48">
        <v>1570107.3999999994</v>
      </c>
      <c r="I48">
        <v>3429591.6999999993</v>
      </c>
      <c r="J48">
        <v>1992248.6999999997</v>
      </c>
      <c r="K48">
        <v>7424908.5999999996</v>
      </c>
      <c r="L48">
        <v>4037176.5332667893</v>
      </c>
      <c r="M48">
        <v>102198.1718278953</v>
      </c>
      <c r="N48">
        <v>766626.32272991817</v>
      </c>
      <c r="O48">
        <v>1686338.6225005267</v>
      </c>
      <c r="P48">
        <v>2056444.878105782</v>
      </c>
      <c r="Q48">
        <v>370106.25560525525</v>
      </c>
      <c r="R48">
        <v>2790961.3256604997</v>
      </c>
      <c r="S48">
        <v>1473524.3354528812</v>
      </c>
      <c r="T48">
        <v>9195941.8553538918</v>
      </c>
      <c r="AN48">
        <v>150512.19000602601</v>
      </c>
      <c r="AO48">
        <v>644365.00511177653</v>
      </c>
      <c r="AP48">
        <v>331294.71413576475</v>
      </c>
      <c r="AQ48">
        <v>259329.98362079938</v>
      </c>
      <c r="AR48">
        <v>45645.927318295726</v>
      </c>
      <c r="AS48">
        <v>10102.79470831726</v>
      </c>
      <c r="AT48">
        <v>290587.95757283969</v>
      </c>
      <c r="AU48">
        <v>358541.71290103614</v>
      </c>
      <c r="AV48">
        <v>283279.91331727925</v>
      </c>
      <c r="AW48">
        <v>101109.83144263012</v>
      </c>
      <c r="AX48">
        <v>67365.642985502607</v>
      </c>
      <c r="AY48">
        <v>203221.07191847585</v>
      </c>
      <c r="AZ48">
        <v>73201.078671384719</v>
      </c>
      <c r="BA48">
        <v>31242.069214782692</v>
      </c>
      <c r="BB48">
        <v>177643.03692827834</v>
      </c>
      <c r="BC48">
        <v>29556.627548097113</v>
      </c>
      <c r="BE48">
        <v>2427012.0216655387</v>
      </c>
      <c r="BG48">
        <v>2693296.0993080996</v>
      </c>
    </row>
    <row r="49" spans="1:59" ht="14" customHeight="1">
      <c r="A49" s="3">
        <v>40878</v>
      </c>
      <c r="B49" s="3">
        <v>40878</v>
      </c>
      <c r="C49">
        <v>4639025.5999999996</v>
      </c>
      <c r="D49">
        <v>39412.599999999977</v>
      </c>
      <c r="E49">
        <v>944914.89999999991</v>
      </c>
      <c r="F49">
        <v>2635565.4000000004</v>
      </c>
      <c r="G49">
        <v>-23154.5</v>
      </c>
      <c r="H49">
        <v>2612410.9000000004</v>
      </c>
      <c r="I49">
        <v>3248473.5</v>
      </c>
      <c r="J49">
        <v>2213861.6000000006</v>
      </c>
      <c r="K49">
        <v>9578113.1999999993</v>
      </c>
      <c r="L49">
        <v>7329726.4098215029</v>
      </c>
      <c r="M49">
        <v>71842.355563587364</v>
      </c>
      <c r="N49">
        <v>1083358.9717176589</v>
      </c>
      <c r="O49">
        <v>3182182.3272238523</v>
      </c>
      <c r="P49">
        <v>3376967.5455992045</v>
      </c>
      <c r="Q49">
        <v>194785.21837535221</v>
      </c>
      <c r="R49">
        <v>2456865.3729303591</v>
      </c>
      <c r="S49">
        <v>2437382.0710863173</v>
      </c>
      <c r="T49">
        <v>11389957.397448156</v>
      </c>
      <c r="AN49">
        <v>213324.58682154608</v>
      </c>
      <c r="AO49">
        <v>766255.14503562078</v>
      </c>
      <c r="AP49">
        <v>433814.95833015023</v>
      </c>
      <c r="AQ49">
        <v>277738.91111892951</v>
      </c>
      <c r="AR49">
        <v>48104.636772741884</v>
      </c>
      <c r="AS49">
        <v>7863.3735302578061</v>
      </c>
      <c r="AT49">
        <v>285225.60506981541</v>
      </c>
      <c r="AU49">
        <v>378917.70385380671</v>
      </c>
      <c r="AV49">
        <v>343786.58507108019</v>
      </c>
      <c r="AW49">
        <v>178343.29343739233</v>
      </c>
      <c r="AX49">
        <v>99389.16317899368</v>
      </c>
      <c r="AY49">
        <v>281317.99400891061</v>
      </c>
      <c r="AZ49">
        <v>42769.74242669181</v>
      </c>
      <c r="BA49">
        <v>52485.227472026396</v>
      </c>
      <c r="BB49">
        <v>196985.86830596233</v>
      </c>
      <c r="BC49">
        <v>60461.987143727114</v>
      </c>
      <c r="BE49">
        <v>2921750.9617782598</v>
      </c>
      <c r="BG49">
        <v>3051555.6886586705</v>
      </c>
    </row>
    <row r="50" spans="1:59" ht="14" customHeight="1">
      <c r="A50" s="3">
        <v>40969</v>
      </c>
      <c r="B50" s="3">
        <v>40969</v>
      </c>
      <c r="C50">
        <v>2543562.1</v>
      </c>
      <c r="D50">
        <v>60364.9</v>
      </c>
      <c r="E50">
        <v>777838.6</v>
      </c>
      <c r="F50">
        <v>1212072</v>
      </c>
      <c r="G50">
        <v>168039.6</v>
      </c>
      <c r="H50">
        <v>1380111.6</v>
      </c>
      <c r="I50">
        <v>3243465.9</v>
      </c>
      <c r="J50">
        <v>1815766.7</v>
      </c>
      <c r="K50">
        <v>6097729.9000000004</v>
      </c>
      <c r="L50">
        <v>3184649.7126448774</v>
      </c>
      <c r="M50">
        <v>73896.191013789896</v>
      </c>
      <c r="N50">
        <v>935651.46431103814</v>
      </c>
      <c r="O50">
        <v>1548535.2712199339</v>
      </c>
      <c r="P50">
        <v>1742082.9913888278</v>
      </c>
      <c r="Q50">
        <v>193547.72016889392</v>
      </c>
      <c r="R50">
        <v>2968282.4161821064</v>
      </c>
      <c r="S50">
        <v>2120148.2874180665</v>
      </c>
      <c r="T50">
        <v>7436220.6457246328</v>
      </c>
      <c r="U50">
        <v>133618.70000000001</v>
      </c>
      <c r="W50">
        <v>1143503.3</v>
      </c>
      <c r="X50">
        <v>650928</v>
      </c>
      <c r="Y50">
        <v>152777.29999999999</v>
      </c>
      <c r="Z50">
        <v>20387.8</v>
      </c>
      <c r="AA50">
        <v>256943</v>
      </c>
      <c r="AB50">
        <v>771368.3</v>
      </c>
      <c r="AC50">
        <v>476858</v>
      </c>
      <c r="AD50">
        <v>140205.5</v>
      </c>
      <c r="AE50">
        <v>149167.20000000001</v>
      </c>
      <c r="AF50">
        <v>551021.9</v>
      </c>
      <c r="AG50">
        <v>342016.7</v>
      </c>
      <c r="AH50">
        <v>125496.9</v>
      </c>
      <c r="AI50">
        <v>533165.9</v>
      </c>
      <c r="AJ50">
        <v>88731.900000000009</v>
      </c>
      <c r="AK50">
        <v>561539.5</v>
      </c>
      <c r="AL50">
        <v>5536190.4000000004</v>
      </c>
      <c r="AN50">
        <v>128308.1</v>
      </c>
      <c r="AO50">
        <v>744547.2</v>
      </c>
      <c r="AP50">
        <v>407894.1</v>
      </c>
      <c r="AQ50">
        <v>282266.40000000002</v>
      </c>
      <c r="AR50">
        <v>47561.3</v>
      </c>
      <c r="AS50">
        <v>6825.4</v>
      </c>
      <c r="AT50">
        <v>272084.5</v>
      </c>
      <c r="AU50">
        <v>362469.4</v>
      </c>
      <c r="AV50">
        <v>265410</v>
      </c>
      <c r="AW50">
        <v>123300.7</v>
      </c>
      <c r="AX50">
        <v>65869.2</v>
      </c>
      <c r="AY50">
        <v>220833.7</v>
      </c>
      <c r="AZ50">
        <v>158103.9</v>
      </c>
      <c r="BA50">
        <v>64428.7</v>
      </c>
      <c r="BB50">
        <v>139569.59999999998</v>
      </c>
      <c r="BC50">
        <v>43387.1</v>
      </c>
      <c r="BD50">
        <v>64428.7</v>
      </c>
      <c r="BE50">
        <v>2588312.1</v>
      </c>
      <c r="BG50">
        <v>2718275.3</v>
      </c>
    </row>
    <row r="51" spans="1:59" ht="14" customHeight="1">
      <c r="A51" s="3">
        <v>41061</v>
      </c>
      <c r="B51" s="3">
        <v>41061</v>
      </c>
      <c r="C51">
        <v>2591458.8000000003</v>
      </c>
      <c r="D51">
        <v>67500.899999999994</v>
      </c>
      <c r="E51">
        <v>917314.4</v>
      </c>
      <c r="F51">
        <v>1026720.1000000001</v>
      </c>
      <c r="G51">
        <v>146288.80000000002</v>
      </c>
      <c r="H51">
        <v>1173008.8999999999</v>
      </c>
      <c r="I51">
        <v>3664876.6999999997</v>
      </c>
      <c r="J51">
        <v>2168866.0999999996</v>
      </c>
      <c r="K51">
        <v>6751271.6999999993</v>
      </c>
      <c r="L51">
        <v>3412476.9570363532</v>
      </c>
      <c r="M51">
        <v>89219.584306681747</v>
      </c>
      <c r="N51">
        <v>1044006.7793141559</v>
      </c>
      <c r="O51">
        <v>1162919.9536286858</v>
      </c>
      <c r="P51">
        <v>1299726.9445456227</v>
      </c>
      <c r="Q51">
        <v>136806.99091693689</v>
      </c>
      <c r="R51">
        <v>3603454.8259709887</v>
      </c>
      <c r="S51">
        <v>2418802.062188304</v>
      </c>
      <c r="T51">
        <v>7637711.4919659784</v>
      </c>
      <c r="U51">
        <v>159308.59999999998</v>
      </c>
      <c r="W51">
        <v>1254652.5999999999</v>
      </c>
      <c r="X51">
        <v>786827.89999999991</v>
      </c>
      <c r="Y51">
        <v>101172.40000000002</v>
      </c>
      <c r="Z51">
        <v>24665.200000000001</v>
      </c>
      <c r="AA51">
        <v>419862.6</v>
      </c>
      <c r="AB51">
        <v>973570.2</v>
      </c>
      <c r="AC51">
        <v>488528</v>
      </c>
      <c r="AD51">
        <v>169552.40000000002</v>
      </c>
      <c r="AE51">
        <v>163487.5</v>
      </c>
      <c r="AF51">
        <v>533155.70000000007</v>
      </c>
      <c r="AG51">
        <v>254321.49999999994</v>
      </c>
      <c r="AH51">
        <v>110476.70000000001</v>
      </c>
      <c r="AI51">
        <v>534978.30000000005</v>
      </c>
      <c r="AJ51">
        <v>140308.59999999998</v>
      </c>
      <c r="AK51">
        <v>636403.5</v>
      </c>
      <c r="AL51">
        <v>6114868.1999999993</v>
      </c>
      <c r="AN51">
        <v>127354.4</v>
      </c>
      <c r="AO51">
        <v>755089.5</v>
      </c>
      <c r="AP51">
        <v>404588.5</v>
      </c>
      <c r="AQ51">
        <v>297544.5</v>
      </c>
      <c r="AR51">
        <v>46935.1</v>
      </c>
      <c r="AS51">
        <v>6021.4</v>
      </c>
      <c r="AT51">
        <v>270879</v>
      </c>
      <c r="AU51">
        <v>394237.9</v>
      </c>
      <c r="AV51">
        <v>252651</v>
      </c>
      <c r="AW51">
        <v>118042.7</v>
      </c>
      <c r="AX51">
        <v>154884.70000000001</v>
      </c>
      <c r="AY51">
        <v>213571.3</v>
      </c>
      <c r="AZ51">
        <v>114454.5</v>
      </c>
      <c r="BA51">
        <v>69844.399999999994</v>
      </c>
      <c r="BB51">
        <v>157062</v>
      </c>
      <c r="BC51">
        <v>91938.2</v>
      </c>
      <c r="BD51">
        <v>128015</v>
      </c>
      <c r="BE51">
        <v>2720009.6</v>
      </c>
      <c r="BG51">
        <v>2848024.6</v>
      </c>
    </row>
    <row r="52" spans="1:59" ht="14" customHeight="1">
      <c r="A52" s="3">
        <v>41153</v>
      </c>
      <c r="B52" s="3">
        <v>41153</v>
      </c>
      <c r="C52">
        <v>3238636.1999999993</v>
      </c>
      <c r="D52">
        <v>79992.099999999991</v>
      </c>
      <c r="E52">
        <v>801544.29999999981</v>
      </c>
      <c r="F52">
        <v>1578667.1999999997</v>
      </c>
      <c r="G52">
        <v>538345.6</v>
      </c>
      <c r="H52">
        <v>2117012.7999999998</v>
      </c>
      <c r="I52">
        <v>3411416.7000000011</v>
      </c>
      <c r="J52">
        <v>2468807</v>
      </c>
      <c r="K52">
        <v>7999731.0000000019</v>
      </c>
      <c r="L52">
        <v>4341303.8604418579</v>
      </c>
      <c r="M52">
        <v>103508.40593898544</v>
      </c>
      <c r="N52">
        <v>939635.79148875433</v>
      </c>
      <c r="O52">
        <v>1849315.3786915569</v>
      </c>
      <c r="P52">
        <v>2564126.7439849125</v>
      </c>
      <c r="Q52">
        <v>714811.36529335566</v>
      </c>
      <c r="R52">
        <v>2766431.8147522882</v>
      </c>
      <c r="S52">
        <v>1736727.5549603384</v>
      </c>
      <c r="T52">
        <v>9612793.2725156322</v>
      </c>
      <c r="U52">
        <v>548922.69999999995</v>
      </c>
      <c r="W52">
        <v>1304394.5</v>
      </c>
      <c r="X52">
        <v>933647</v>
      </c>
      <c r="Y52">
        <v>93893.299999999988</v>
      </c>
      <c r="Z52">
        <v>26786.199999999997</v>
      </c>
      <c r="AA52">
        <v>581899.00000000012</v>
      </c>
      <c r="AB52">
        <v>1245037.3999999999</v>
      </c>
      <c r="AC52">
        <v>645529.49999999988</v>
      </c>
      <c r="AD52">
        <v>191435.19999999995</v>
      </c>
      <c r="AE52">
        <v>185073.3</v>
      </c>
      <c r="AF52">
        <v>446448.89999999991</v>
      </c>
      <c r="AG52">
        <v>252093.5</v>
      </c>
      <c r="AH52">
        <v>126769.49999999997</v>
      </c>
      <c r="AI52">
        <v>557396.79999999993</v>
      </c>
      <c r="AJ52">
        <v>220775.5</v>
      </c>
      <c r="AK52">
        <v>639628.69999999995</v>
      </c>
      <c r="AL52">
        <v>7360102.2999999989</v>
      </c>
      <c r="AN52">
        <v>132186.6</v>
      </c>
      <c r="AO52">
        <v>621973</v>
      </c>
      <c r="AP52">
        <v>325046.8</v>
      </c>
      <c r="AQ52">
        <v>242391.5</v>
      </c>
      <c r="AR52">
        <v>45878.1</v>
      </c>
      <c r="AS52">
        <v>8656.6</v>
      </c>
      <c r="AT52">
        <v>306996.2</v>
      </c>
      <c r="AU52">
        <v>408792.6</v>
      </c>
      <c r="AV52">
        <v>304836.7</v>
      </c>
      <c r="AW52">
        <v>108594.2</v>
      </c>
      <c r="AX52">
        <v>67942</v>
      </c>
      <c r="AY52">
        <v>218502.6</v>
      </c>
      <c r="AZ52">
        <v>93524.2</v>
      </c>
      <c r="BA52">
        <v>39632.5</v>
      </c>
      <c r="BB52">
        <v>186686.2</v>
      </c>
      <c r="BC52">
        <v>33537.9</v>
      </c>
      <c r="BD52">
        <v>288897.8</v>
      </c>
      <c r="BE52">
        <v>2523204.7000000002</v>
      </c>
      <c r="BG52">
        <v>2812102.5</v>
      </c>
    </row>
    <row r="53" spans="1:59" ht="14" customHeight="1">
      <c r="A53" s="3">
        <v>41244</v>
      </c>
      <c r="B53" s="3">
        <v>41244</v>
      </c>
      <c r="C53">
        <v>5285549.5</v>
      </c>
      <c r="D53">
        <v>70152.699999999983</v>
      </c>
      <c r="E53">
        <v>1076749.4000000004</v>
      </c>
      <c r="F53">
        <v>3254982.2</v>
      </c>
      <c r="G53">
        <v>-100089.30000000005</v>
      </c>
      <c r="H53">
        <v>3154892.9000000004</v>
      </c>
      <c r="I53">
        <v>3360935</v>
      </c>
      <c r="J53">
        <v>2731419.1000000006</v>
      </c>
      <c r="K53">
        <v>10166454</v>
      </c>
      <c r="L53">
        <v>7942381.0241689496</v>
      </c>
      <c r="M53">
        <v>81939.588995240047</v>
      </c>
      <c r="N53">
        <v>1239937.0802385844</v>
      </c>
      <c r="O53">
        <v>3590381.7511360832</v>
      </c>
      <c r="P53">
        <v>3727369.1195344767</v>
      </c>
      <c r="Q53">
        <v>136987.3683983935</v>
      </c>
      <c r="R53">
        <v>2803000.4107553922</v>
      </c>
      <c r="S53">
        <v>3426078.0025463384</v>
      </c>
      <c r="T53">
        <v>11889653.018410988</v>
      </c>
      <c r="U53">
        <v>488183.60000000009</v>
      </c>
      <c r="W53">
        <v>1586190.1</v>
      </c>
      <c r="X53">
        <v>1065327.6000000001</v>
      </c>
      <c r="Y53">
        <v>170781.09999999998</v>
      </c>
      <c r="Z53">
        <v>27771.199999999997</v>
      </c>
      <c r="AA53">
        <v>656987.59999999986</v>
      </c>
      <c r="AB53">
        <v>1634818.9</v>
      </c>
      <c r="AC53">
        <v>960541.5</v>
      </c>
      <c r="AD53">
        <v>310152.59999999998</v>
      </c>
      <c r="AE53">
        <v>157620</v>
      </c>
      <c r="AF53">
        <v>1128828.3999999999</v>
      </c>
      <c r="AG53">
        <v>533508.10000000009</v>
      </c>
      <c r="AH53">
        <v>191070.40000000002</v>
      </c>
      <c r="AI53">
        <v>448603.39999999997</v>
      </c>
      <c r="AJ53">
        <v>156544.70000000004</v>
      </c>
      <c r="AK53">
        <v>649524.80000000005</v>
      </c>
      <c r="AL53">
        <v>9516929.200000003</v>
      </c>
      <c r="AN53">
        <v>137336.70000000001</v>
      </c>
      <c r="AO53">
        <v>800993.7</v>
      </c>
      <c r="AP53">
        <v>450472.4</v>
      </c>
      <c r="AQ53">
        <v>293318.7</v>
      </c>
      <c r="AR53">
        <v>48943.3</v>
      </c>
      <c r="AS53">
        <v>8259.2999999999993</v>
      </c>
      <c r="AT53">
        <v>300714.40000000002</v>
      </c>
      <c r="AU53">
        <v>438322</v>
      </c>
      <c r="AV53">
        <v>377120.7</v>
      </c>
      <c r="AW53">
        <v>245539</v>
      </c>
      <c r="AX53">
        <v>140029.5</v>
      </c>
      <c r="AY53">
        <v>312825.40000000002</v>
      </c>
      <c r="AZ53">
        <v>22504.5</v>
      </c>
      <c r="BA53">
        <v>58058.5</v>
      </c>
      <c r="BB53">
        <v>202297.8</v>
      </c>
      <c r="BC53">
        <v>73617.700000000012</v>
      </c>
      <c r="BD53">
        <v>72711.600000000006</v>
      </c>
      <c r="BE53">
        <v>3109359.9</v>
      </c>
      <c r="BG53">
        <v>3182071.5</v>
      </c>
    </row>
    <row r="54" spans="1:59" ht="14" customHeight="1">
      <c r="A54" s="3">
        <v>41334</v>
      </c>
      <c r="B54" s="3">
        <v>41334</v>
      </c>
      <c r="C54">
        <v>3052310.2</v>
      </c>
      <c r="D54">
        <v>71580.399999999994</v>
      </c>
      <c r="E54">
        <v>821006</v>
      </c>
      <c r="F54">
        <v>1382212.5</v>
      </c>
      <c r="G54">
        <v>318393.7</v>
      </c>
      <c r="H54">
        <v>1700606.2</v>
      </c>
      <c r="I54">
        <v>3309503.2</v>
      </c>
      <c r="J54">
        <v>1954346.5</v>
      </c>
      <c r="K54">
        <v>6966935</v>
      </c>
      <c r="L54">
        <v>3585915.5764381317</v>
      </c>
      <c r="M54">
        <v>82837.630126458476</v>
      </c>
      <c r="N54">
        <v>970270.56849054666</v>
      </c>
      <c r="O54">
        <v>1632156.1758658106</v>
      </c>
      <c r="P54">
        <v>1985974.6101832637</v>
      </c>
      <c r="Q54">
        <v>353818.43431745307</v>
      </c>
      <c r="R54">
        <v>2831741.4250377296</v>
      </c>
      <c r="S54">
        <v>2277039.2606870034</v>
      </c>
      <c r="T54">
        <v>7778286.795427965</v>
      </c>
      <c r="U54">
        <v>134647.20000000001</v>
      </c>
      <c r="W54">
        <v>1347420.8</v>
      </c>
      <c r="X54">
        <v>777608.3</v>
      </c>
      <c r="Y54">
        <v>169352</v>
      </c>
      <c r="Z54">
        <v>22292.7</v>
      </c>
      <c r="AA54">
        <v>256581.6</v>
      </c>
      <c r="AB54">
        <v>892689</v>
      </c>
      <c r="AC54">
        <v>574442.19999999995</v>
      </c>
      <c r="AD54">
        <v>144267.5</v>
      </c>
      <c r="AE54">
        <v>193180.1</v>
      </c>
      <c r="AF54">
        <v>602442.1</v>
      </c>
      <c r="AG54">
        <v>402073.1</v>
      </c>
      <c r="AH54">
        <v>140975.5</v>
      </c>
      <c r="AI54">
        <v>560518.80000000005</v>
      </c>
      <c r="AJ54">
        <v>100157.79999999999</v>
      </c>
      <c r="AK54">
        <v>648286.30000000005</v>
      </c>
      <c r="AL54">
        <v>6318648.7000000002</v>
      </c>
      <c r="AN54">
        <v>128821.33240000001</v>
      </c>
      <c r="AO54">
        <v>759438.14399999985</v>
      </c>
      <c r="AP54">
        <v>421354.60529999994</v>
      </c>
      <c r="AQ54">
        <v>285089.06400000001</v>
      </c>
      <c r="AR54">
        <v>46657.635300000002</v>
      </c>
      <c r="AS54">
        <v>6347.6219999999994</v>
      </c>
      <c r="AT54">
        <v>258752.35949999999</v>
      </c>
      <c r="AU54">
        <v>409590.42200000002</v>
      </c>
      <c r="AV54">
        <v>283590.31679999997</v>
      </c>
      <c r="AW54">
        <v>135754.07069999998</v>
      </c>
      <c r="AX54">
        <v>70150.698000000004</v>
      </c>
      <c r="AY54">
        <v>225912.8751</v>
      </c>
      <c r="AZ54">
        <v>173439.97829999999</v>
      </c>
      <c r="BA54">
        <v>70162.854299999992</v>
      </c>
      <c r="BB54">
        <v>143525.73879999999</v>
      </c>
      <c r="BC54">
        <v>47835.525099999999</v>
      </c>
      <c r="BD54">
        <v>133684.9</v>
      </c>
      <c r="BE54">
        <v>2712551.0807999996</v>
      </c>
      <c r="BG54">
        <v>2843315.9637999996</v>
      </c>
    </row>
    <row r="55" spans="1:59" ht="14" customHeight="1">
      <c r="A55" s="3">
        <v>41426</v>
      </c>
      <c r="B55" s="3">
        <v>41426</v>
      </c>
      <c r="C55">
        <v>3424393.8</v>
      </c>
      <c r="D55">
        <v>82684.200000000012</v>
      </c>
      <c r="E55">
        <v>899504</v>
      </c>
      <c r="F55">
        <v>1176435.8999999999</v>
      </c>
      <c r="G55">
        <v>677600.2</v>
      </c>
      <c r="H55">
        <v>1854036.0999999999</v>
      </c>
      <c r="I55">
        <v>3577564.2</v>
      </c>
      <c r="J55">
        <v>2496743.2999999998</v>
      </c>
      <c r="K55">
        <v>7533057.1999999993</v>
      </c>
      <c r="L55">
        <v>4099736.9937405018</v>
      </c>
      <c r="M55">
        <v>100015.15400779023</v>
      </c>
      <c r="N55">
        <v>1037102.8905454003</v>
      </c>
      <c r="O55">
        <v>1236563.4520240289</v>
      </c>
      <c r="P55">
        <v>1950127.4469159152</v>
      </c>
      <c r="Q55">
        <v>713563.99489188637</v>
      </c>
      <c r="R55">
        <v>3161682.9398058932</v>
      </c>
      <c r="S55">
        <v>2711267.1735303984</v>
      </c>
      <c r="T55">
        <v>8064415.8812848683</v>
      </c>
      <c r="U55">
        <v>201307.2</v>
      </c>
      <c r="W55">
        <v>1206433.3</v>
      </c>
      <c r="X55">
        <v>760181</v>
      </c>
      <c r="Y55">
        <v>124633.20000000001</v>
      </c>
      <c r="Z55">
        <v>21945.999999999996</v>
      </c>
      <c r="AA55">
        <v>477741</v>
      </c>
      <c r="AB55">
        <v>1152162.3999999999</v>
      </c>
      <c r="AC55">
        <v>596206.1</v>
      </c>
      <c r="AD55">
        <v>188422.40000000002</v>
      </c>
      <c r="AE55">
        <v>316757.5</v>
      </c>
      <c r="AF55">
        <v>578661.20000000007</v>
      </c>
      <c r="AG55">
        <v>278618.80000000005</v>
      </c>
      <c r="AH55">
        <v>124613.5</v>
      </c>
      <c r="AI55">
        <v>556345.80000000005</v>
      </c>
      <c r="AJ55">
        <v>155535.9</v>
      </c>
      <c r="AK55">
        <v>793491.89999999991</v>
      </c>
      <c r="AL55">
        <v>6739565.2999999998</v>
      </c>
      <c r="AN55">
        <v>130164.78009999997</v>
      </c>
      <c r="AO55">
        <v>765692.37990000006</v>
      </c>
      <c r="AP55">
        <v>410627.57710000011</v>
      </c>
      <c r="AQ55">
        <v>301679.56680000003</v>
      </c>
      <c r="AR55">
        <v>48311.246699999996</v>
      </c>
      <c r="AS55">
        <v>4970.4087999999992</v>
      </c>
      <c r="AT55">
        <v>288011.88500000001</v>
      </c>
      <c r="AU55">
        <v>440191.8759000001</v>
      </c>
      <c r="AV55">
        <v>274188.83759999997</v>
      </c>
      <c r="AW55">
        <v>136239.9411</v>
      </c>
      <c r="AX55">
        <v>164731.45160000003</v>
      </c>
      <c r="AY55">
        <v>221089.86989999999</v>
      </c>
      <c r="AZ55">
        <v>115199.36730000001</v>
      </c>
      <c r="BA55">
        <v>75254.912999999986</v>
      </c>
      <c r="BB55">
        <v>162853.5098</v>
      </c>
      <c r="BC55">
        <v>98292.196100000016</v>
      </c>
      <c r="BD55">
        <v>142825</v>
      </c>
      <c r="BE55">
        <v>2855878.3825000012</v>
      </c>
      <c r="BG55">
        <v>3006865.2311000009</v>
      </c>
    </row>
    <row r="56" spans="1:59">
      <c r="A56" s="3">
        <v>41518</v>
      </c>
      <c r="B56" s="3">
        <v>41518</v>
      </c>
      <c r="C56">
        <v>4260153.5</v>
      </c>
      <c r="D56">
        <v>101587</v>
      </c>
      <c r="E56">
        <v>880518.20000000019</v>
      </c>
      <c r="F56">
        <v>2288947.3000000003</v>
      </c>
      <c r="G56">
        <v>480254.1</v>
      </c>
      <c r="H56">
        <v>2769201.4000000004</v>
      </c>
      <c r="I56">
        <v>3326059.7999999989</v>
      </c>
      <c r="J56">
        <v>2553060.5</v>
      </c>
      <c r="K56">
        <v>9268001.1999999993</v>
      </c>
      <c r="L56">
        <v>5013865.2752942722</v>
      </c>
      <c r="M56">
        <v>114433.17797004592</v>
      </c>
      <c r="N56">
        <v>952790.69256959716</v>
      </c>
      <c r="O56">
        <v>2385288.1073884438</v>
      </c>
      <c r="P56">
        <v>3020865.3626807504</v>
      </c>
      <c r="Q56">
        <v>635577.25529230665</v>
      </c>
      <c r="R56">
        <v>2859159.9011026816</v>
      </c>
      <c r="S56">
        <v>2159690.6990840808</v>
      </c>
      <c r="T56">
        <v>10226479.356464956</v>
      </c>
      <c r="U56">
        <v>742958.1</v>
      </c>
      <c r="W56">
        <v>1358297.7999999998</v>
      </c>
      <c r="X56">
        <v>943975.59999999986</v>
      </c>
      <c r="Y56">
        <v>112072.39999999997</v>
      </c>
      <c r="Z56">
        <v>24281</v>
      </c>
      <c r="AA56">
        <v>606847.29999999993</v>
      </c>
      <c r="AB56">
        <v>1663247.6</v>
      </c>
      <c r="AC56">
        <v>726537.99999999988</v>
      </c>
      <c r="AD56">
        <v>222002.90000000002</v>
      </c>
      <c r="AE56">
        <v>210445.09999999998</v>
      </c>
      <c r="AF56">
        <v>515787.09999999986</v>
      </c>
      <c r="AG56">
        <v>286061.09999999998</v>
      </c>
      <c r="AH56">
        <v>139227.09999999998</v>
      </c>
      <c r="AI56">
        <v>664413</v>
      </c>
      <c r="AJ56">
        <v>271540.8</v>
      </c>
      <c r="AK56">
        <v>780306.3</v>
      </c>
      <c r="AL56">
        <v>8487694.8999999985</v>
      </c>
      <c r="AN56">
        <v>149806.83890000003</v>
      </c>
      <c r="AO56">
        <v>641032.97980000032</v>
      </c>
      <c r="AP56">
        <v>344223.21719999984</v>
      </c>
      <c r="AQ56">
        <v>240366.98359999992</v>
      </c>
      <c r="AR56">
        <v>46949.737500000003</v>
      </c>
      <c r="AS56">
        <v>7217.9000000000033</v>
      </c>
      <c r="AT56">
        <v>324444.44799999997</v>
      </c>
      <c r="AU56">
        <v>462570.58949999977</v>
      </c>
      <c r="AV56">
        <v>327660.30619999993</v>
      </c>
      <c r="AW56">
        <v>122385.66339999996</v>
      </c>
      <c r="AX56">
        <v>73445.071599999996</v>
      </c>
      <c r="AY56">
        <v>220921.72979999997</v>
      </c>
      <c r="AZ56">
        <v>99774.293000000005</v>
      </c>
      <c r="BA56">
        <v>42921.997499999998</v>
      </c>
      <c r="BB56">
        <v>190568.19209999996</v>
      </c>
      <c r="BC56">
        <v>38349.731000000029</v>
      </c>
      <c r="BD56">
        <v>315373.5</v>
      </c>
      <c r="BE56">
        <v>2678167.8359000003</v>
      </c>
      <c r="BG56">
        <v>2997411.7394999992</v>
      </c>
    </row>
    <row r="57" spans="1:59">
      <c r="A57" s="3">
        <v>41609</v>
      </c>
      <c r="B57" s="3">
        <v>41609</v>
      </c>
      <c r="C57">
        <v>6879731.6999999993</v>
      </c>
      <c r="D57">
        <v>89844.9</v>
      </c>
      <c r="E57">
        <v>1061281</v>
      </c>
      <c r="F57">
        <v>3029778.5999999996</v>
      </c>
      <c r="G57">
        <v>-508803.9</v>
      </c>
      <c r="H57">
        <v>2520974.7000000002</v>
      </c>
      <c r="I57">
        <v>3688629.9000000004</v>
      </c>
      <c r="J57">
        <v>2640194.2999999998</v>
      </c>
      <c r="K57">
        <v>12231031.700000003</v>
      </c>
      <c r="L57">
        <v>8182659.7335740887</v>
      </c>
      <c r="M57">
        <v>97288.225824022549</v>
      </c>
      <c r="N57">
        <v>1269773.8927079816</v>
      </c>
      <c r="O57">
        <v>3345457.9989051716</v>
      </c>
      <c r="P57">
        <v>3001669.8682373175</v>
      </c>
      <c r="Q57">
        <v>-343788.1306678541</v>
      </c>
      <c r="R57">
        <v>3616396.7773413118</v>
      </c>
      <c r="S57">
        <v>3310495.7345663821</v>
      </c>
      <c r="T57">
        <v>12701779.101156477</v>
      </c>
      <c r="U57">
        <v>542320</v>
      </c>
      <c r="W57">
        <v>1565542.1</v>
      </c>
      <c r="X57">
        <v>1346722</v>
      </c>
      <c r="Y57">
        <v>174260</v>
      </c>
      <c r="Z57">
        <v>30978.400000000009</v>
      </c>
      <c r="AA57">
        <v>804078.60000000009</v>
      </c>
      <c r="AB57">
        <v>1707876.2999999998</v>
      </c>
      <c r="AC57">
        <v>1150532.2000000002</v>
      </c>
      <c r="AD57">
        <v>391468.6</v>
      </c>
      <c r="AE57">
        <v>266160.80000000005</v>
      </c>
      <c r="AF57">
        <v>1322462.6000000001</v>
      </c>
      <c r="AG57">
        <v>563304.10000000009</v>
      </c>
      <c r="AH57">
        <v>232292.5</v>
      </c>
      <c r="AI57">
        <v>537132.30000000005</v>
      </c>
      <c r="AJ57">
        <v>715561.60000000009</v>
      </c>
      <c r="AK57">
        <v>880339.60000000009</v>
      </c>
      <c r="AL57">
        <v>11350692.100000001</v>
      </c>
      <c r="AN57">
        <v>175213.65820000006</v>
      </c>
      <c r="AO57">
        <v>844117.99830000009</v>
      </c>
      <c r="AP57">
        <v>467376.46340000001</v>
      </c>
      <c r="AQ57">
        <v>320735.59750000027</v>
      </c>
      <c r="AR57">
        <v>49103.040699999983</v>
      </c>
      <c r="AS57">
        <v>7982.6348999999973</v>
      </c>
      <c r="AT57">
        <v>319739.00100000005</v>
      </c>
      <c r="AU57">
        <v>485531.46249999991</v>
      </c>
      <c r="AV57">
        <v>402329.25500000012</v>
      </c>
      <c r="AW57">
        <v>277317.92959999992</v>
      </c>
      <c r="AX57">
        <v>168844.14899999998</v>
      </c>
      <c r="AY57">
        <v>317123.18520000007</v>
      </c>
      <c r="AZ57">
        <v>10276.726000000024</v>
      </c>
      <c r="BA57">
        <v>46407.904399999999</v>
      </c>
      <c r="BB57">
        <v>206046.87600000008</v>
      </c>
      <c r="BC57">
        <v>65330.614699999976</v>
      </c>
      <c r="BD57">
        <v>90341.5</v>
      </c>
      <c r="BE57">
        <v>3306978.6335999994</v>
      </c>
      <c r="BG57">
        <v>3406509.3996000011</v>
      </c>
    </row>
    <row r="58" spans="1:59">
      <c r="A58" s="3">
        <v>41699</v>
      </c>
      <c r="B58" s="3">
        <v>41699</v>
      </c>
      <c r="C58">
        <v>3389519.7</v>
      </c>
      <c r="D58">
        <v>83225.399999999994</v>
      </c>
      <c r="E58">
        <v>925886.29999999993</v>
      </c>
      <c r="F58">
        <v>1490351.5</v>
      </c>
      <c r="G58">
        <v>370754.1</v>
      </c>
      <c r="H58">
        <v>1861105.6</v>
      </c>
      <c r="I58">
        <v>4188844.7</v>
      </c>
      <c r="J58">
        <v>1947339.8</v>
      </c>
      <c r="K58">
        <v>7933827.5</v>
      </c>
      <c r="L58">
        <v>3700664.8748841519</v>
      </c>
      <c r="M58">
        <v>91204.23076923078</v>
      </c>
      <c r="N58">
        <v>1004230.0383877158</v>
      </c>
      <c r="O58">
        <v>1679488.7049659193</v>
      </c>
      <c r="P58">
        <v>2063427.6199804109</v>
      </c>
      <c r="Q58">
        <v>383938.91501449165</v>
      </c>
      <c r="R58">
        <v>2806255.7522123898</v>
      </c>
      <c r="S58">
        <v>2181403.6117381491</v>
      </c>
      <c r="T58">
        <v>8081639.980449656</v>
      </c>
      <c r="U58">
        <v>161844.20000000001</v>
      </c>
      <c r="W58">
        <v>1490932.5</v>
      </c>
      <c r="X58">
        <v>887560.5</v>
      </c>
      <c r="Y58">
        <v>189751.2</v>
      </c>
      <c r="Z58">
        <v>25501.5</v>
      </c>
      <c r="AA58">
        <v>276758.09999999998</v>
      </c>
      <c r="AB58">
        <v>1082882.5</v>
      </c>
      <c r="AC58">
        <v>664964.80000000005</v>
      </c>
      <c r="AD58">
        <v>159612.6</v>
      </c>
      <c r="AE58">
        <v>234028.5</v>
      </c>
      <c r="AF58">
        <v>628977.4</v>
      </c>
      <c r="AG58">
        <v>428658.9</v>
      </c>
      <c r="AH58">
        <v>168755</v>
      </c>
      <c r="AI58">
        <v>613975.60000000009</v>
      </c>
      <c r="AJ58">
        <v>210260.5</v>
      </c>
      <c r="AK58">
        <v>709363.7</v>
      </c>
      <c r="AL58">
        <v>7224463.7999999998</v>
      </c>
      <c r="AN58">
        <v>132814.79370440001</v>
      </c>
      <c r="AO58">
        <v>748046.57183999987</v>
      </c>
      <c r="AP58">
        <v>417141.05924699991</v>
      </c>
      <c r="AQ58">
        <v>276536.39208000002</v>
      </c>
      <c r="AR58">
        <v>47404.157464800002</v>
      </c>
      <c r="AS58">
        <v>6347.6219999999994</v>
      </c>
      <c r="AT58">
        <v>268843.70152050001</v>
      </c>
      <c r="AU58">
        <v>460379.63432800001</v>
      </c>
      <c r="AV58">
        <v>299597.88579839998</v>
      </c>
      <c r="AW58">
        <v>150958.52661840001</v>
      </c>
      <c r="AX58">
        <v>74359.739880000008</v>
      </c>
      <c r="AY58">
        <v>225235.1364747</v>
      </c>
      <c r="AZ58">
        <v>175868.13799619998</v>
      </c>
      <c r="BA58">
        <v>74091.974140799983</v>
      </c>
      <c r="BB58">
        <v>144717.83993819999</v>
      </c>
      <c r="BC58">
        <v>54118.802687399992</v>
      </c>
      <c r="BD58">
        <v>149867.1</v>
      </c>
      <c r="BE58">
        <v>2793927.6132239997</v>
      </c>
      <c r="BG58">
        <v>2954205.2863881998</v>
      </c>
    </row>
    <row r="59" spans="1:59">
      <c r="A59" s="3">
        <v>41791</v>
      </c>
      <c r="B59" s="3">
        <v>41791</v>
      </c>
      <c r="C59">
        <v>3989617.0999999996</v>
      </c>
      <c r="D59">
        <v>85207.1</v>
      </c>
      <c r="E59">
        <v>1134950.1000000001</v>
      </c>
      <c r="F59">
        <v>1278751.2000000002</v>
      </c>
      <c r="G59">
        <v>546163.9</v>
      </c>
      <c r="H59">
        <v>1824915.1</v>
      </c>
      <c r="I59">
        <v>3933308.7</v>
      </c>
      <c r="J59">
        <v>2670256.2000000002</v>
      </c>
      <c r="K59">
        <v>8549124.6999999993</v>
      </c>
      <c r="L59">
        <v>4292413.7981016273</v>
      </c>
      <c r="M59">
        <v>92928.522853957664</v>
      </c>
      <c r="N59">
        <v>1231983.9949783292</v>
      </c>
      <c r="O59">
        <v>1332666.9043184118</v>
      </c>
      <c r="P59">
        <v>1876610.5391758669</v>
      </c>
      <c r="Q59">
        <v>543943.63485745504</v>
      </c>
      <c r="R59">
        <v>2965411.9111320185</v>
      </c>
      <c r="S59">
        <v>2387885.0820049904</v>
      </c>
      <c r="T59">
        <v>8458141.6140385419</v>
      </c>
      <c r="U59">
        <v>231650.09999999998</v>
      </c>
      <c r="W59">
        <v>1421174.5</v>
      </c>
      <c r="X59">
        <v>861773</v>
      </c>
      <c r="Y59">
        <v>137178.5</v>
      </c>
      <c r="Z59">
        <v>23248.199999999997</v>
      </c>
      <c r="AA59">
        <v>539685.70000000007</v>
      </c>
      <c r="AB59">
        <v>1445955.7000000002</v>
      </c>
      <c r="AC59">
        <v>678048.6</v>
      </c>
      <c r="AD59">
        <v>203548.30000000002</v>
      </c>
      <c r="AE59">
        <v>228187.8</v>
      </c>
      <c r="AF59">
        <v>614753.20000000007</v>
      </c>
      <c r="AG59">
        <v>320171.69999999995</v>
      </c>
      <c r="AH59">
        <v>143916.79999999999</v>
      </c>
      <c r="AI59">
        <v>634059.60000000009</v>
      </c>
      <c r="AJ59">
        <v>363133.30000000005</v>
      </c>
      <c r="AK59">
        <v>702639.7</v>
      </c>
      <c r="AL59">
        <v>7846485.0000000009</v>
      </c>
      <c r="AN59">
        <v>133681.9160581</v>
      </c>
      <c r="AO59">
        <v>763357.77734489995</v>
      </c>
      <c r="AP59">
        <v>409849.23005860019</v>
      </c>
      <c r="AQ59">
        <v>299670.40336560004</v>
      </c>
      <c r="AR59">
        <v>49084.226647199997</v>
      </c>
      <c r="AS59">
        <v>4449.7793831999988</v>
      </c>
      <c r="AT59">
        <v>300884.64124850009</v>
      </c>
      <c r="AU59">
        <v>470981.7641704001</v>
      </c>
      <c r="AV59">
        <v>292613.3797721999</v>
      </c>
      <c r="AW59">
        <v>145514.94624359999</v>
      </c>
      <c r="AX59">
        <v>175085.10299520002</v>
      </c>
      <c r="AY59">
        <v>226684.63872029993</v>
      </c>
      <c r="AZ59">
        <v>119121.27320700002</v>
      </c>
      <c r="BA59">
        <v>78451.263756900007</v>
      </c>
      <c r="BB59">
        <v>168848.12722259999</v>
      </c>
      <c r="BC59">
        <v>104776.05394340001</v>
      </c>
      <c r="BD59">
        <v>158242.29999999999</v>
      </c>
      <c r="BE59">
        <v>2958260.0223649014</v>
      </c>
      <c r="BG59">
        <v>3153383.8810874</v>
      </c>
    </row>
    <row r="60" spans="1:59">
      <c r="A60" s="3">
        <v>41883</v>
      </c>
      <c r="B60" s="3">
        <v>41883</v>
      </c>
      <c r="C60">
        <v>4964979.6000000006</v>
      </c>
      <c r="D60">
        <v>112961.90000000002</v>
      </c>
      <c r="E60">
        <v>986487.89999999991</v>
      </c>
      <c r="F60">
        <v>2438687.7000000002</v>
      </c>
      <c r="G60">
        <v>503481.69999999995</v>
      </c>
      <c r="H60">
        <v>2942169.4000000004</v>
      </c>
      <c r="I60">
        <v>3961503.2999999989</v>
      </c>
      <c r="J60">
        <v>2838613</v>
      </c>
      <c r="K60">
        <v>10558035.100000001</v>
      </c>
      <c r="L60">
        <v>5366814.100451719</v>
      </c>
      <c r="M60">
        <v>117017.92598846203</v>
      </c>
      <c r="N60">
        <v>1055488.50321932</v>
      </c>
      <c r="O60">
        <v>2467774.4586109184</v>
      </c>
      <c r="P60">
        <v>3107369.8370807907</v>
      </c>
      <c r="Q60">
        <v>639595.37846987229</v>
      </c>
      <c r="R60">
        <v>2815339.0746235074</v>
      </c>
      <c r="S60">
        <v>2400008.5112258065</v>
      </c>
      <c r="T60">
        <v>10598236.902049879</v>
      </c>
      <c r="U60">
        <v>759914.59999999986</v>
      </c>
      <c r="W60">
        <v>1553285.9000000004</v>
      </c>
      <c r="X60">
        <v>1108634.6000000001</v>
      </c>
      <c r="Y60">
        <v>128943.29999999999</v>
      </c>
      <c r="Z60">
        <v>27070.600000000006</v>
      </c>
      <c r="AA60">
        <v>644126.19999999995</v>
      </c>
      <c r="AB60">
        <v>1846699.2999999998</v>
      </c>
      <c r="AC60">
        <v>823301.6</v>
      </c>
      <c r="AD60">
        <v>239442.29999999993</v>
      </c>
      <c r="AE60">
        <v>287551.50000000006</v>
      </c>
      <c r="AF60">
        <v>603838.29999999981</v>
      </c>
      <c r="AG60">
        <v>326865.59999999998</v>
      </c>
      <c r="AH60">
        <v>170419.7</v>
      </c>
      <c r="AI60">
        <v>702811.7</v>
      </c>
      <c r="AJ60">
        <v>516437.00000000006</v>
      </c>
      <c r="AK60">
        <v>818692.89999999991</v>
      </c>
      <c r="AL60">
        <v>9739342.1999999993</v>
      </c>
      <c r="AN60">
        <v>148019.34295710002</v>
      </c>
      <c r="AO60">
        <v>656925.31801880035</v>
      </c>
      <c r="AP60">
        <v>348038.90489479993</v>
      </c>
      <c r="AQ60">
        <v>253410.2257976</v>
      </c>
      <c r="AR60">
        <v>47984.77053899999</v>
      </c>
      <c r="AS60">
        <v>6644.9094996000022</v>
      </c>
      <c r="AT60">
        <v>338942.32350849989</v>
      </c>
      <c r="AU60">
        <v>501727.95454239962</v>
      </c>
      <c r="AV60">
        <v>350322.11911020009</v>
      </c>
      <c r="AW60">
        <v>128273.43732839997</v>
      </c>
      <c r="AX60">
        <v>71832.121615200012</v>
      </c>
      <c r="AY60">
        <v>237378.28279859998</v>
      </c>
      <c r="AZ60">
        <v>104688.2229162</v>
      </c>
      <c r="BA60">
        <v>46720.233260699955</v>
      </c>
      <c r="BB60">
        <v>192867.58918179997</v>
      </c>
      <c r="BC60">
        <v>37776.547418400027</v>
      </c>
      <c r="BD60">
        <v>329557.90000000002</v>
      </c>
      <c r="BE60">
        <v>2799533.7636814993</v>
      </c>
      <c r="BG60">
        <v>3102755.077234799</v>
      </c>
    </row>
    <row r="61" spans="1:59">
      <c r="A61" s="3">
        <v>41974</v>
      </c>
      <c r="B61" s="3">
        <v>41974</v>
      </c>
      <c r="C61">
        <v>6461757.4999999981</v>
      </c>
      <c r="D61">
        <v>148569.09999999998</v>
      </c>
      <c r="E61">
        <v>1193893.7999999998</v>
      </c>
      <c r="F61">
        <v>3344696.6999999993</v>
      </c>
      <c r="G61">
        <v>259608.60000000009</v>
      </c>
      <c r="H61">
        <v>3604305.3</v>
      </c>
      <c r="I61">
        <v>3525513.5</v>
      </c>
      <c r="J61">
        <v>2712816.6999999993</v>
      </c>
      <c r="K61">
        <v>12634845.599999998</v>
      </c>
      <c r="L61">
        <v>7751988.7589790132</v>
      </c>
      <c r="M61">
        <v>155766.2300093408</v>
      </c>
      <c r="N61">
        <v>1352769.436070886</v>
      </c>
      <c r="O61">
        <v>3497912.1585922772</v>
      </c>
      <c r="P61">
        <v>3767672.0985496612</v>
      </c>
      <c r="Q61">
        <v>269759.93995738402</v>
      </c>
      <c r="R61">
        <v>3570249.7792375106</v>
      </c>
      <c r="S61">
        <v>3070855.9481842034</v>
      </c>
      <c r="T61">
        <v>13261323.005438235</v>
      </c>
      <c r="U61">
        <v>564377.10000000009</v>
      </c>
      <c r="W61">
        <v>1517379.0999999996</v>
      </c>
      <c r="X61">
        <v>1235881</v>
      </c>
      <c r="Y61">
        <v>181656.19999999995</v>
      </c>
      <c r="Z61">
        <v>28151.899999999994</v>
      </c>
      <c r="AA61">
        <v>897423.79999999981</v>
      </c>
      <c r="AB61">
        <v>1957211.5999999996</v>
      </c>
      <c r="AC61">
        <v>1344786.0000000002</v>
      </c>
      <c r="AD61">
        <v>402625.80000000005</v>
      </c>
      <c r="AE61">
        <v>449650.5</v>
      </c>
      <c r="AF61">
        <v>1435442</v>
      </c>
      <c r="AG61">
        <v>594946.80000000005</v>
      </c>
      <c r="AH61">
        <v>269833.40000000002</v>
      </c>
      <c r="AI61">
        <v>614140.69999999995</v>
      </c>
      <c r="AJ61">
        <v>347775.29999999987</v>
      </c>
      <c r="AK61">
        <v>793564.40000000037</v>
      </c>
      <c r="AL61">
        <v>11841281.200000003</v>
      </c>
      <c r="AN61">
        <v>177082.64280520007</v>
      </c>
      <c r="AO61">
        <v>866034.08681229968</v>
      </c>
      <c r="AP61">
        <v>470196.25066259992</v>
      </c>
      <c r="AQ61">
        <v>336620.13004720013</v>
      </c>
      <c r="AR61">
        <v>51515.068714199995</v>
      </c>
      <c r="AS61">
        <v>7670.7708351000001</v>
      </c>
      <c r="AT61">
        <v>337060.62112350005</v>
      </c>
      <c r="AU61">
        <v>510423.62920109998</v>
      </c>
      <c r="AV61">
        <v>436682.96945640002</v>
      </c>
      <c r="AW61">
        <v>301358.20059839985</v>
      </c>
      <c r="AX61">
        <v>179752.97421959997</v>
      </c>
      <c r="AY61">
        <v>339091.69904640014</v>
      </c>
      <c r="AZ61">
        <v>8581.2992310000118</v>
      </c>
      <c r="BA61">
        <v>52855.525562400057</v>
      </c>
      <c r="BB61">
        <v>214851.65557070012</v>
      </c>
      <c r="BC61">
        <v>62660.668312400005</v>
      </c>
      <c r="BD61">
        <v>91241.2</v>
      </c>
      <c r="BE61">
        <v>3452443.9949088003</v>
      </c>
      <c r="BG61">
        <v>3558430.3873176016</v>
      </c>
    </row>
    <row r="62" spans="1:59">
      <c r="A62" s="3">
        <v>42064</v>
      </c>
      <c r="B62" s="3">
        <v>42064</v>
      </c>
      <c r="C62">
        <v>3993017.4</v>
      </c>
      <c r="D62">
        <v>94852.4</v>
      </c>
      <c r="E62">
        <v>1046407.7</v>
      </c>
      <c r="F62">
        <v>1724834.9</v>
      </c>
      <c r="G62">
        <v>381924.7</v>
      </c>
      <c r="H62">
        <v>2106759.6</v>
      </c>
      <c r="I62">
        <v>2536855.2000000002</v>
      </c>
      <c r="J62">
        <v>1932723.6</v>
      </c>
      <c r="K62">
        <v>8267517.7000000002</v>
      </c>
      <c r="L62">
        <v>3993017.4</v>
      </c>
      <c r="M62">
        <v>94852.400000000023</v>
      </c>
      <c r="N62">
        <v>1046407.6999999998</v>
      </c>
      <c r="O62">
        <v>1724834.8999999992</v>
      </c>
      <c r="P62">
        <v>2106759.5999999996</v>
      </c>
      <c r="Q62">
        <v>381924.70000000042</v>
      </c>
      <c r="R62">
        <v>2536855.2000000007</v>
      </c>
      <c r="S62">
        <v>1932723.6</v>
      </c>
      <c r="T62">
        <v>8267517.6999999974</v>
      </c>
      <c r="U62">
        <v>179588.5</v>
      </c>
      <c r="W62">
        <v>1264490.2</v>
      </c>
      <c r="X62">
        <v>977723.6</v>
      </c>
      <c r="Y62">
        <v>204613.1</v>
      </c>
      <c r="Z62">
        <v>26911.1</v>
      </c>
      <c r="AA62">
        <v>294066.5</v>
      </c>
      <c r="AB62">
        <v>1319338.3</v>
      </c>
      <c r="AC62">
        <v>816295.6</v>
      </c>
      <c r="AD62">
        <v>165251.9</v>
      </c>
      <c r="AE62">
        <v>269626.09999999998</v>
      </c>
      <c r="AF62">
        <v>709939.6</v>
      </c>
      <c r="AG62">
        <v>501888.5</v>
      </c>
      <c r="AH62">
        <v>191458.6</v>
      </c>
      <c r="AI62">
        <v>688826.8</v>
      </c>
      <c r="AJ62">
        <v>256097.5</v>
      </c>
      <c r="AK62">
        <v>401401.8</v>
      </c>
      <c r="AL62">
        <v>7866115.9000000004</v>
      </c>
      <c r="AN62">
        <v>136267.97834071441</v>
      </c>
      <c r="AO62">
        <v>754778.99098656001</v>
      </c>
      <c r="AP62">
        <v>422563.89301721088</v>
      </c>
      <c r="AQ62">
        <v>279578.29239288002</v>
      </c>
      <c r="AR62">
        <v>46408.670158039204</v>
      </c>
      <c r="AS62">
        <v>5681.1216899999999</v>
      </c>
      <c r="AT62">
        <v>273951.7318493895</v>
      </c>
      <c r="AU62">
        <v>473270.26408918406</v>
      </c>
      <c r="AV62">
        <v>322466.39107915678</v>
      </c>
      <c r="AW62">
        <v>158355.49442270162</v>
      </c>
      <c r="AX62">
        <v>77259.76973532002</v>
      </c>
      <c r="AY62">
        <v>230866.01488656751</v>
      </c>
      <c r="AZ62">
        <v>182375.25910205938</v>
      </c>
      <c r="BA62">
        <v>74684.70993392638</v>
      </c>
      <c r="BB62">
        <v>148964.6489952642</v>
      </c>
      <c r="BC62">
        <v>63017.210761302587</v>
      </c>
      <c r="BD62">
        <v>149453.6</v>
      </c>
      <c r="BE62">
        <v>2877745.4416207196</v>
      </c>
      <c r="BG62">
        <v>3022152.0079751285</v>
      </c>
    </row>
    <row r="63" spans="1:59">
      <c r="A63" s="3">
        <v>42156</v>
      </c>
      <c r="B63" s="3">
        <v>42156</v>
      </c>
      <c r="C63">
        <v>4439680.5999999996</v>
      </c>
      <c r="D63">
        <v>95725</v>
      </c>
      <c r="E63">
        <v>1232294.4000000001</v>
      </c>
      <c r="F63">
        <v>1389734</v>
      </c>
      <c r="G63">
        <v>612966.19999999995</v>
      </c>
      <c r="H63">
        <v>2002700.1999999997</v>
      </c>
      <c r="I63">
        <v>2674960.7000000002</v>
      </c>
      <c r="J63">
        <v>2229898.4</v>
      </c>
      <c r="K63">
        <v>8536900.4000000022</v>
      </c>
      <c r="L63">
        <v>4439680.5999999959</v>
      </c>
      <c r="M63">
        <v>95725</v>
      </c>
      <c r="N63">
        <v>1232294.4000000004</v>
      </c>
      <c r="O63">
        <v>1389733.9999999998</v>
      </c>
      <c r="P63">
        <v>2002700.1999999979</v>
      </c>
      <c r="Q63">
        <v>612966.19999999809</v>
      </c>
      <c r="R63">
        <v>2674960.6999999997</v>
      </c>
      <c r="S63">
        <v>2229898.4</v>
      </c>
      <c r="T63">
        <v>8536900.4000000115</v>
      </c>
      <c r="U63">
        <v>255580.40000000002</v>
      </c>
      <c r="W63">
        <v>1315280.7</v>
      </c>
      <c r="X63">
        <v>794929.9</v>
      </c>
      <c r="Y63">
        <v>152820.1</v>
      </c>
      <c r="Z63">
        <v>23387.700000000004</v>
      </c>
      <c r="AA63">
        <v>599098.30000000005</v>
      </c>
      <c r="AB63">
        <v>1466108.5999999999</v>
      </c>
      <c r="AC63">
        <v>707605.10000000009</v>
      </c>
      <c r="AD63">
        <v>212685.30000000002</v>
      </c>
      <c r="AE63">
        <v>262033.90000000002</v>
      </c>
      <c r="AF63">
        <v>776092.6</v>
      </c>
      <c r="AG63">
        <v>348418.9</v>
      </c>
      <c r="AH63">
        <v>162170.30000000002</v>
      </c>
      <c r="AI63">
        <v>662768.09999999986</v>
      </c>
      <c r="AJ63">
        <v>355846.69999999995</v>
      </c>
      <c r="AK63">
        <v>442073.8</v>
      </c>
      <c r="AL63">
        <v>8094826.5999999996</v>
      </c>
      <c r="AN63">
        <v>137424.14258537313</v>
      </c>
      <c r="AO63">
        <v>770227.99734100397</v>
      </c>
      <c r="AP63">
        <v>415177.27004936198</v>
      </c>
      <c r="AQ63">
        <v>302390.57100717601</v>
      </c>
      <c r="AR63">
        <v>48632.388192280785</v>
      </c>
      <c r="AS63">
        <v>3917.7681396648004</v>
      </c>
      <c r="AT63">
        <v>324832.75640082953</v>
      </c>
      <c r="AU63">
        <v>486963.33776266634</v>
      </c>
      <c r="AV63">
        <v>307782.39618400316</v>
      </c>
      <c r="AW63">
        <v>146122.76220657237</v>
      </c>
      <c r="AX63">
        <v>179917.8632690112</v>
      </c>
      <c r="AY63">
        <v>230092.15581233244</v>
      </c>
      <c r="AZ63">
        <v>119103.91914761104</v>
      </c>
      <c r="BA63">
        <v>80146.6765322391</v>
      </c>
      <c r="BB63">
        <v>173742.6708527646</v>
      </c>
      <c r="BC63">
        <v>98657.731638629411</v>
      </c>
      <c r="BD63">
        <v>144880.70000000001</v>
      </c>
      <c r="BE63">
        <v>3018246.8848579032</v>
      </c>
      <c r="BG63">
        <v>3183158.5861800807</v>
      </c>
    </row>
    <row r="64" spans="1:59">
      <c r="A64" s="3">
        <v>42248</v>
      </c>
      <c r="B64" s="3">
        <v>42248</v>
      </c>
      <c r="C64">
        <v>5247832.1999999993</v>
      </c>
      <c r="D64">
        <v>119607.80000000002</v>
      </c>
      <c r="E64">
        <v>1095292.9999999995</v>
      </c>
      <c r="F64">
        <v>2535239.0000000005</v>
      </c>
      <c r="G64">
        <v>846695.9</v>
      </c>
      <c r="H64">
        <v>3381934.9000000004</v>
      </c>
      <c r="I64">
        <v>2817035.3999999994</v>
      </c>
      <c r="J64">
        <v>2569719.0999999996</v>
      </c>
      <c r="K64">
        <v>10632118.599999998</v>
      </c>
      <c r="L64">
        <v>5247832.200000003</v>
      </c>
      <c r="M64">
        <v>119607.79999999999</v>
      </c>
      <c r="N64">
        <v>1095292.9999999986</v>
      </c>
      <c r="O64">
        <v>2535239.0000000033</v>
      </c>
      <c r="P64">
        <v>3381934.9000000064</v>
      </c>
      <c r="Q64">
        <v>846695.90000000317</v>
      </c>
      <c r="R64">
        <v>2817035.4000000004</v>
      </c>
      <c r="S64">
        <v>2569719.1000000015</v>
      </c>
      <c r="T64">
        <v>10632118.599999987</v>
      </c>
      <c r="U64">
        <v>884813.9</v>
      </c>
      <c r="W64">
        <v>1307191.6000000001</v>
      </c>
      <c r="X64">
        <v>1065031.2999999998</v>
      </c>
      <c r="Y64">
        <v>140895.89999999997</v>
      </c>
      <c r="Z64">
        <v>26617.699999999997</v>
      </c>
      <c r="AA64">
        <v>752993.8</v>
      </c>
      <c r="AB64">
        <v>1757046.4</v>
      </c>
      <c r="AC64">
        <v>848383.60000000021</v>
      </c>
      <c r="AD64">
        <v>252168.89999999997</v>
      </c>
      <c r="AE64">
        <v>417883.19999999995</v>
      </c>
      <c r="AF64">
        <v>703055.8</v>
      </c>
      <c r="AG64">
        <v>357583.79999999993</v>
      </c>
      <c r="AH64">
        <v>164967.19999999995</v>
      </c>
      <c r="AI64">
        <v>739547.60000000009</v>
      </c>
      <c r="AJ64">
        <v>602294</v>
      </c>
      <c r="AK64">
        <v>611643.9</v>
      </c>
      <c r="AL64">
        <v>10020474.699999999</v>
      </c>
      <c r="AN64">
        <v>152844.89732238092</v>
      </c>
      <c r="AO64">
        <v>630312.70087291417</v>
      </c>
      <c r="AP64">
        <v>322012.65160922206</v>
      </c>
      <c r="AQ64">
        <v>255114.71103433287</v>
      </c>
      <c r="AR64">
        <v>46976.052671612983</v>
      </c>
      <c r="AS64">
        <v>6046.8630322068002</v>
      </c>
      <c r="AT64">
        <v>350776.35800976842</v>
      </c>
      <c r="AU64">
        <v>487186.64471935725</v>
      </c>
      <c r="AV64">
        <v>366846.60229444812</v>
      </c>
      <c r="AW64">
        <v>130887.32631588599</v>
      </c>
      <c r="AX64">
        <v>74058.917385271227</v>
      </c>
      <c r="AY64">
        <v>242125.84845457197</v>
      </c>
      <c r="AZ64">
        <v>107391.04145447572</v>
      </c>
      <c r="BA64">
        <v>45029.875105709652</v>
      </c>
      <c r="BB64">
        <v>200684.82042529376</v>
      </c>
      <c r="BC64">
        <v>37836.920179618435</v>
      </c>
      <c r="BD64">
        <v>324384.7</v>
      </c>
      <c r="BE64">
        <v>2792556.6151801031</v>
      </c>
      <c r="BG64">
        <v>3106347.4372470025</v>
      </c>
    </row>
    <row r="65" spans="1:59">
      <c r="A65" s="3">
        <v>42339</v>
      </c>
      <c r="B65" s="3">
        <v>42339</v>
      </c>
      <c r="C65">
        <v>7811365.1999999993</v>
      </c>
      <c r="D65">
        <v>159982.29999999999</v>
      </c>
      <c r="E65">
        <v>1381944.2000000011</v>
      </c>
      <c r="F65">
        <v>3705103.6999999993</v>
      </c>
      <c r="G65">
        <v>213411.09999999986</v>
      </c>
      <c r="H65">
        <v>3918514.8</v>
      </c>
      <c r="I65">
        <v>3629957.7</v>
      </c>
      <c r="J65">
        <v>3297771.9000000004</v>
      </c>
      <c r="K65">
        <v>13447596.900000002</v>
      </c>
      <c r="L65">
        <v>7811365.2000000104</v>
      </c>
      <c r="M65">
        <v>159982.30000000005</v>
      </c>
      <c r="N65">
        <v>1381944.200000002</v>
      </c>
      <c r="O65">
        <v>3705103.7000000011</v>
      </c>
      <c r="P65">
        <v>3918514.7999999961</v>
      </c>
      <c r="Q65">
        <v>213411.09999999497</v>
      </c>
      <c r="R65">
        <v>3629957.7000000048</v>
      </c>
      <c r="S65">
        <v>3297771.8999999948</v>
      </c>
      <c r="T65">
        <v>13447596.900000036</v>
      </c>
      <c r="U65">
        <v>605883.69999999995</v>
      </c>
      <c r="W65">
        <v>1283605.2000000002</v>
      </c>
      <c r="X65">
        <v>1363327.2999999998</v>
      </c>
      <c r="Y65">
        <v>195260.30000000005</v>
      </c>
      <c r="Z65">
        <v>24890.699999999997</v>
      </c>
      <c r="AA65">
        <v>801577.5</v>
      </c>
      <c r="AB65">
        <v>2451522.5</v>
      </c>
      <c r="AC65">
        <v>1568446.1999999997</v>
      </c>
      <c r="AD65">
        <v>441708.4</v>
      </c>
      <c r="AE65">
        <v>481160.69999999995</v>
      </c>
      <c r="AF65">
        <v>1496492.4</v>
      </c>
      <c r="AG65">
        <v>656517.69999999995</v>
      </c>
      <c r="AH65">
        <v>327884.20000000007</v>
      </c>
      <c r="AI65">
        <v>645569.89999999991</v>
      </c>
      <c r="AJ65">
        <v>458636.50000000006</v>
      </c>
      <c r="AK65">
        <v>645113.70000000019</v>
      </c>
      <c r="AL65">
        <v>12802483.199999999</v>
      </c>
      <c r="AN65">
        <v>185767.63161969959</v>
      </c>
      <c r="AO65">
        <v>836562.9722592975</v>
      </c>
      <c r="AP65">
        <v>444340.99406563002</v>
      </c>
      <c r="AQ65">
        <v>331486.0511585921</v>
      </c>
      <c r="AR65">
        <v>51031.288992788992</v>
      </c>
      <c r="AS65">
        <v>6981.1337659562978</v>
      </c>
      <c r="AT65">
        <v>350982.6177866566</v>
      </c>
      <c r="AU65">
        <v>505810.30058190157</v>
      </c>
      <c r="AV65">
        <v>459385.74182228022</v>
      </c>
      <c r="AW65">
        <v>321235.94249676936</v>
      </c>
      <c r="AX65">
        <v>179813.98709459754</v>
      </c>
      <c r="AY65">
        <v>355129.04084068828</v>
      </c>
      <c r="AZ65">
        <v>18576.883513722685</v>
      </c>
      <c r="BA65">
        <v>62594.614014477644</v>
      </c>
      <c r="BB65">
        <v>219239.20694996702</v>
      </c>
      <c r="BC65">
        <v>78568.22813465439</v>
      </c>
      <c r="BD65">
        <v>52914.8</v>
      </c>
      <c r="BE65">
        <v>3543695.5950098801</v>
      </c>
      <c r="BG65">
        <v>3610341.8962101247</v>
      </c>
    </row>
    <row r="66" spans="1:59">
      <c r="A66" s="3">
        <v>42430</v>
      </c>
      <c r="B66" s="3">
        <v>42430</v>
      </c>
      <c r="C66">
        <v>4695098.9000000004</v>
      </c>
      <c r="D66">
        <v>106589.1</v>
      </c>
      <c r="E66">
        <v>1352304</v>
      </c>
      <c r="F66">
        <v>1858148.5</v>
      </c>
      <c r="G66">
        <v>385560.5</v>
      </c>
      <c r="H66">
        <v>2243709</v>
      </c>
      <c r="I66">
        <v>3578443.6</v>
      </c>
      <c r="J66">
        <v>2950272.7</v>
      </c>
      <c r="K66">
        <v>9309090.9000000004</v>
      </c>
      <c r="L66">
        <v>4048919.6436000001</v>
      </c>
      <c r="M66">
        <v>98836.200800000021</v>
      </c>
      <c r="N66">
        <v>1072567.8924999998</v>
      </c>
      <c r="O66">
        <v>1783479.2865999993</v>
      </c>
      <c r="P66">
        <v>2142574.5131999995</v>
      </c>
      <c r="Q66">
        <v>359095.22660000017</v>
      </c>
      <c r="R66">
        <v>2303464.5216000006</v>
      </c>
      <c r="S66">
        <v>1845751.0380000002</v>
      </c>
      <c r="T66">
        <v>8259250.1822999977</v>
      </c>
      <c r="U66">
        <v>193406.6</v>
      </c>
      <c r="W66">
        <v>1279625.3999999999</v>
      </c>
      <c r="X66">
        <v>1145831</v>
      </c>
      <c r="Y66">
        <v>222948.3</v>
      </c>
      <c r="Z66">
        <v>27531.1</v>
      </c>
      <c r="AA66">
        <v>320996.40000000002</v>
      </c>
      <c r="AB66">
        <v>1399703.7</v>
      </c>
      <c r="AC66">
        <v>921098.20000000007</v>
      </c>
      <c r="AD66">
        <v>167322.6</v>
      </c>
      <c r="AE66">
        <v>385184.2</v>
      </c>
      <c r="AF66">
        <v>782689.8</v>
      </c>
      <c r="AG66">
        <v>564312.30000000005</v>
      </c>
      <c r="AH66">
        <v>215734.39999999999</v>
      </c>
      <c r="AI66">
        <v>787672.3</v>
      </c>
      <c r="AJ66">
        <v>294609.60000000003</v>
      </c>
      <c r="AK66">
        <v>600425</v>
      </c>
      <c r="AL66">
        <v>8708665.9000000004</v>
      </c>
      <c r="AN66">
        <v>139810.94577757298</v>
      </c>
      <c r="AO66">
        <v>749495.5380496541</v>
      </c>
      <c r="AP66">
        <v>416647.99851496989</v>
      </c>
      <c r="AQ66">
        <v>280417.02727005864</v>
      </c>
      <c r="AR66">
        <v>46083.809466932929</v>
      </c>
      <c r="AS66">
        <v>5306.1676584600009</v>
      </c>
      <c r="AT66">
        <v>290388.8357603529</v>
      </c>
      <c r="AU66">
        <v>444400.77797974384</v>
      </c>
      <c r="AV66">
        <v>333825.86392645916</v>
      </c>
      <c r="AW66">
        <v>152654.69662348437</v>
      </c>
      <c r="AX66">
        <v>77877.847893202576</v>
      </c>
      <c r="AY66">
        <v>234329.00510986603</v>
      </c>
      <c r="AZ66">
        <v>182740.0096202635</v>
      </c>
      <c r="BA66">
        <v>76402.458262406682</v>
      </c>
      <c r="BB66">
        <v>152250.87009128218</v>
      </c>
      <c r="BC66">
        <v>63461.229888929898</v>
      </c>
      <c r="BD66">
        <v>154670.20000000001</v>
      </c>
      <c r="BE66">
        <v>2871989.9507374782</v>
      </c>
      <c r="BG66">
        <v>3019129.8559671533</v>
      </c>
    </row>
    <row r="67" spans="1:59">
      <c r="A67" s="3">
        <v>42522</v>
      </c>
      <c r="B67" s="3">
        <v>42522</v>
      </c>
      <c r="C67">
        <v>5441168.1999999993</v>
      </c>
      <c r="D67">
        <v>112145.60000000001</v>
      </c>
      <c r="E67">
        <v>1292817.2000000002</v>
      </c>
      <c r="F67">
        <v>1680433</v>
      </c>
      <c r="G67">
        <v>641238.5</v>
      </c>
      <c r="H67">
        <v>2321671.5</v>
      </c>
      <c r="I67">
        <v>3460583.4999999995</v>
      </c>
      <c r="J67">
        <v>3118304.7</v>
      </c>
      <c r="K67">
        <v>10047965.999999998</v>
      </c>
      <c r="L67">
        <v>4484970.7323999964</v>
      </c>
      <c r="M67">
        <v>99936.027399999992</v>
      </c>
      <c r="N67">
        <v>1265380.4621000004</v>
      </c>
      <c r="O67">
        <v>1452557.8004999999</v>
      </c>
      <c r="P67">
        <v>2028527.1837999979</v>
      </c>
      <c r="Q67">
        <v>575969.38329999801</v>
      </c>
      <c r="R67">
        <v>2460135.2110000001</v>
      </c>
      <c r="S67">
        <v>2150366.0819999999</v>
      </c>
      <c r="T67">
        <v>8561972.3358000107</v>
      </c>
      <c r="U67">
        <v>287342.09999999998</v>
      </c>
      <c r="W67">
        <v>1435568.1</v>
      </c>
      <c r="X67">
        <v>1076373.6000000001</v>
      </c>
      <c r="Y67">
        <v>160362.20000000001</v>
      </c>
      <c r="Z67">
        <v>25413.800000000003</v>
      </c>
      <c r="AA67">
        <v>664007</v>
      </c>
      <c r="AB67">
        <v>1652081.7</v>
      </c>
      <c r="AC67">
        <v>879350</v>
      </c>
      <c r="AD67">
        <v>202096.4</v>
      </c>
      <c r="AE67">
        <v>410545.99999999994</v>
      </c>
      <c r="AF67">
        <v>861086.09999999986</v>
      </c>
      <c r="AG67">
        <v>415607.6</v>
      </c>
      <c r="AH67">
        <v>192316.19999999998</v>
      </c>
      <c r="AI67">
        <v>734237.3</v>
      </c>
      <c r="AJ67">
        <v>415538.19999999995</v>
      </c>
      <c r="AK67">
        <v>636039.69999999995</v>
      </c>
      <c r="AL67">
        <v>9411926.2999999989</v>
      </c>
      <c r="AN67">
        <v>140449.78605074069</v>
      </c>
      <c r="AO67">
        <v>751111.33846466895</v>
      </c>
      <c r="AP67">
        <v>395123.18849653919</v>
      </c>
      <c r="AQ67">
        <v>304461.68044699763</v>
      </c>
      <c r="AR67">
        <v>48196.9204165845</v>
      </c>
      <c r="AS67">
        <v>3630.3987729579276</v>
      </c>
      <c r="AT67">
        <v>347915.4287143806</v>
      </c>
      <c r="AU67">
        <v>471662.0781869216</v>
      </c>
      <c r="AV67">
        <v>321165.15086228307</v>
      </c>
      <c r="AW67">
        <v>139644.42974061868</v>
      </c>
      <c r="AX67">
        <v>180071.31801014161</v>
      </c>
      <c r="AY67">
        <v>234926.41266161413</v>
      </c>
      <c r="AZ67">
        <v>121151.00205540427</v>
      </c>
      <c r="BA67">
        <v>81525.555933082112</v>
      </c>
      <c r="BB67">
        <v>177588.07149250567</v>
      </c>
      <c r="BC67">
        <v>100188.0788455029</v>
      </c>
      <c r="BD67">
        <v>148458.6</v>
      </c>
      <c r="BE67">
        <v>3018106.3834146662</v>
      </c>
      <c r="BG67">
        <v>3192386.0487822103</v>
      </c>
    </row>
    <row r="68" spans="1:59">
      <c r="A68" s="3">
        <v>42614</v>
      </c>
      <c r="B68" s="3">
        <v>42614</v>
      </c>
      <c r="C68">
        <v>5949500.0999999996</v>
      </c>
      <c r="D68">
        <v>139654.39999999997</v>
      </c>
      <c r="E68">
        <v>1209659.0999999996</v>
      </c>
      <c r="F68">
        <v>2855188.2</v>
      </c>
      <c r="G68">
        <v>853468.39999999991</v>
      </c>
      <c r="H68">
        <v>3708656.5999999996</v>
      </c>
      <c r="I68">
        <v>3910585.3000000007</v>
      </c>
      <c r="J68">
        <v>3596562.7999999989</v>
      </c>
      <c r="K68">
        <v>11998069.200000003</v>
      </c>
      <c r="L68">
        <v>5283445.126000002</v>
      </c>
      <c r="M68">
        <v>124130.565</v>
      </c>
      <c r="N68">
        <v>1127144.6130999983</v>
      </c>
      <c r="O68">
        <v>2639763.1289000036</v>
      </c>
      <c r="P68">
        <v>3417681.1341000064</v>
      </c>
      <c r="Q68">
        <v>777918.00520000281</v>
      </c>
      <c r="R68">
        <v>2847751.2997999992</v>
      </c>
      <c r="S68">
        <v>2594844.8169000018</v>
      </c>
      <c r="T68">
        <v>10725060.328699991</v>
      </c>
      <c r="U68">
        <v>975887.5</v>
      </c>
      <c r="W68">
        <v>1476256.1</v>
      </c>
      <c r="X68">
        <v>1286125.2999999998</v>
      </c>
      <c r="Y68">
        <v>162170.19999999995</v>
      </c>
      <c r="Z68">
        <v>29403.200000000004</v>
      </c>
      <c r="AA68">
        <v>851466.79999999993</v>
      </c>
      <c r="AB68">
        <v>1993051.4</v>
      </c>
      <c r="AC68">
        <v>938891.20000000007</v>
      </c>
      <c r="AD68">
        <v>228688.69999999995</v>
      </c>
      <c r="AE68">
        <v>430711.10000000009</v>
      </c>
      <c r="AF68">
        <v>788672.89999999991</v>
      </c>
      <c r="AG68">
        <v>405536.79999999993</v>
      </c>
      <c r="AH68">
        <v>203525.20000000007</v>
      </c>
      <c r="AI68">
        <v>887631.50000000012</v>
      </c>
      <c r="AJ68">
        <v>593211.5</v>
      </c>
      <c r="AK68">
        <v>746839.8</v>
      </c>
      <c r="AL68">
        <v>11251229.400000002</v>
      </c>
      <c r="AN68">
        <v>165896.98925958434</v>
      </c>
      <c r="AO68">
        <v>611606.4189021457</v>
      </c>
      <c r="AP68">
        <v>299272.96744790243</v>
      </c>
      <c r="AQ68">
        <v>257227.36816393898</v>
      </c>
      <c r="AR68">
        <v>48020.415360459418</v>
      </c>
      <c r="AS68">
        <v>5864.3157759126043</v>
      </c>
      <c r="AT68">
        <v>376776.28017719311</v>
      </c>
      <c r="AU68">
        <v>489382.203253977</v>
      </c>
      <c r="AV68">
        <v>377643.5389351403</v>
      </c>
      <c r="AW68">
        <v>126957.930012086</v>
      </c>
      <c r="AX68">
        <v>76268.513439764676</v>
      </c>
      <c r="AY68">
        <v>247890.2817650612</v>
      </c>
      <c r="AZ68">
        <v>107023.55912699905</v>
      </c>
      <c r="BA68">
        <v>45930.472607823845</v>
      </c>
      <c r="BB68">
        <v>202002.14150844264</v>
      </c>
      <c r="BC68">
        <v>37948.186529697814</v>
      </c>
      <c r="BD68">
        <v>334686.2</v>
      </c>
      <c r="BE68">
        <v>2824518.254331558</v>
      </c>
      <c r="BG68">
        <v>3137388.7587784585</v>
      </c>
    </row>
    <row r="69" spans="1:59">
      <c r="A69" s="3">
        <v>42705</v>
      </c>
      <c r="B69" s="3">
        <v>42705</v>
      </c>
      <c r="C69">
        <v>9001672.9000000022</v>
      </c>
      <c r="D69">
        <v>174263.70000000007</v>
      </c>
      <c r="E69">
        <v>1608365.2999999998</v>
      </c>
      <c r="F69">
        <v>4277729.9999999991</v>
      </c>
      <c r="G69">
        <v>519168.60000000009</v>
      </c>
      <c r="H69">
        <v>4796898.5999999996</v>
      </c>
      <c r="I69">
        <v>4007828.2999999989</v>
      </c>
      <c r="J69">
        <v>3706469.6000000015</v>
      </c>
      <c r="K69">
        <v>15616023.899999999</v>
      </c>
      <c r="L69">
        <v>7932462.6428000126</v>
      </c>
      <c r="M69">
        <v>161839.89929999999</v>
      </c>
      <c r="N69">
        <v>1400232.9362000017</v>
      </c>
      <c r="O69">
        <v>3759758.7319999998</v>
      </c>
      <c r="P69">
        <v>4106374.406399997</v>
      </c>
      <c r="Q69">
        <v>346615.67439999711</v>
      </c>
      <c r="R69">
        <v>3522811.5626000045</v>
      </c>
      <c r="S69">
        <v>3238548.8030999945</v>
      </c>
      <c r="T69">
        <v>13787576.222800031</v>
      </c>
      <c r="U69">
        <v>683371.40000000014</v>
      </c>
      <c r="W69">
        <v>1856277.6999999997</v>
      </c>
      <c r="X69">
        <v>1813567.0000000005</v>
      </c>
      <c r="Y69">
        <v>230054.10000000009</v>
      </c>
      <c r="Z69">
        <v>35007.799999999988</v>
      </c>
      <c r="AA69">
        <v>922290.2</v>
      </c>
      <c r="AB69">
        <v>2854012.9000000004</v>
      </c>
      <c r="AC69">
        <v>1665439.7999999998</v>
      </c>
      <c r="AD69">
        <v>380309.70000000007</v>
      </c>
      <c r="AE69">
        <v>442317.09999999986</v>
      </c>
      <c r="AF69">
        <v>1668728</v>
      </c>
      <c r="AG69">
        <v>950510.40000000014</v>
      </c>
      <c r="AH69">
        <v>393738.5</v>
      </c>
      <c r="AI69">
        <v>660750.69999999995</v>
      </c>
      <c r="AJ69">
        <v>409388.60000000009</v>
      </c>
      <c r="AK69">
        <v>650260</v>
      </c>
      <c r="AL69">
        <v>14965763.899999999</v>
      </c>
      <c r="AN69">
        <v>199211.37987315119</v>
      </c>
      <c r="AO69">
        <v>867701.83539746795</v>
      </c>
      <c r="AP69">
        <v>457760.56848970195</v>
      </c>
      <c r="AQ69">
        <v>347497.80297265924</v>
      </c>
      <c r="AR69">
        <v>51712.496770818718</v>
      </c>
      <c r="AS69">
        <v>6853.0482955007665</v>
      </c>
      <c r="AT69">
        <v>381703.13573416893</v>
      </c>
      <c r="AU69">
        <v>512627.33788371086</v>
      </c>
      <c r="AV69">
        <v>471288.33969065372</v>
      </c>
      <c r="AW69">
        <v>343397.28126927564</v>
      </c>
      <c r="AX69">
        <v>180410.21190348058</v>
      </c>
      <c r="AY69">
        <v>368580.90001746698</v>
      </c>
      <c r="AZ69">
        <v>19952.109240944905</v>
      </c>
      <c r="BA69">
        <v>61746.859290076391</v>
      </c>
      <c r="BB69">
        <v>223965.58456464164</v>
      </c>
      <c r="BC69">
        <v>81024.463506425265</v>
      </c>
      <c r="BD69">
        <v>29112.5</v>
      </c>
      <c r="BE69">
        <v>3664416.8826249279</v>
      </c>
      <c r="BG69">
        <v>3715237.2632882502</v>
      </c>
    </row>
    <row r="70" spans="1:59">
      <c r="A70" s="3">
        <v>42795</v>
      </c>
      <c r="B70" s="3">
        <v>42795</v>
      </c>
      <c r="C70">
        <v>5238806.2</v>
      </c>
      <c r="D70">
        <v>119752</v>
      </c>
      <c r="E70">
        <v>1235233.7000000002</v>
      </c>
      <c r="F70">
        <v>2005978.7</v>
      </c>
      <c r="G70">
        <v>422460.5</v>
      </c>
      <c r="H70">
        <v>2428439.2000000002</v>
      </c>
      <c r="I70">
        <v>4023647.3</v>
      </c>
      <c r="J70">
        <v>2931913.9</v>
      </c>
      <c r="K70">
        <v>10431358</v>
      </c>
      <c r="L70">
        <v>4154191.5543335997</v>
      </c>
      <c r="M70">
        <v>102295.46782800002</v>
      </c>
      <c r="N70">
        <v>1056479.3741124999</v>
      </c>
      <c r="O70">
        <v>1836983.6651979992</v>
      </c>
      <c r="P70">
        <v>2196138.8760299995</v>
      </c>
      <c r="Q70">
        <v>359155.21083200024</v>
      </c>
      <c r="R70">
        <v>2192898.2245632005</v>
      </c>
      <c r="S70">
        <v>1664867.4362760002</v>
      </c>
      <c r="T70">
        <v>8556583.1888627969</v>
      </c>
      <c r="U70">
        <v>214414.1</v>
      </c>
      <c r="W70">
        <v>1534890.6</v>
      </c>
      <c r="X70">
        <v>1337369</v>
      </c>
      <c r="Y70">
        <v>256585.4</v>
      </c>
      <c r="Z70">
        <v>31553.599999999999</v>
      </c>
      <c r="AA70">
        <v>365684</v>
      </c>
      <c r="AB70">
        <v>1550590.6</v>
      </c>
      <c r="AC70">
        <v>1020748.4</v>
      </c>
      <c r="AD70">
        <v>176290</v>
      </c>
      <c r="AE70">
        <v>376387.9</v>
      </c>
      <c r="AF70">
        <v>854400.2</v>
      </c>
      <c r="AG70">
        <v>576005.4</v>
      </c>
      <c r="AH70">
        <v>251375.1</v>
      </c>
      <c r="AI70">
        <v>805939.3</v>
      </c>
      <c r="AJ70">
        <v>328463.5</v>
      </c>
      <c r="AK70">
        <v>750660.9</v>
      </c>
      <c r="AL70">
        <v>9680697.0999999996</v>
      </c>
      <c r="AN70">
        <v>143446.03036778988</v>
      </c>
      <c r="AO70">
        <v>796713.75694678235</v>
      </c>
      <c r="AP70">
        <v>441646.87842586805</v>
      </c>
      <c r="AQ70">
        <v>300887.47026077291</v>
      </c>
      <c r="AR70">
        <v>47834.994226676383</v>
      </c>
      <c r="AS70">
        <v>5279.6368201677014</v>
      </c>
      <c r="AT70">
        <v>311006.44309933792</v>
      </c>
      <c r="AU70">
        <v>456843.99976317666</v>
      </c>
      <c r="AV70">
        <v>344653.26763041009</v>
      </c>
      <c r="AW70">
        <v>155249.82646608361</v>
      </c>
      <c r="AX70">
        <v>78033.60358898899</v>
      </c>
      <c r="AY70">
        <v>237609.61118140418</v>
      </c>
      <c r="AZ70">
        <v>180729.86951444062</v>
      </c>
      <c r="BA70">
        <v>76784.470553718711</v>
      </c>
      <c r="BB70">
        <v>156634.30602594541</v>
      </c>
      <c r="BC70">
        <v>66217.520402740833</v>
      </c>
      <c r="BD70">
        <v>161460</v>
      </c>
      <c r="BE70">
        <v>2975381.5889640274</v>
      </c>
      <c r="BG70">
        <v>3127818.5307819708</v>
      </c>
    </row>
    <row r="71" spans="1:59">
      <c r="A71" s="3">
        <v>42887</v>
      </c>
      <c r="B71" s="3">
        <v>42887</v>
      </c>
      <c r="C71">
        <v>5704173.1000000006</v>
      </c>
      <c r="D71">
        <v>123720.79999999999</v>
      </c>
      <c r="E71">
        <v>1474962.5</v>
      </c>
      <c r="F71">
        <v>1829186.4000000001</v>
      </c>
      <c r="G71">
        <v>702556.3</v>
      </c>
      <c r="H71">
        <v>2531742.7000000002</v>
      </c>
      <c r="I71">
        <v>4442712.1000000006</v>
      </c>
      <c r="J71">
        <v>3443493.9</v>
      </c>
      <c r="K71">
        <v>11114911.699999999</v>
      </c>
      <c r="L71">
        <v>4541842.7388103977</v>
      </c>
      <c r="M71">
        <v>104030.10504359999</v>
      </c>
      <c r="N71">
        <v>1281468.9804875003</v>
      </c>
      <c r="O71">
        <v>1512314.7199504999</v>
      </c>
      <c r="P71">
        <v>2091753.6684859977</v>
      </c>
      <c r="Q71">
        <v>579438.94853549777</v>
      </c>
      <c r="R71">
        <v>2584992.3072345997</v>
      </c>
      <c r="S71">
        <v>2055517.6024439994</v>
      </c>
      <c r="T71">
        <v>8987951.8975155093</v>
      </c>
      <c r="U71">
        <v>307733.40000000002</v>
      </c>
      <c r="W71">
        <v>1703925.9</v>
      </c>
      <c r="X71">
        <v>1223388.2999999998</v>
      </c>
      <c r="Y71">
        <v>167289.4</v>
      </c>
      <c r="Z71">
        <v>28947.300000000003</v>
      </c>
      <c r="AA71">
        <v>681801.4</v>
      </c>
      <c r="AB71">
        <v>1766396.2999999998</v>
      </c>
      <c r="AC71">
        <v>941145.89999999991</v>
      </c>
      <c r="AD71">
        <v>211174.7</v>
      </c>
      <c r="AE71">
        <v>463095.29999999993</v>
      </c>
      <c r="AF71">
        <v>928775.2</v>
      </c>
      <c r="AG71">
        <v>444500.4</v>
      </c>
      <c r="AH71">
        <v>246150.19999999998</v>
      </c>
      <c r="AI71">
        <v>823034</v>
      </c>
      <c r="AJ71">
        <v>421958.7</v>
      </c>
      <c r="AK71">
        <v>755595.29999999993</v>
      </c>
      <c r="AL71">
        <v>10359316.4</v>
      </c>
      <c r="AN71">
        <v>144662.00195171658</v>
      </c>
      <c r="AO71">
        <v>825442.27656520088</v>
      </c>
      <c r="AP71">
        <v>449677.8849127689</v>
      </c>
      <c r="AQ71">
        <v>323762.98958104319</v>
      </c>
      <c r="AR71">
        <v>51254.052880900432</v>
      </c>
      <c r="AS71">
        <v>3719.4855762701518</v>
      </c>
      <c r="AT71">
        <v>364957.77297940484</v>
      </c>
      <c r="AU71">
        <v>481204.36495148879</v>
      </c>
      <c r="AV71">
        <v>334323.15685725986</v>
      </c>
      <c r="AW71">
        <v>144356.77805712205</v>
      </c>
      <c r="AX71">
        <v>181979.15564158192</v>
      </c>
      <c r="AY71">
        <v>241500.17036327699</v>
      </c>
      <c r="AZ71">
        <v>125592.27025463249</v>
      </c>
      <c r="BA71">
        <v>83038.679812115966</v>
      </c>
      <c r="BB71">
        <v>182786.96050849828</v>
      </c>
      <c r="BC71">
        <v>101978.87425547026</v>
      </c>
      <c r="BD71">
        <v>158010.29999999999</v>
      </c>
      <c r="BE71">
        <v>3167988.8875566591</v>
      </c>
      <c r="BG71">
        <v>3350792.557871615</v>
      </c>
    </row>
    <row r="72" spans="1:59">
      <c r="A72" s="3">
        <v>42979</v>
      </c>
      <c r="B72" s="3">
        <v>42979</v>
      </c>
      <c r="C72">
        <v>6408945.6999999993</v>
      </c>
      <c r="D72">
        <v>154335.40000000002</v>
      </c>
      <c r="E72">
        <v>1335258.0999999996</v>
      </c>
      <c r="F72">
        <v>3110971.6</v>
      </c>
      <c r="G72">
        <v>863392.8</v>
      </c>
      <c r="H72">
        <v>3974364.4000000004</v>
      </c>
      <c r="I72">
        <v>4516305.1999999993</v>
      </c>
      <c r="J72">
        <v>3700012.1000000006</v>
      </c>
      <c r="K72">
        <v>13595795.500000004</v>
      </c>
      <c r="L72">
        <v>5314743.9058840014</v>
      </c>
      <c r="M72">
        <v>129170.4292632</v>
      </c>
      <c r="N72">
        <v>1189516.2865185984</v>
      </c>
      <c r="O72">
        <v>2755658.0392755046</v>
      </c>
      <c r="P72">
        <v>3490609.8573615067</v>
      </c>
      <c r="Q72">
        <v>734951.81808600202</v>
      </c>
      <c r="R72">
        <v>2894351.3088614</v>
      </c>
      <c r="S72">
        <v>2442164.3722815029</v>
      </c>
      <c r="T72">
        <v>11186237.922834091</v>
      </c>
      <c r="U72">
        <v>1046075.6000000001</v>
      </c>
      <c r="W72">
        <v>1662535.5999999996</v>
      </c>
      <c r="X72">
        <v>1478344.4000000004</v>
      </c>
      <c r="Y72">
        <v>205425.7</v>
      </c>
      <c r="Z72">
        <v>37990.200000000004</v>
      </c>
      <c r="AA72">
        <v>905369.29999999993</v>
      </c>
      <c r="AB72">
        <v>2119362.3000000003</v>
      </c>
      <c r="AC72">
        <v>1063931.6000000003</v>
      </c>
      <c r="AD72">
        <v>241695.7</v>
      </c>
      <c r="AE72">
        <v>590287.5</v>
      </c>
      <c r="AF72">
        <v>911508.60000000009</v>
      </c>
      <c r="AG72">
        <v>418770.69999999995</v>
      </c>
      <c r="AH72">
        <v>265581.7</v>
      </c>
      <c r="AI72">
        <v>1203217</v>
      </c>
      <c r="AJ72">
        <v>689526.79999999993</v>
      </c>
      <c r="AK72">
        <v>756172.80000000005</v>
      </c>
      <c r="AL72">
        <v>12839622.699999999</v>
      </c>
      <c r="AN72">
        <v>166080.52774797368</v>
      </c>
      <c r="AO72">
        <v>671707.60531030176</v>
      </c>
      <c r="AP72">
        <v>346378.42472914758</v>
      </c>
      <c r="AQ72">
        <v>267981.98059203883</v>
      </c>
      <c r="AR72">
        <v>50611.757689086851</v>
      </c>
      <c r="AS72">
        <v>5890.5651041366618</v>
      </c>
      <c r="AT72">
        <v>374644.14763600135</v>
      </c>
      <c r="AU72">
        <v>509560.04648859624</v>
      </c>
      <c r="AV72">
        <v>402093.0034433938</v>
      </c>
      <c r="AW72">
        <v>132228.16354426905</v>
      </c>
      <c r="AX72">
        <v>74204.920112537919</v>
      </c>
      <c r="AY72">
        <v>255247.41478073713</v>
      </c>
      <c r="AZ72">
        <v>98017.797900751117</v>
      </c>
      <c r="BA72">
        <v>46889.355252724374</v>
      </c>
      <c r="BB72">
        <v>207064.99916971038</v>
      </c>
      <c r="BC72">
        <v>39705.794003856659</v>
      </c>
      <c r="BD72">
        <v>351452.6</v>
      </c>
      <c r="BE72">
        <v>2945972.5392678147</v>
      </c>
      <c r="BG72">
        <v>3272296.4754059324</v>
      </c>
    </row>
    <row r="73" spans="1:59">
      <c r="A73" s="3">
        <v>43070</v>
      </c>
      <c r="B73" s="3">
        <v>43070</v>
      </c>
      <c r="C73">
        <v>10634689.699999999</v>
      </c>
      <c r="D73">
        <v>212322.60000000003</v>
      </c>
      <c r="E73">
        <v>1683870.5</v>
      </c>
      <c r="F73">
        <v>4852738.3999999994</v>
      </c>
      <c r="G73">
        <v>542894.19999999972</v>
      </c>
      <c r="H73">
        <v>5395632.5999999978</v>
      </c>
      <c r="I73">
        <v>4634863.0999999996</v>
      </c>
      <c r="J73">
        <v>3208049</v>
      </c>
      <c r="K73">
        <v>19236792.599999994</v>
      </c>
      <c r="L73">
        <v>8065266.9179440159</v>
      </c>
      <c r="M73">
        <v>167666.91268020001</v>
      </c>
      <c r="N73">
        <v>1440033.1067633019</v>
      </c>
      <c r="O73">
        <v>3964202.676235998</v>
      </c>
      <c r="P73">
        <v>4279204.7099849954</v>
      </c>
      <c r="Q73">
        <v>315002.03374899738</v>
      </c>
      <c r="R73">
        <v>4352653.7619408043</v>
      </c>
      <c r="S73">
        <v>3765256.4363984941</v>
      </c>
      <c r="T73">
        <v>14297774.282241233</v>
      </c>
      <c r="U73">
        <v>888061.5</v>
      </c>
      <c r="W73">
        <v>2520342.3000000007</v>
      </c>
      <c r="X73">
        <v>2094918.7999999998</v>
      </c>
      <c r="Y73">
        <v>274222.19999999995</v>
      </c>
      <c r="Z73">
        <v>43243.399999999994</v>
      </c>
      <c r="AA73">
        <v>1024261.5000000002</v>
      </c>
      <c r="AB73">
        <v>3704812.7</v>
      </c>
      <c r="AC73">
        <v>2073315.9</v>
      </c>
      <c r="AD73">
        <v>460101.4</v>
      </c>
      <c r="AE73">
        <v>590750.90000000014</v>
      </c>
      <c r="AF73">
        <v>1820679.5</v>
      </c>
      <c r="AG73">
        <v>1018122.3999999999</v>
      </c>
      <c r="AH73">
        <v>477660.30000000005</v>
      </c>
      <c r="AI73">
        <v>687147.3</v>
      </c>
      <c r="AJ73">
        <v>638583</v>
      </c>
      <c r="AK73">
        <v>920569.5</v>
      </c>
      <c r="AL73">
        <v>18316223.099999998</v>
      </c>
      <c r="AN73">
        <v>211832.35212432261</v>
      </c>
      <c r="AO73">
        <v>915504.95706432499</v>
      </c>
      <c r="AP73">
        <v>480137.98356149462</v>
      </c>
      <c r="AQ73">
        <v>369537.27502987254</v>
      </c>
      <c r="AR73">
        <v>54789.573886930884</v>
      </c>
      <c r="AS73">
        <v>7197.3216123134134</v>
      </c>
      <c r="AT73">
        <v>385285.25972216204</v>
      </c>
      <c r="AU73">
        <v>531842.30281483103</v>
      </c>
      <c r="AV73">
        <v>493185.14163094253</v>
      </c>
      <c r="AW73">
        <v>355224.50838264485</v>
      </c>
      <c r="AX73">
        <v>184012.60714220669</v>
      </c>
      <c r="AY73">
        <v>373083.93521967018</v>
      </c>
      <c r="AZ73">
        <v>17478.542092871678</v>
      </c>
      <c r="BA73">
        <v>62345.709974044032</v>
      </c>
      <c r="BB73">
        <v>231050.13150471126</v>
      </c>
      <c r="BC73">
        <v>82443.461528168031</v>
      </c>
      <c r="BD73">
        <v>37966.199999999997</v>
      </c>
      <c r="BE73">
        <v>3784849.7141644731</v>
      </c>
      <c r="BG73">
        <v>3848864.1817560121</v>
      </c>
    </row>
    <row r="74" spans="1:59">
      <c r="A74" s="3">
        <v>43160</v>
      </c>
      <c r="B74" s="3">
        <v>43160</v>
      </c>
      <c r="C74">
        <v>5792503.2000000002</v>
      </c>
      <c r="D74">
        <v>132240.79999999999</v>
      </c>
      <c r="E74">
        <v>1050768.8</v>
      </c>
      <c r="F74">
        <v>2179870.1</v>
      </c>
      <c r="G74">
        <v>461010</v>
      </c>
      <c r="H74">
        <v>2640880.1</v>
      </c>
      <c r="I74">
        <v>5046638</v>
      </c>
      <c r="J74">
        <v>3251148.7</v>
      </c>
      <c r="K74">
        <v>11786166.699999999</v>
      </c>
      <c r="L74">
        <v>4316205.02495261</v>
      </c>
      <c r="M74">
        <v>105875.80920198002</v>
      </c>
      <c r="N74">
        <v>883216.75675804983</v>
      </c>
      <c r="O74">
        <v>1895767.1424843352</v>
      </c>
      <c r="P74">
        <v>2255434.6256828099</v>
      </c>
      <c r="Q74">
        <v>359667.48319847463</v>
      </c>
      <c r="R74">
        <v>2427538.3345914627</v>
      </c>
      <c r="S74">
        <v>1711483.7244917282</v>
      </c>
      <c r="T74">
        <v>8907403.0996061713</v>
      </c>
      <c r="U74">
        <v>238092.5</v>
      </c>
      <c r="W74">
        <v>1882800.2</v>
      </c>
      <c r="X74">
        <v>1518777.7</v>
      </c>
      <c r="Y74">
        <v>276591.40000000002</v>
      </c>
      <c r="Z74">
        <v>36218.300000000003</v>
      </c>
      <c r="AA74">
        <v>393425.4</v>
      </c>
      <c r="AB74">
        <v>1726118</v>
      </c>
      <c r="AC74">
        <v>1093734.5</v>
      </c>
      <c r="AD74">
        <v>190716.1</v>
      </c>
      <c r="AE74">
        <v>450305.8</v>
      </c>
      <c r="AF74">
        <v>949332.1</v>
      </c>
      <c r="AG74">
        <v>649979.30000000005</v>
      </c>
      <c r="AH74">
        <v>290163.09999999998</v>
      </c>
      <c r="AI74">
        <v>845320.29999999993</v>
      </c>
      <c r="AJ74">
        <v>378267.8</v>
      </c>
      <c r="AK74">
        <v>866324.2</v>
      </c>
      <c r="AL74">
        <v>10919842.5</v>
      </c>
      <c r="AN74">
        <v>148323.19540029473</v>
      </c>
      <c r="AO74">
        <v>839736.29982190859</v>
      </c>
      <c r="AP74">
        <v>464612.51610401319</v>
      </c>
      <c r="AQ74">
        <v>318940.71847641928</v>
      </c>
      <c r="AR74">
        <v>49796.228989970114</v>
      </c>
      <c r="AS74">
        <v>5184.6033574046833</v>
      </c>
      <c r="AT74">
        <v>329355.82324219885</v>
      </c>
      <c r="AU74">
        <v>484711.48374873045</v>
      </c>
      <c r="AV74">
        <v>360362.9974330184</v>
      </c>
      <c r="AW74">
        <v>165030.56553344688</v>
      </c>
      <c r="AX74">
        <v>80608.712507425618</v>
      </c>
      <c r="AY74">
        <v>243074.63223857648</v>
      </c>
      <c r="AZ74">
        <v>185971.03573035941</v>
      </c>
      <c r="BA74">
        <v>78320.159964793085</v>
      </c>
      <c r="BB74">
        <v>159949.42725544801</v>
      </c>
      <c r="BC74">
        <v>67823.148994361822</v>
      </c>
      <c r="BD74">
        <v>161861.79999999999</v>
      </c>
      <c r="BE74">
        <v>3106298.3788784444</v>
      </c>
      <c r="BG74">
        <v>3256059.0905440315</v>
      </c>
    </row>
    <row r="75" spans="1:59">
      <c r="A75" s="3">
        <v>43252</v>
      </c>
      <c r="B75" s="3">
        <v>43252</v>
      </c>
      <c r="C75">
        <v>6412119.2000000002</v>
      </c>
      <c r="D75">
        <v>146656.10000000003</v>
      </c>
      <c r="E75">
        <v>1315297.6000000003</v>
      </c>
      <c r="F75">
        <v>2113021.1</v>
      </c>
      <c r="G75">
        <v>758279.8</v>
      </c>
      <c r="H75">
        <v>2871300.9</v>
      </c>
      <c r="I75">
        <v>5715026.4000000004</v>
      </c>
      <c r="J75">
        <v>3812871.8</v>
      </c>
      <c r="K75">
        <v>13070952.5</v>
      </c>
      <c r="L75">
        <v>4771150.8113828665</v>
      </c>
      <c r="M75">
        <v>109528.08887597041</v>
      </c>
      <c r="N75">
        <v>1097025.4995881503</v>
      </c>
      <c r="O75">
        <v>1631044.0570770344</v>
      </c>
      <c r="P75">
        <v>2203973.6206138269</v>
      </c>
      <c r="Q75">
        <v>572929.56353679253</v>
      </c>
      <c r="R75">
        <v>2775584.4545363416</v>
      </c>
      <c r="S75">
        <v>2109351.710273711</v>
      </c>
      <c r="T75">
        <v>9374002.4604000263</v>
      </c>
      <c r="U75">
        <v>367971.30000000005</v>
      </c>
      <c r="W75">
        <v>2307030.0999999996</v>
      </c>
      <c r="X75">
        <v>1473602.5999999999</v>
      </c>
      <c r="Y75">
        <v>202153.39999999997</v>
      </c>
      <c r="Z75">
        <v>37352</v>
      </c>
      <c r="AA75">
        <v>749720.20000000007</v>
      </c>
      <c r="AB75">
        <v>1998316.4</v>
      </c>
      <c r="AC75">
        <v>1102096.9000000001</v>
      </c>
      <c r="AD75">
        <v>225225.1</v>
      </c>
      <c r="AE75">
        <v>506489.60000000003</v>
      </c>
      <c r="AF75">
        <v>941421.4</v>
      </c>
      <c r="AG75">
        <v>501552.80000000005</v>
      </c>
      <c r="AH75">
        <v>281207.20000000007</v>
      </c>
      <c r="AI75">
        <v>881125.10000000009</v>
      </c>
      <c r="AJ75">
        <v>503690.49999999994</v>
      </c>
      <c r="AK75">
        <v>991997.90000000014</v>
      </c>
      <c r="AL75">
        <v>12078954.600000001</v>
      </c>
      <c r="AN75">
        <v>151309.15821199201</v>
      </c>
      <c r="AO75">
        <v>866771.84743269789</v>
      </c>
      <c r="AP75">
        <v>476626.43398158741</v>
      </c>
      <c r="AQ75">
        <v>336942.26435748761</v>
      </c>
      <c r="AR75">
        <v>54445.448567200699</v>
      </c>
      <c r="AS75">
        <v>3634.5365911044119</v>
      </c>
      <c r="AT75">
        <v>372295.0330475361</v>
      </c>
      <c r="AU75">
        <v>508681.73448410031</v>
      </c>
      <c r="AV75">
        <v>351157.90046971367</v>
      </c>
      <c r="AW75">
        <v>152852.04186567428</v>
      </c>
      <c r="AX75">
        <v>184344.28914852615</v>
      </c>
      <c r="AY75">
        <v>245138.23515545367</v>
      </c>
      <c r="AZ75">
        <v>127702.83539317144</v>
      </c>
      <c r="BA75">
        <v>84699.453408358284</v>
      </c>
      <c r="BB75">
        <v>188348.36157830947</v>
      </c>
      <c r="BC75">
        <v>104300.46762275731</v>
      </c>
      <c r="BD75">
        <v>169259.4</v>
      </c>
      <c r="BE75">
        <v>3295093.6576561108</v>
      </c>
      <c r="BG75">
        <v>3494653.6638330049</v>
      </c>
    </row>
    <row r="76" spans="1:59">
      <c r="A76" s="3">
        <v>43344</v>
      </c>
      <c r="B76" s="3">
        <v>43344</v>
      </c>
      <c r="C76">
        <v>7168530.7000000011</v>
      </c>
      <c r="D76">
        <v>167290</v>
      </c>
      <c r="E76">
        <v>1266368.8999999994</v>
      </c>
      <c r="F76">
        <v>3390574.5</v>
      </c>
      <c r="G76">
        <v>859221.2</v>
      </c>
      <c r="H76">
        <v>4249795.6999999993</v>
      </c>
      <c r="I76">
        <v>6347455.7999999989</v>
      </c>
      <c r="J76">
        <v>4365109.6999999993</v>
      </c>
      <c r="K76">
        <v>14909986.500000004</v>
      </c>
      <c r="L76">
        <v>5637972.0508429501</v>
      </c>
      <c r="M76">
        <v>136531.40816145475</v>
      </c>
      <c r="N76">
        <v>1056904.7996569132</v>
      </c>
      <c r="O76">
        <v>2858973.2203861382</v>
      </c>
      <c r="P76">
        <v>3536892.2228334369</v>
      </c>
      <c r="Q76">
        <v>677919.00244729873</v>
      </c>
      <c r="R76">
        <v>3151948.5753500648</v>
      </c>
      <c r="S76">
        <v>2569728.3044431191</v>
      </c>
      <c r="T76">
        <v>11627329.142583907</v>
      </c>
      <c r="U76">
        <v>3060614.0429012738</v>
      </c>
      <c r="W76">
        <v>2147635.4000000004</v>
      </c>
      <c r="X76">
        <v>1706374.2999999998</v>
      </c>
      <c r="Y76">
        <v>213047.2</v>
      </c>
      <c r="Z76">
        <v>36804.899999999994</v>
      </c>
      <c r="AA76">
        <v>979351.5</v>
      </c>
      <c r="AB76">
        <v>2351134.1</v>
      </c>
      <c r="AC76">
        <v>1196403</v>
      </c>
      <c r="AD76">
        <v>245822.3</v>
      </c>
      <c r="AE76">
        <v>478602.1</v>
      </c>
      <c r="AF76">
        <v>887092.60000000009</v>
      </c>
      <c r="AG76">
        <v>447878.59999999986</v>
      </c>
      <c r="AH76">
        <v>287991.69999999995</v>
      </c>
      <c r="AI76">
        <v>1047361.1999999998</v>
      </c>
      <c r="AJ76">
        <v>684569.39999999991</v>
      </c>
      <c r="AK76">
        <v>1147022.6000000001</v>
      </c>
      <c r="AL76">
        <v>13762963.899999999</v>
      </c>
      <c r="AN76">
        <v>163639.97765654302</v>
      </c>
      <c r="AO76">
        <v>697460.94623114844</v>
      </c>
      <c r="AP76">
        <v>358349.39738557301</v>
      </c>
      <c r="AQ76">
        <v>281381.07962164085</v>
      </c>
      <c r="AR76">
        <v>51447.159431359396</v>
      </c>
      <c r="AS76">
        <v>5847.2022395568019</v>
      </c>
      <c r="AT76">
        <v>395184.275428458</v>
      </c>
      <c r="AU76">
        <v>551204.95652104937</v>
      </c>
      <c r="AV76">
        <v>409445.08031426946</v>
      </c>
      <c r="AW76">
        <v>132952.89046332246</v>
      </c>
      <c r="AX76">
        <v>71938.41912190197</v>
      </c>
      <c r="AY76">
        <v>265971.97323217447</v>
      </c>
      <c r="AZ76">
        <v>102796.26467638806</v>
      </c>
      <c r="BA76">
        <v>49480.842402727314</v>
      </c>
      <c r="BB76">
        <v>210331.64324128252</v>
      </c>
      <c r="BC76">
        <v>41782.931121137342</v>
      </c>
      <c r="BD76">
        <v>365612</v>
      </c>
      <c r="BE76">
        <v>3060614.0429012738</v>
      </c>
      <c r="BG76">
        <v>3399982.019808921</v>
      </c>
    </row>
    <row r="77" spans="1:59">
      <c r="A77" s="3">
        <v>43435</v>
      </c>
      <c r="B77" s="3">
        <v>43435</v>
      </c>
      <c r="C77">
        <v>12141247.5</v>
      </c>
      <c r="D77">
        <v>246191.90000000002</v>
      </c>
      <c r="E77">
        <v>1511692.4000000004</v>
      </c>
      <c r="F77">
        <v>5407950.1000000006</v>
      </c>
      <c r="G77">
        <v>444582.89999999991</v>
      </c>
      <c r="H77">
        <v>5852533.0000000019</v>
      </c>
      <c r="I77">
        <v>6150615.4000000022</v>
      </c>
      <c r="J77">
        <v>4583822.4000000004</v>
      </c>
      <c r="K77">
        <v>22052430.699999996</v>
      </c>
      <c r="L77">
        <v>8697355.9819288757</v>
      </c>
      <c r="M77">
        <v>175882.59140152985</v>
      </c>
      <c r="N77">
        <v>1229933.5094274394</v>
      </c>
      <c r="O77">
        <v>4227109.2721481351</v>
      </c>
      <c r="P77">
        <v>4411080.1489764387</v>
      </c>
      <c r="Q77">
        <v>183970.87682830356</v>
      </c>
      <c r="R77">
        <v>4824214.2159717362</v>
      </c>
      <c r="S77">
        <v>4192477.2941198368</v>
      </c>
      <c r="T77">
        <v>14883983.027813118</v>
      </c>
      <c r="U77">
        <v>1058539.7000000002</v>
      </c>
      <c r="W77">
        <v>2867184.3</v>
      </c>
      <c r="X77">
        <v>2366367</v>
      </c>
      <c r="Y77">
        <v>303628.5</v>
      </c>
      <c r="Z77">
        <v>45713.599999999991</v>
      </c>
      <c r="AA77">
        <v>1163417.7999999998</v>
      </c>
      <c r="AB77">
        <v>4290937.5999999996</v>
      </c>
      <c r="AC77">
        <v>2377103.6</v>
      </c>
      <c r="AD77">
        <v>520918.10000000009</v>
      </c>
      <c r="AE77">
        <v>612605.30000000005</v>
      </c>
      <c r="AF77">
        <v>2015801.6</v>
      </c>
      <c r="AG77">
        <v>1143516.2</v>
      </c>
      <c r="AH77">
        <v>512070.80000000005</v>
      </c>
      <c r="AI77">
        <v>990415.70000000007</v>
      </c>
      <c r="AJ77">
        <v>676572.5</v>
      </c>
      <c r="AK77">
        <v>1107638.3999999999</v>
      </c>
      <c r="AL77">
        <v>20944792.299999997</v>
      </c>
      <c r="AN77">
        <v>228057.37558626151</v>
      </c>
      <c r="AO77">
        <v>946611.72061986616</v>
      </c>
      <c r="AP77">
        <v>497273.51805305225</v>
      </c>
      <c r="AQ77">
        <v>381703.29020404746</v>
      </c>
      <c r="AR77">
        <v>53504.820404787024</v>
      </c>
      <c r="AS77">
        <v>7464.8409430478059</v>
      </c>
      <c r="AT77">
        <v>405109.59839681094</v>
      </c>
      <c r="AU77">
        <v>581331.89210155187</v>
      </c>
      <c r="AV77">
        <v>522600.17114668305</v>
      </c>
      <c r="AW77">
        <v>368493.20892213081</v>
      </c>
      <c r="AX77">
        <v>160091.42396156391</v>
      </c>
      <c r="AY77">
        <v>386479.5248652366</v>
      </c>
      <c r="AZ77">
        <v>18002.898355657817</v>
      </c>
      <c r="BA77">
        <v>62207.982344169053</v>
      </c>
      <c r="BB77">
        <v>238582.15891384034</v>
      </c>
      <c r="BC77">
        <v>83728.525153256545</v>
      </c>
      <c r="BD77">
        <v>42638.131299999892</v>
      </c>
      <c r="BE77">
        <v>3940028.552445218</v>
      </c>
      <c r="BG77">
        <v>4006667.6132080089</v>
      </c>
    </row>
    <row r="78" spans="1:59">
      <c r="A78" s="3">
        <v>43525</v>
      </c>
      <c r="B78" s="3">
        <v>43525</v>
      </c>
      <c r="C78">
        <v>6396442.7000000002</v>
      </c>
      <c r="D78">
        <v>147889.20000000001</v>
      </c>
      <c r="E78">
        <v>1140647.3</v>
      </c>
      <c r="F78">
        <v>2375690.2999999998</v>
      </c>
      <c r="G78">
        <v>424624</v>
      </c>
      <c r="H78">
        <v>2800314.3</v>
      </c>
      <c r="I78">
        <v>5882332.9000000004</v>
      </c>
      <c r="J78">
        <v>3680504.8</v>
      </c>
      <c r="K78">
        <v>13180857.199999999</v>
      </c>
      <c r="L78">
        <v>4532015.2762002405</v>
      </c>
      <c r="M78">
        <v>111063.72385287705</v>
      </c>
      <c r="N78">
        <v>913246.12648782355</v>
      </c>
      <c r="O78">
        <v>1960223.2253288028</v>
      </c>
      <c r="P78">
        <v>2259945.4949341756</v>
      </c>
      <c r="Q78">
        <v>299722.2696053728</v>
      </c>
      <c r="R78">
        <v>2556197.8663248103</v>
      </c>
      <c r="S78">
        <v>1797057.9107163146</v>
      </c>
      <c r="T78">
        <v>9245884.4173912052</v>
      </c>
      <c r="U78">
        <v>274580.59999999998</v>
      </c>
      <c r="W78">
        <v>2125713.4</v>
      </c>
      <c r="X78">
        <v>1631421.7</v>
      </c>
      <c r="Y78">
        <v>265181.8</v>
      </c>
      <c r="Z78">
        <v>41823.1</v>
      </c>
      <c r="AA78">
        <v>444065.4</v>
      </c>
      <c r="AB78">
        <v>1941902.1</v>
      </c>
      <c r="AC78">
        <v>1226442.4000000001</v>
      </c>
      <c r="AD78">
        <v>208549.1</v>
      </c>
      <c r="AE78">
        <v>511343.6</v>
      </c>
      <c r="AF78">
        <v>1036448.9</v>
      </c>
      <c r="AG78">
        <v>713415.7</v>
      </c>
      <c r="AH78">
        <v>322876.2</v>
      </c>
      <c r="AI78">
        <v>933646.1</v>
      </c>
      <c r="AJ78">
        <v>418569.6</v>
      </c>
      <c r="AK78">
        <v>1084877.5</v>
      </c>
      <c r="AL78">
        <v>12095979.699999999</v>
      </c>
      <c r="AN78">
        <v>153514.50723930504</v>
      </c>
      <c r="AO78">
        <v>866607.86141620961</v>
      </c>
      <c r="AP78">
        <v>485984.69184479781</v>
      </c>
      <c r="AQ78">
        <v>325000.59212747129</v>
      </c>
      <c r="AR78">
        <v>49447.655387040322</v>
      </c>
      <c r="AS78">
        <v>5957.1092576579822</v>
      </c>
      <c r="AT78">
        <v>358668.49151075463</v>
      </c>
      <c r="AU78">
        <v>519610.71057863906</v>
      </c>
      <c r="AV78">
        <v>375880.60988814954</v>
      </c>
      <c r="AW78">
        <v>170146.51306498371</v>
      </c>
      <c r="AX78">
        <v>82382.104182588984</v>
      </c>
      <c r="AY78">
        <v>247449.97561887084</v>
      </c>
      <c r="AZ78">
        <v>189318.51437350587</v>
      </c>
      <c r="BA78">
        <v>80278.163963912913</v>
      </c>
      <c r="BB78">
        <v>163996.18060859665</v>
      </c>
      <c r="BC78">
        <v>68656.223912286499</v>
      </c>
      <c r="BD78">
        <v>168983.71919999999</v>
      </c>
      <c r="BE78">
        <v>3224337.7172758253</v>
      </c>
      <c r="BG78">
        <v>3379789.3359847046</v>
      </c>
    </row>
    <row r="79" spans="1:59">
      <c r="A79" s="3">
        <v>43617</v>
      </c>
      <c r="B79" s="3">
        <v>43617</v>
      </c>
      <c r="C79">
        <v>7210998.3999999994</v>
      </c>
      <c r="D79">
        <v>165245.5</v>
      </c>
      <c r="E79">
        <v>1681732.8</v>
      </c>
      <c r="F79">
        <v>3306682.8</v>
      </c>
      <c r="G79">
        <v>864242.60000000009</v>
      </c>
      <c r="H79">
        <v>4170925.3999999994</v>
      </c>
      <c r="I79">
        <v>6323155.5</v>
      </c>
      <c r="J79">
        <v>4896149.0000000009</v>
      </c>
      <c r="K79">
        <v>14727760.900000002</v>
      </c>
      <c r="L79">
        <v>5091494.554479029</v>
      </c>
      <c r="M79">
        <v>115541.1769251268</v>
      </c>
      <c r="N79">
        <v>1314526.4119016514</v>
      </c>
      <c r="O79">
        <v>1767616.2126075651</v>
      </c>
      <c r="P79">
        <v>2382298.4894606234</v>
      </c>
      <c r="Q79">
        <v>614682.27685305825</v>
      </c>
      <c r="R79">
        <v>2865456.0799463624</v>
      </c>
      <c r="S79">
        <v>2424965.2446994958</v>
      </c>
      <c r="T79">
        <v>9785058.7705752458</v>
      </c>
      <c r="U79">
        <v>404331.20000000007</v>
      </c>
      <c r="W79">
        <v>2658038.4</v>
      </c>
      <c r="X79">
        <v>1686607.7</v>
      </c>
      <c r="Y79">
        <v>203193.2</v>
      </c>
      <c r="Z79">
        <v>38683.9</v>
      </c>
      <c r="AA79">
        <v>857979.70000000007</v>
      </c>
      <c r="AB79">
        <v>2293002.3000000003</v>
      </c>
      <c r="AC79">
        <v>1251364.4000000001</v>
      </c>
      <c r="AD79">
        <v>242174.4</v>
      </c>
      <c r="AE79">
        <v>399889.6</v>
      </c>
      <c r="AF79">
        <v>1000218.7999999999</v>
      </c>
      <c r="AG79">
        <v>562791.10000000009</v>
      </c>
      <c r="AH79">
        <v>330350.10000000003</v>
      </c>
      <c r="AI79">
        <v>1005944.2000000001</v>
      </c>
      <c r="AJ79">
        <v>607576.30000000005</v>
      </c>
      <c r="AK79">
        <v>1185615.6000000001</v>
      </c>
      <c r="AL79">
        <v>13542145.300000001</v>
      </c>
      <c r="AN79">
        <v>156305.34639579945</v>
      </c>
      <c r="AO79">
        <v>884269.49766701635</v>
      </c>
      <c r="AP79">
        <v>474079.0372425149</v>
      </c>
      <c r="AQ79">
        <v>353182.41212278843</v>
      </c>
      <c r="AR79">
        <v>56983.09739883108</v>
      </c>
      <c r="AS79">
        <v>3602.8384465258778</v>
      </c>
      <c r="AT79">
        <v>420865.60982714087</v>
      </c>
      <c r="AU79">
        <v>549280.3922398868</v>
      </c>
      <c r="AV79">
        <v>372187.26801644772</v>
      </c>
      <c r="AW79">
        <v>160133.5160227032</v>
      </c>
      <c r="AX79">
        <v>187605.00450482592</v>
      </c>
      <c r="AY79">
        <v>251503.57485782795</v>
      </c>
      <c r="AZ79">
        <v>129060.46481687794</v>
      </c>
      <c r="BA79">
        <v>87632.037810432972</v>
      </c>
      <c r="BB79">
        <v>197497.39331998985</v>
      </c>
      <c r="BC79">
        <v>108013.24217229005</v>
      </c>
      <c r="BD79">
        <v>178031.29839999991</v>
      </c>
      <c r="BE79">
        <v>3439511.3927566465</v>
      </c>
      <c r="BG79">
        <v>3647702.6413217899</v>
      </c>
    </row>
    <row r="80" spans="1:59">
      <c r="A80" s="3">
        <v>43709</v>
      </c>
      <c r="B80" s="3">
        <v>43709</v>
      </c>
      <c r="C80">
        <v>8151474.9000000004</v>
      </c>
      <c r="D80">
        <v>183887.89999999997</v>
      </c>
      <c r="E80">
        <v>1435964.6999999997</v>
      </c>
      <c r="F80">
        <v>4592700.5</v>
      </c>
      <c r="G80">
        <v>784506.09999999986</v>
      </c>
      <c r="H80">
        <v>5377206.5999999996</v>
      </c>
      <c r="I80">
        <v>6396039.7000000011</v>
      </c>
      <c r="J80">
        <v>5267755.5</v>
      </c>
      <c r="K80">
        <v>16389294</v>
      </c>
      <c r="L80">
        <v>5985337.729729861</v>
      </c>
      <c r="M80">
        <v>143279.10607961094</v>
      </c>
      <c r="N80">
        <v>1119163.5173259559</v>
      </c>
      <c r="O80">
        <v>3481711.1721843681</v>
      </c>
      <c r="P80">
        <v>4065727.2264878517</v>
      </c>
      <c r="Q80">
        <v>584016.05430348357</v>
      </c>
      <c r="R80">
        <v>3142294.2023186432</v>
      </c>
      <c r="S80">
        <v>2858721.467627272</v>
      </c>
      <c r="T80">
        <v>12163867.106835026</v>
      </c>
      <c r="U80">
        <v>1218270.7</v>
      </c>
      <c r="W80">
        <v>2161208.6000000006</v>
      </c>
      <c r="X80">
        <v>1846508.3000000003</v>
      </c>
      <c r="Y80">
        <v>239812</v>
      </c>
      <c r="Z80">
        <v>39472.300000000003</v>
      </c>
      <c r="AA80">
        <v>1164675.1000000001</v>
      </c>
      <c r="AB80">
        <v>2653698.6999999993</v>
      </c>
      <c r="AC80">
        <v>1307915.4999999998</v>
      </c>
      <c r="AD80">
        <v>267390.59999999998</v>
      </c>
      <c r="AE80">
        <v>503146.60000000009</v>
      </c>
      <c r="AF80">
        <v>973259.3</v>
      </c>
      <c r="AG80">
        <v>471328.5</v>
      </c>
      <c r="AH80">
        <v>323645.69999999995</v>
      </c>
      <c r="AI80">
        <v>1167875.8</v>
      </c>
      <c r="AJ80">
        <v>750685.09999999986</v>
      </c>
      <c r="AK80">
        <v>1300401.1999999997</v>
      </c>
      <c r="AL80">
        <v>15088892.799999997</v>
      </c>
      <c r="AN80">
        <v>151136.11597738112</v>
      </c>
      <c r="AO80">
        <v>730018.74539407343</v>
      </c>
      <c r="AP80">
        <v>378512.26880799606</v>
      </c>
      <c r="AQ80">
        <v>292822.56445368764</v>
      </c>
      <c r="AR80">
        <v>53773.060475326187</v>
      </c>
      <c r="AS80">
        <v>5810.3789089092006</v>
      </c>
      <c r="AT80">
        <v>465373.77316225343</v>
      </c>
      <c r="AU80">
        <v>593096.5332166492</v>
      </c>
      <c r="AV80">
        <v>432484.20046887349</v>
      </c>
      <c r="AW80">
        <v>138588.88868925447</v>
      </c>
      <c r="AX80">
        <v>69262.552035883826</v>
      </c>
      <c r="AY80">
        <v>271823.35664328246</v>
      </c>
      <c r="AZ80">
        <v>104338.20864653389</v>
      </c>
      <c r="BA80">
        <v>50540.266763257387</v>
      </c>
      <c r="BB80">
        <v>218900.59351449582</v>
      </c>
      <c r="BC80">
        <v>42123.090534333453</v>
      </c>
      <c r="BD80">
        <v>379677.70999999996</v>
      </c>
      <c r="BE80">
        <v>3205023.2308190977</v>
      </c>
      <c r="BG80">
        <v>3559682.67216946</v>
      </c>
    </row>
    <row r="81" spans="1:59">
      <c r="A81" s="3">
        <v>43800</v>
      </c>
      <c r="B81" s="3">
        <v>43800</v>
      </c>
      <c r="C81">
        <v>13811789.799999997</v>
      </c>
      <c r="D81">
        <v>283133.5</v>
      </c>
      <c r="E81">
        <v>2091487</v>
      </c>
      <c r="F81">
        <v>6042448.9000000004</v>
      </c>
      <c r="G81">
        <v>819283.3</v>
      </c>
      <c r="H81">
        <v>6861732.2000000011</v>
      </c>
      <c r="I81">
        <v>6735456.6999999993</v>
      </c>
      <c r="J81">
        <v>5916505.5</v>
      </c>
      <c r="K81">
        <v>25234714.399999999</v>
      </c>
      <c r="L81">
        <v>9242620.0247137155</v>
      </c>
      <c r="M81">
        <v>184852.60356300784</v>
      </c>
      <c r="N81">
        <v>1581541.9973568576</v>
      </c>
      <c r="O81">
        <v>4867922.4114841055</v>
      </c>
      <c r="P81">
        <v>5213109.8426328581</v>
      </c>
      <c r="Q81">
        <v>345187.43114875257</v>
      </c>
      <c r="R81">
        <v>4878923.1434687804</v>
      </c>
      <c r="S81">
        <v>5079169.5242512431</v>
      </c>
      <c r="T81">
        <v>15613579.733469892</v>
      </c>
      <c r="U81">
        <v>1208378.2000000002</v>
      </c>
      <c r="W81">
        <v>3087149.0999999996</v>
      </c>
      <c r="X81">
        <v>2808326.3999999994</v>
      </c>
      <c r="Y81">
        <v>272608.19999999995</v>
      </c>
      <c r="Z81">
        <v>48744.400000000009</v>
      </c>
      <c r="AA81">
        <v>1344576.5999999996</v>
      </c>
      <c r="AB81">
        <v>4899760.9000000004</v>
      </c>
      <c r="AC81">
        <v>2597457.9</v>
      </c>
      <c r="AD81">
        <v>631447.79999999993</v>
      </c>
      <c r="AE81">
        <v>819004.40000000014</v>
      </c>
      <c r="AF81">
        <v>2212763.9000000004</v>
      </c>
      <c r="AG81">
        <v>1315214.5999999999</v>
      </c>
      <c r="AH81">
        <v>623442.89999999991</v>
      </c>
      <c r="AI81">
        <v>1253474.4999999998</v>
      </c>
      <c r="AJ81">
        <v>832237.2</v>
      </c>
      <c r="AK81">
        <v>1280127.4000000004</v>
      </c>
      <c r="AL81">
        <v>23954587</v>
      </c>
      <c r="AN81">
        <v>229682.40753575054</v>
      </c>
      <c r="AO81">
        <v>1007058.523006652</v>
      </c>
      <c r="AP81">
        <v>513988.58546016808</v>
      </c>
      <c r="AQ81">
        <v>424461.89040990453</v>
      </c>
      <c r="AR81">
        <v>50245.006076479534</v>
      </c>
      <c r="AS81">
        <v>8243.6457878052643</v>
      </c>
      <c r="AT81">
        <v>455293.5599900356</v>
      </c>
      <c r="AU81">
        <v>614883.46556699229</v>
      </c>
      <c r="AV81">
        <v>548281.88714456966</v>
      </c>
      <c r="AW81">
        <v>387329.58081293892</v>
      </c>
      <c r="AX81">
        <v>161709.04677403427</v>
      </c>
      <c r="AY81">
        <v>392700.74568128888</v>
      </c>
      <c r="AZ81">
        <v>17838.468796837144</v>
      </c>
      <c r="BA81">
        <v>62301.555221085495</v>
      </c>
      <c r="BB81">
        <v>264514.37530187995</v>
      </c>
      <c r="BC81">
        <v>81690.410556011411</v>
      </c>
      <c r="BD81">
        <v>42992.828283300041</v>
      </c>
      <c r="BE81">
        <v>4149655.8840960041</v>
      </c>
      <c r="BG81">
        <v>4207269.0453507416</v>
      </c>
    </row>
    <row r="82" spans="1:59">
      <c r="A82" s="3">
        <v>43891</v>
      </c>
      <c r="B82" s="3">
        <v>43891</v>
      </c>
      <c r="C82">
        <v>7202841.7999999998</v>
      </c>
      <c r="D82">
        <v>166026.79999999999</v>
      </c>
      <c r="E82">
        <v>1841168</v>
      </c>
      <c r="F82">
        <v>2654408.7999999998</v>
      </c>
      <c r="G82">
        <v>366065.3</v>
      </c>
      <c r="H82">
        <v>3020474.0999999996</v>
      </c>
      <c r="I82">
        <v>6046359.4000000004</v>
      </c>
      <c r="J82">
        <v>3657402.1</v>
      </c>
      <c r="K82">
        <v>15093342.4</v>
      </c>
      <c r="L82">
        <v>4577335.4289622428</v>
      </c>
      <c r="M82">
        <v>113618.18950149322</v>
      </c>
      <c r="N82">
        <v>1042927.0764490946</v>
      </c>
      <c r="O82">
        <v>1962183.4485541314</v>
      </c>
      <c r="P82">
        <v>2146948.2201874666</v>
      </c>
      <c r="Q82">
        <v>184764.77163333516</v>
      </c>
      <c r="R82">
        <v>2591984.636453358</v>
      </c>
      <c r="S82">
        <v>1721581.4784662295</v>
      </c>
      <c r="T82">
        <v>9495523.2966607679</v>
      </c>
      <c r="U82">
        <v>336754.6</v>
      </c>
      <c r="W82">
        <v>2247848.1</v>
      </c>
      <c r="X82">
        <v>1953607.5</v>
      </c>
      <c r="Y82">
        <v>291412.09999999998</v>
      </c>
      <c r="Z82">
        <v>47811</v>
      </c>
      <c r="AA82">
        <v>602371.19999999995</v>
      </c>
      <c r="AB82">
        <v>2256100</v>
      </c>
      <c r="AC82">
        <v>1341078.8</v>
      </c>
      <c r="AD82">
        <v>258400.7</v>
      </c>
      <c r="AE82">
        <v>710435.5</v>
      </c>
      <c r="AF82">
        <v>1159483.8</v>
      </c>
      <c r="AG82">
        <v>812417.5</v>
      </c>
      <c r="AH82">
        <v>376034.8</v>
      </c>
      <c r="AI82">
        <v>1141875.8</v>
      </c>
      <c r="AJ82">
        <v>518495.1</v>
      </c>
      <c r="AK82">
        <v>1039215.9</v>
      </c>
      <c r="AL82">
        <v>14054126.5</v>
      </c>
      <c r="AN82">
        <v>157352.36992028766</v>
      </c>
      <c r="AO82">
        <v>920337.54882401461</v>
      </c>
      <c r="AP82">
        <v>510283.92643703776</v>
      </c>
      <c r="AQ82">
        <v>353600.64423468872</v>
      </c>
      <c r="AR82">
        <v>48903.73117778288</v>
      </c>
      <c r="AS82">
        <v>6296.6644853444877</v>
      </c>
      <c r="AT82">
        <v>400632.70501751296</v>
      </c>
      <c r="AU82">
        <v>524806.81768442539</v>
      </c>
      <c r="AV82">
        <v>370527.22594355169</v>
      </c>
      <c r="AW82">
        <v>188352.18996293697</v>
      </c>
      <c r="AX82">
        <v>82711.632599319346</v>
      </c>
      <c r="AY82">
        <v>248687.2254969652</v>
      </c>
      <c r="AZ82">
        <v>189886.46991662637</v>
      </c>
      <c r="BA82">
        <v>81080.945603552042</v>
      </c>
      <c r="BB82">
        <v>166939.63649869672</v>
      </c>
      <c r="BC82">
        <v>69775.391633888939</v>
      </c>
      <c r="BD82">
        <v>165773.02853519999</v>
      </c>
      <c r="BE82">
        <v>3324292.1865113759</v>
      </c>
      <c r="BG82">
        <v>3471043.648056292</v>
      </c>
    </row>
    <row r="83" spans="1:59">
      <c r="A83" s="3">
        <v>43983</v>
      </c>
      <c r="B83" s="3">
        <v>43983</v>
      </c>
      <c r="C83">
        <v>6184759.0000000009</v>
      </c>
      <c r="D83">
        <v>150015.20000000001</v>
      </c>
      <c r="E83">
        <v>2337953</v>
      </c>
      <c r="F83">
        <v>3232426.9000000004</v>
      </c>
      <c r="G83">
        <v>634494.89999999991</v>
      </c>
      <c r="H83">
        <v>3866921.8000000007</v>
      </c>
      <c r="I83">
        <v>5495274.9000000004</v>
      </c>
      <c r="J83">
        <v>4450305.1999999993</v>
      </c>
      <c r="K83">
        <v>13306250.299999999</v>
      </c>
      <c r="L83">
        <v>4247423.085770647</v>
      </c>
      <c r="M83">
        <v>106188.56425317049</v>
      </c>
      <c r="N83">
        <v>1474455.8919310125</v>
      </c>
      <c r="O83">
        <v>1672460.0034338271</v>
      </c>
      <c r="P83">
        <v>2165696.4413153017</v>
      </c>
      <c r="Q83">
        <v>493236.43788147462</v>
      </c>
      <c r="R83">
        <v>2726657.8848386616</v>
      </c>
      <c r="S83">
        <v>2044463.1761646736</v>
      </c>
      <c r="T83">
        <v>9192862.9139222857</v>
      </c>
      <c r="U83">
        <v>466856.20000000007</v>
      </c>
      <c r="W83">
        <v>2112780.1</v>
      </c>
      <c r="X83">
        <v>1800813.7999999998</v>
      </c>
      <c r="Y83">
        <v>235768.90000000002</v>
      </c>
      <c r="Z83">
        <v>42120.600000000006</v>
      </c>
      <c r="AA83">
        <v>939167.10000000009</v>
      </c>
      <c r="AB83">
        <v>1844880.6</v>
      </c>
      <c r="AC83">
        <v>1000293.9000000001</v>
      </c>
      <c r="AD83">
        <v>286751.60000000003</v>
      </c>
      <c r="AE83">
        <v>291638</v>
      </c>
      <c r="AF83">
        <v>951749.8</v>
      </c>
      <c r="AG83">
        <v>524371.69999999995</v>
      </c>
      <c r="AH83">
        <v>334182.7</v>
      </c>
      <c r="AI83">
        <v>1231032.0000000002</v>
      </c>
      <c r="AJ83">
        <v>554861.30000000005</v>
      </c>
      <c r="AK83">
        <v>688981.99999999988</v>
      </c>
      <c r="AL83">
        <v>12617268.300000001</v>
      </c>
      <c r="AN83">
        <v>159283.52049478915</v>
      </c>
      <c r="AO83">
        <v>886567.88574987487</v>
      </c>
      <c r="AP83">
        <v>470901.20469019585</v>
      </c>
      <c r="AQ83">
        <v>357813.32722383377</v>
      </c>
      <c r="AR83">
        <v>60187.790427735301</v>
      </c>
      <c r="AS83">
        <v>3244.1633234310038</v>
      </c>
      <c r="AT83">
        <v>466209.2156702269</v>
      </c>
      <c r="AU83">
        <v>431850.71933815524</v>
      </c>
      <c r="AV83">
        <v>276509.69100871478</v>
      </c>
      <c r="AW83">
        <v>180570.60252800933</v>
      </c>
      <c r="AX83">
        <v>188625.41163153265</v>
      </c>
      <c r="AY83">
        <v>228811.32230923555</v>
      </c>
      <c r="AZ83">
        <v>115438.97112695171</v>
      </c>
      <c r="BA83">
        <v>81120.30931046608</v>
      </c>
      <c r="BB83">
        <v>211012.33017872064</v>
      </c>
      <c r="BC83">
        <v>102757.50240994504</v>
      </c>
      <c r="BD83">
        <v>163544.22316719993</v>
      </c>
      <c r="BE83">
        <v>3239599.1868706085</v>
      </c>
      <c r="BG83">
        <v>3429953.4736586865</v>
      </c>
    </row>
    <row r="84" spans="1:59">
      <c r="A84" s="3">
        <v>44075</v>
      </c>
      <c r="B84" s="3">
        <v>44075</v>
      </c>
      <c r="C84">
        <v>8859479.3999999985</v>
      </c>
      <c r="D84">
        <v>193381.8</v>
      </c>
      <c r="E84">
        <v>2086142.9000000004</v>
      </c>
      <c r="F84">
        <v>5208694.9999999991</v>
      </c>
      <c r="G84">
        <v>1469247.0999999999</v>
      </c>
      <c r="H84">
        <v>6677942.0999999996</v>
      </c>
      <c r="I84">
        <v>4418710.5999999996</v>
      </c>
      <c r="J84">
        <v>5255230.1000000006</v>
      </c>
      <c r="K84">
        <v>17403662.500000004</v>
      </c>
      <c r="L84">
        <v>6050473.210337013</v>
      </c>
      <c r="M84">
        <v>137131.31286293452</v>
      </c>
      <c r="N84">
        <v>1291430.2630240531</v>
      </c>
      <c r="O84">
        <v>3567697.6075226571</v>
      </c>
      <c r="P84">
        <v>4560778.0023866529</v>
      </c>
      <c r="Q84">
        <v>993080.39486399572</v>
      </c>
      <c r="R84">
        <v>2063480.7827924015</v>
      </c>
      <c r="S84">
        <v>2585383.2722387416</v>
      </c>
      <c r="T84">
        <v>11632969.395963982</v>
      </c>
      <c r="U84">
        <v>1523635.0999999999</v>
      </c>
      <c r="W84">
        <v>2035926.3999999994</v>
      </c>
      <c r="X84">
        <v>2134496.9000000004</v>
      </c>
      <c r="Y84">
        <v>283824.19999999995</v>
      </c>
      <c r="Z84">
        <v>46628.399999999994</v>
      </c>
      <c r="AA84">
        <v>1238343.0999999999</v>
      </c>
      <c r="AB84">
        <v>2578879.1</v>
      </c>
      <c r="AC84">
        <v>1076615.7</v>
      </c>
      <c r="AD84">
        <v>293130.29999999993</v>
      </c>
      <c r="AE84">
        <v>705888.2</v>
      </c>
      <c r="AF84">
        <v>1578940.6999999997</v>
      </c>
      <c r="AG84">
        <v>439506.10000000009</v>
      </c>
      <c r="AH84">
        <v>274579.40000000002</v>
      </c>
      <c r="AI84">
        <v>1301421.8999999999</v>
      </c>
      <c r="AJ84">
        <v>824478.50000000012</v>
      </c>
      <c r="AK84">
        <v>1067368.5</v>
      </c>
      <c r="AL84">
        <v>16336293.999999996</v>
      </c>
      <c r="AN84">
        <v>167367.87767803308</v>
      </c>
      <c r="AO84">
        <v>678952.46211236459</v>
      </c>
      <c r="AP84">
        <v>326603.61881648307</v>
      </c>
      <c r="AQ84">
        <v>292605.78658135911</v>
      </c>
      <c r="AR84">
        <v>53515.348854597367</v>
      </c>
      <c r="AS84">
        <v>5383.7593325378712</v>
      </c>
      <c r="AT84">
        <v>508781.28063492465</v>
      </c>
      <c r="AU84">
        <v>547441.27358925273</v>
      </c>
      <c r="AV84">
        <v>337543.79611104931</v>
      </c>
      <c r="AW84">
        <v>136049.03195481963</v>
      </c>
      <c r="AX84">
        <v>61127.623277980776</v>
      </c>
      <c r="AY84">
        <v>302527.68219922035</v>
      </c>
      <c r="AZ84">
        <v>91183.281147450733</v>
      </c>
      <c r="BA84">
        <v>41613.032231565739</v>
      </c>
      <c r="BB84">
        <v>225387.56066621136</v>
      </c>
      <c r="BC84">
        <v>29538.125068322275</v>
      </c>
      <c r="BD84">
        <v>362494.22497279989</v>
      </c>
      <c r="BE84">
        <v>3048390.2866074452</v>
      </c>
      <c r="BG84">
        <v>3389736.6375756497</v>
      </c>
    </row>
    <row r="85" spans="1:59">
      <c r="A85" s="3">
        <v>44166</v>
      </c>
      <c r="B85" s="3">
        <v>44166</v>
      </c>
      <c r="C85">
        <v>14413900.699999999</v>
      </c>
      <c r="D85">
        <v>276334.7</v>
      </c>
      <c r="E85">
        <v>2736867</v>
      </c>
      <c r="F85">
        <v>6367908.8000000007</v>
      </c>
      <c r="G85">
        <v>418560.40000000037</v>
      </c>
      <c r="H85">
        <v>6786469.1999999993</v>
      </c>
      <c r="I85">
        <v>5608032.5999999996</v>
      </c>
      <c r="J85">
        <v>5357315.2999999989</v>
      </c>
      <c r="K85">
        <v>24845778</v>
      </c>
      <c r="L85">
        <v>9056731.5594033971</v>
      </c>
      <c r="M85">
        <v>178937.4990487232</v>
      </c>
      <c r="N85">
        <v>1750510.012461381</v>
      </c>
      <c r="O85">
        <v>4850977.0160510158</v>
      </c>
      <c r="P85">
        <v>4908447.5790909324</v>
      </c>
      <c r="Q85">
        <v>57470.563039916568</v>
      </c>
      <c r="R85">
        <v>4541703.5319715543</v>
      </c>
      <c r="S85">
        <v>4714093.947168191</v>
      </c>
      <c r="T85">
        <v>15316824.67101755</v>
      </c>
      <c r="U85">
        <v>1481643.2000000002</v>
      </c>
      <c r="W85">
        <v>2200280.9000000004</v>
      </c>
      <c r="X85">
        <v>3346699.3999999994</v>
      </c>
      <c r="Y85">
        <v>286119.90000000014</v>
      </c>
      <c r="Z85">
        <v>32033.200000000012</v>
      </c>
      <c r="AA85">
        <v>1505220.9</v>
      </c>
      <c r="AB85">
        <v>5486177.8999999994</v>
      </c>
      <c r="AC85">
        <v>2129411.4</v>
      </c>
      <c r="AD85">
        <v>832278.4</v>
      </c>
      <c r="AE85">
        <v>668283.40000000014</v>
      </c>
      <c r="AF85">
        <v>1457474.7000000002</v>
      </c>
      <c r="AG85">
        <v>1143642.0999999999</v>
      </c>
      <c r="AH85">
        <v>625024.1</v>
      </c>
      <c r="AI85">
        <v>2046239.9</v>
      </c>
      <c r="AJ85">
        <v>580016.89999999991</v>
      </c>
      <c r="AK85">
        <v>1025231.7000000002</v>
      </c>
      <c r="AL85">
        <v>23820546.300000004</v>
      </c>
      <c r="AN85">
        <v>247382.27330687229</v>
      </c>
      <c r="AO85">
        <v>984656.95766027737</v>
      </c>
      <c r="AP85">
        <v>470673.25007754099</v>
      </c>
      <c r="AQ85">
        <v>447266.39943852427</v>
      </c>
      <c r="AR85">
        <v>47631.500058223901</v>
      </c>
      <c r="AS85">
        <v>8075.4219771616063</v>
      </c>
      <c r="AT85">
        <v>521801.59956838144</v>
      </c>
      <c r="AU85">
        <v>697635.54463746259</v>
      </c>
      <c r="AV85">
        <v>357431.42925618123</v>
      </c>
      <c r="AW85">
        <v>441127.5164960518</v>
      </c>
      <c r="AX85">
        <v>174004.58577097085</v>
      </c>
      <c r="AY85">
        <v>383451.42279584904</v>
      </c>
      <c r="AZ85">
        <v>21578.595954404562</v>
      </c>
      <c r="BA85">
        <v>64303.89554396391</v>
      </c>
      <c r="BB85">
        <v>275109.1806995722</v>
      </c>
      <c r="BC85">
        <v>68030.088533916554</v>
      </c>
      <c r="BD85">
        <v>42468.543637468247</v>
      </c>
      <c r="BE85">
        <v>4083820.4157843515</v>
      </c>
      <c r="BG85">
        <v>4133848.8431653995</v>
      </c>
    </row>
    <row r="86" spans="1:59">
      <c r="A86" s="3">
        <v>44256</v>
      </c>
      <c r="B86" s="3">
        <v>44256</v>
      </c>
      <c r="C86">
        <v>8065548.5999999996</v>
      </c>
      <c r="D86">
        <v>175500.7</v>
      </c>
      <c r="E86">
        <v>2132967.7999999998</v>
      </c>
      <c r="F86">
        <v>2935456.1</v>
      </c>
      <c r="G86">
        <v>503455.3</v>
      </c>
      <c r="H86">
        <v>3438911.4</v>
      </c>
      <c r="I86">
        <v>5326332.0999999996</v>
      </c>
      <c r="J86">
        <v>3843162.8</v>
      </c>
      <c r="K86">
        <v>15938671.5</v>
      </c>
      <c r="L86">
        <v>4746696.8398338463</v>
      </c>
      <c r="M86">
        <v>112141.15303797381</v>
      </c>
      <c r="N86">
        <v>1129490.0237943693</v>
      </c>
      <c r="O86">
        <v>1960221.2651055774</v>
      </c>
      <c r="P86">
        <v>2219944.4596738406</v>
      </c>
      <c r="Q86">
        <v>259723.19456826313</v>
      </c>
      <c r="R86">
        <v>2164307.1714385538</v>
      </c>
      <c r="S86">
        <v>1604513.9379305257</v>
      </c>
      <c r="T86">
        <v>9362585.9705075175</v>
      </c>
      <c r="U86">
        <v>397251.6</v>
      </c>
      <c r="W86">
        <v>2373035.6</v>
      </c>
      <c r="X86">
        <v>2360000.7999999998</v>
      </c>
      <c r="Y86">
        <v>326108.59999999998</v>
      </c>
      <c r="Z86">
        <v>53566.9</v>
      </c>
      <c r="AA86">
        <v>682917.7</v>
      </c>
      <c r="AB86">
        <v>2371895.2000000002</v>
      </c>
      <c r="AC86">
        <v>1237163.2999999998</v>
      </c>
      <c r="AD86">
        <v>289248.90000000002</v>
      </c>
      <c r="AE86">
        <v>633709.9</v>
      </c>
      <c r="AF86">
        <v>1253990.1000000001</v>
      </c>
      <c r="AG86">
        <v>853046.6</v>
      </c>
      <c r="AH86">
        <v>360014.9</v>
      </c>
      <c r="AI86">
        <v>1354197.4</v>
      </c>
      <c r="AJ86">
        <v>528512.70000000007</v>
      </c>
      <c r="AK86">
        <v>864011.3</v>
      </c>
      <c r="AL86">
        <v>15074660.199999999</v>
      </c>
      <c r="AN86">
        <v>161758.2362780557</v>
      </c>
      <c r="AO86">
        <v>921257.88637283863</v>
      </c>
      <c r="AP86">
        <v>474564.05158644513</v>
      </c>
      <c r="AQ86">
        <v>380120.69255229039</v>
      </c>
      <c r="AR86">
        <v>51300.014005494246</v>
      </c>
      <c r="AS86">
        <v>6838.1776310841133</v>
      </c>
      <c r="AT86">
        <v>453115.58937480708</v>
      </c>
      <c r="AU86">
        <v>511161.84042463033</v>
      </c>
      <c r="AV86">
        <v>312505.04235109052</v>
      </c>
      <c r="AW86">
        <v>206999.05676926774</v>
      </c>
      <c r="AX86">
        <v>81967.227905925465</v>
      </c>
      <c r="AY86">
        <v>245702.97879100163</v>
      </c>
      <c r="AZ86">
        <v>179062.94113137867</v>
      </c>
      <c r="BA86">
        <v>71999.879695954209</v>
      </c>
      <c r="BB86">
        <v>179629.06594495688</v>
      </c>
      <c r="BC86">
        <v>68746.030673263536</v>
      </c>
      <c r="BD86">
        <v>160634.06465060881</v>
      </c>
      <c r="BE86">
        <v>3281076.3880867278</v>
      </c>
      <c r="BG86">
        <v>3422449.0369835035</v>
      </c>
    </row>
    <row r="87" spans="1:59">
      <c r="A87" s="3">
        <v>44348</v>
      </c>
      <c r="B87" s="3">
        <v>44348</v>
      </c>
      <c r="C87">
        <v>7151337.3000000007</v>
      </c>
      <c r="D87">
        <v>181032.39999999997</v>
      </c>
      <c r="E87">
        <v>2415917.2999999998</v>
      </c>
      <c r="F87">
        <v>3658791.1999999997</v>
      </c>
      <c r="G87">
        <v>764921.8</v>
      </c>
      <c r="H87">
        <v>4423713</v>
      </c>
      <c r="I87">
        <v>7260989</v>
      </c>
      <c r="J87">
        <v>5050573.2</v>
      </c>
      <c r="K87">
        <v>16326765</v>
      </c>
      <c r="L87">
        <v>4598722.4272682834</v>
      </c>
      <c r="M87">
        <v>111841.92903802854</v>
      </c>
      <c r="N87">
        <v>1423136.3061430594</v>
      </c>
      <c r="O87">
        <v>1779826.8469900319</v>
      </c>
      <c r="P87">
        <v>2312645.0795655688</v>
      </c>
      <c r="Q87">
        <v>532818.23257553694</v>
      </c>
      <c r="R87">
        <v>2718206.6631075195</v>
      </c>
      <c r="S87">
        <v>1995824.751896617</v>
      </c>
      <c r="T87">
        <v>9755633.1229189448</v>
      </c>
      <c r="U87">
        <v>525432.6</v>
      </c>
      <c r="W87">
        <v>2640251.9999999995</v>
      </c>
      <c r="X87">
        <v>2146592</v>
      </c>
      <c r="Y87">
        <v>261961.40000000002</v>
      </c>
      <c r="Z87">
        <v>44999.999999999993</v>
      </c>
      <c r="AA87">
        <v>1053958.4000000001</v>
      </c>
      <c r="AB87">
        <v>2400155.3999999994</v>
      </c>
      <c r="AC87">
        <v>1146880.7</v>
      </c>
      <c r="AD87">
        <v>357065.79999999993</v>
      </c>
      <c r="AE87">
        <v>526053.79999999993</v>
      </c>
      <c r="AF87">
        <v>911652</v>
      </c>
      <c r="AG87">
        <v>494146.9</v>
      </c>
      <c r="AH87">
        <v>278113.29999999993</v>
      </c>
      <c r="AI87">
        <v>1593430.7</v>
      </c>
      <c r="AJ87">
        <v>528324.6</v>
      </c>
      <c r="AK87">
        <v>1417745.4000000001</v>
      </c>
      <c r="AL87">
        <v>14909019.600000001</v>
      </c>
      <c r="AN87">
        <v>164693.36673988844</v>
      </c>
      <c r="AO87">
        <v>909137.31885051122</v>
      </c>
      <c r="AP87">
        <v>477185.52560697153</v>
      </c>
      <c r="AQ87">
        <v>370421.04733645078</v>
      </c>
      <c r="AR87">
        <v>63791.541288327426</v>
      </c>
      <c r="AS87">
        <v>3456.3755745846438</v>
      </c>
      <c r="AT87">
        <v>516880.51987477392</v>
      </c>
      <c r="AU87">
        <v>526811.58724486968</v>
      </c>
      <c r="AV87">
        <v>306367.67256550037</v>
      </c>
      <c r="AW87">
        <v>222795.99648268471</v>
      </c>
      <c r="AX87">
        <v>190183.82745761902</v>
      </c>
      <c r="AY87">
        <v>235138.05884984249</v>
      </c>
      <c r="AZ87">
        <v>113133.50594732558</v>
      </c>
      <c r="BA87">
        <v>73494.645961920032</v>
      </c>
      <c r="BB87">
        <v>221684.13116137951</v>
      </c>
      <c r="BC87">
        <v>91093.05259181626</v>
      </c>
      <c r="BD87">
        <v>183173.14612669672</v>
      </c>
      <c r="BE87">
        <v>3433784.4868830414</v>
      </c>
      <c r="BG87">
        <v>3644172.0156526347</v>
      </c>
    </row>
    <row r="88" spans="1:59">
      <c r="A88" s="3">
        <v>44440</v>
      </c>
      <c r="B88" s="3">
        <v>44440</v>
      </c>
      <c r="C88">
        <v>9871724.5999999996</v>
      </c>
      <c r="D88">
        <v>218835.5</v>
      </c>
      <c r="E88">
        <v>2300471</v>
      </c>
      <c r="F88">
        <v>5588717.1000000006</v>
      </c>
      <c r="G88">
        <v>1116787.1999999997</v>
      </c>
      <c r="H88">
        <v>6705504.2999999989</v>
      </c>
      <c r="I88">
        <v>7561986.2999999989</v>
      </c>
      <c r="J88">
        <v>5461682.5</v>
      </c>
      <c r="K88">
        <v>20763929.200000003</v>
      </c>
      <c r="L88">
        <v>6273574.0442212671</v>
      </c>
      <c r="M88">
        <v>142235.3742736534</v>
      </c>
      <c r="N88">
        <v>1301892.6602435815</v>
      </c>
      <c r="O88">
        <v>3606339.7686052183</v>
      </c>
      <c r="P88">
        <v>4340833.1246500118</v>
      </c>
      <c r="Q88">
        <v>734493.3560447935</v>
      </c>
      <c r="R88">
        <v>2381495.4966729982</v>
      </c>
      <c r="S88">
        <v>2427166.4127721502</v>
      </c>
      <c r="T88">
        <v>12294705.314956263</v>
      </c>
      <c r="U88">
        <v>1786872.5999999999</v>
      </c>
      <c r="W88">
        <v>2850851.1000000006</v>
      </c>
      <c r="X88">
        <v>2765958.2</v>
      </c>
      <c r="Y88">
        <v>306120.09999999998</v>
      </c>
      <c r="Z88">
        <v>53240.600000000006</v>
      </c>
      <c r="AA88">
        <v>1344619.2999999998</v>
      </c>
      <c r="AB88">
        <v>3096558.5</v>
      </c>
      <c r="AC88">
        <v>1283950.0000000002</v>
      </c>
      <c r="AD88">
        <v>373040.9</v>
      </c>
      <c r="AE88">
        <v>661047.10000000009</v>
      </c>
      <c r="AF88">
        <v>1454287.1999999997</v>
      </c>
      <c r="AG88">
        <v>443098.60000000009</v>
      </c>
      <c r="AH88">
        <v>325548.70000000007</v>
      </c>
      <c r="AI88">
        <v>1683079.4</v>
      </c>
      <c r="AJ88">
        <v>880072.50000000012</v>
      </c>
      <c r="AK88">
        <v>1455584.4</v>
      </c>
      <c r="AL88">
        <v>19308344.800000001</v>
      </c>
      <c r="AN88">
        <v>164328.21782846929</v>
      </c>
      <c r="AO88">
        <v>720094.99677674659</v>
      </c>
      <c r="AP88">
        <v>345576.86275075027</v>
      </c>
      <c r="AQ88">
        <v>310707.14435941377</v>
      </c>
      <c r="AR88">
        <v>57434.334264360921</v>
      </c>
      <c r="AS88">
        <v>5898.6238426562413</v>
      </c>
      <c r="AT88">
        <v>539062.54260138201</v>
      </c>
      <c r="AU88">
        <v>606006.57232923363</v>
      </c>
      <c r="AV88">
        <v>368588.37071820628</v>
      </c>
      <c r="AW88">
        <v>173646.27696073783</v>
      </c>
      <c r="AX88">
        <v>61643.470815323642</v>
      </c>
      <c r="AY88">
        <v>307765.48089463648</v>
      </c>
      <c r="AZ88">
        <v>89244.943669065542</v>
      </c>
      <c r="BA88">
        <v>41606.989941771724</v>
      </c>
      <c r="BB88">
        <v>229428.14939584379</v>
      </c>
      <c r="BC88">
        <v>36099.242920193654</v>
      </c>
      <c r="BD88">
        <v>406808.2414152862</v>
      </c>
      <c r="BE88">
        <v>3214626.0797993112</v>
      </c>
      <c r="BG88">
        <v>3594579.1219889531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0">
    <tabColor theme="0" tint="-0.34998626667073579"/>
  </sheetPr>
  <dimension ref="A1:AI2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1048576"/>
    </sheetView>
  </sheetViews>
  <sheetFormatPr baseColWidth="10" defaultColWidth="8.83203125" defaultRowHeight="15"/>
  <cols>
    <col min="1" max="1" width="13.1640625" customWidth="1" collapsed="1"/>
  </cols>
  <sheetData>
    <row r="1" spans="1:35">
      <c r="B1" t="s">
        <v>280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300</v>
      </c>
      <c r="M1" t="s">
        <v>193</v>
      </c>
      <c r="N1" t="s">
        <v>301</v>
      </c>
      <c r="O1" t="s">
        <v>302</v>
      </c>
      <c r="P1" t="s">
        <v>194</v>
      </c>
      <c r="Q1" t="s">
        <v>303</v>
      </c>
      <c r="R1" t="s">
        <v>256</v>
      </c>
      <c r="S1" t="s">
        <v>260</v>
      </c>
      <c r="T1" t="s">
        <v>195</v>
      </c>
      <c r="U1" t="s">
        <v>196</v>
      </c>
      <c r="V1" t="s">
        <v>197</v>
      </c>
      <c r="W1" t="s">
        <v>198</v>
      </c>
      <c r="X1" t="s">
        <v>304</v>
      </c>
      <c r="Y1" t="s">
        <v>199</v>
      </c>
      <c r="Z1" t="s">
        <v>200</v>
      </c>
      <c r="AA1" t="s">
        <v>201</v>
      </c>
      <c r="AB1" t="s">
        <v>305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</row>
    <row r="2" spans="1:35">
      <c r="A2" s="3">
        <v>36586</v>
      </c>
      <c r="B2" s="3">
        <v>36586</v>
      </c>
      <c r="C2">
        <v>1673626.0692591812</v>
      </c>
      <c r="D2">
        <v>455097.68097898486</v>
      </c>
      <c r="E2">
        <v>431605.82699990692</v>
      </c>
      <c r="F2">
        <v>771952.11543238128</v>
      </c>
      <c r="G2">
        <v>2027924.1652962083</v>
      </c>
      <c r="H2">
        <v>1436201.0747997826</v>
      </c>
      <c r="I2">
        <v>3527468.4367783633</v>
      </c>
      <c r="J2">
        <v>95518.286550786157</v>
      </c>
      <c r="K2">
        <v>326096.77175050625</v>
      </c>
      <c r="P2">
        <v>61723.411674644827</v>
      </c>
      <c r="U2">
        <v>21148.159802975981</v>
      </c>
      <c r="V2">
        <v>96482.956561042141</v>
      </c>
      <c r="Y2">
        <v>68950.959687415787</v>
      </c>
      <c r="AB2">
        <v>1114950.982936067</v>
      </c>
      <c r="AC2">
        <v>395006.91016867955</v>
      </c>
      <c r="AD2">
        <v>65022.543786922877</v>
      </c>
      <c r="AE2">
        <v>88647.709336628599</v>
      </c>
      <c r="AF2">
        <v>102938.50903302082</v>
      </c>
      <c r="AG2">
        <v>289906.7</v>
      </c>
      <c r="AH2">
        <v>294499.27466258401</v>
      </c>
      <c r="AI2">
        <v>604465.09272096783</v>
      </c>
    </row>
    <row r="3" spans="1:35">
      <c r="A3" s="3">
        <v>36678</v>
      </c>
      <c r="B3" s="3">
        <v>36678</v>
      </c>
      <c r="C3">
        <v>1662839.0970892406</v>
      </c>
      <c r="D3">
        <v>469433.95010725345</v>
      </c>
      <c r="E3">
        <v>438687.66112479503</v>
      </c>
      <c r="F3">
        <v>856007.01534357679</v>
      </c>
      <c r="G3">
        <v>2067482.5965530579</v>
      </c>
      <c r="H3">
        <v>1460928.6913893078</v>
      </c>
      <c r="I3">
        <v>3614372.0294454219</v>
      </c>
      <c r="J3">
        <v>96337.348692273939</v>
      </c>
      <c r="K3">
        <v>332659.34954408905</v>
      </c>
      <c r="P3">
        <v>64017.536498371162</v>
      </c>
      <c r="U3">
        <v>21917.675595185163</v>
      </c>
      <c r="V3">
        <v>98751.520939964772</v>
      </c>
      <c r="Y3">
        <v>69873.669635094338</v>
      </c>
      <c r="AB3">
        <v>1146976.1554972783</v>
      </c>
      <c r="AC3">
        <v>402557.84824583173</v>
      </c>
      <c r="AD3">
        <v>72063.196321973301</v>
      </c>
      <c r="AE3">
        <v>105007.24275526352</v>
      </c>
      <c r="AF3">
        <v>52914.888202658934</v>
      </c>
      <c r="AG3">
        <v>360543.8</v>
      </c>
      <c r="AH3">
        <v>292103.02960726176</v>
      </c>
      <c r="AI3">
        <v>623572.91240951826</v>
      </c>
    </row>
    <row r="4" spans="1:35">
      <c r="A4" s="3">
        <v>36770</v>
      </c>
      <c r="B4" s="3">
        <v>36770</v>
      </c>
      <c r="C4">
        <v>1650448.4159690589</v>
      </c>
      <c r="D4">
        <v>479538.97240391368</v>
      </c>
      <c r="E4">
        <v>598014.33365884062</v>
      </c>
      <c r="F4">
        <v>883816.72283392132</v>
      </c>
      <c r="G4">
        <v>2103273.0214993027</v>
      </c>
      <c r="H4">
        <v>1507464.0381762693</v>
      </c>
      <c r="I4">
        <v>3717828.1740941661</v>
      </c>
      <c r="J4">
        <v>96332.275791309934</v>
      </c>
      <c r="K4">
        <v>341962.47458675341</v>
      </c>
      <c r="P4">
        <v>68344.881598978638</v>
      </c>
      <c r="U4">
        <v>22850.301373381983</v>
      </c>
      <c r="V4">
        <v>101864.95950173208</v>
      </c>
      <c r="Y4">
        <v>70761.990061118195</v>
      </c>
      <c r="AB4">
        <v>1180308.8096115636</v>
      </c>
      <c r="AC4">
        <v>398213.77470884175</v>
      </c>
      <c r="AD4">
        <v>80752.487371420182</v>
      </c>
      <c r="AE4">
        <v>125264.0342411996</v>
      </c>
      <c r="AF4">
        <v>172960.33064804351</v>
      </c>
      <c r="AG4">
        <v>378203.1</v>
      </c>
      <c r="AH4">
        <v>334349.02350230631</v>
      </c>
      <c r="AI4">
        <v>669341.75680235575</v>
      </c>
    </row>
    <row r="5" spans="1:35">
      <c r="A5" s="3">
        <v>36861</v>
      </c>
      <c r="B5" s="3">
        <v>36861</v>
      </c>
      <c r="C5">
        <v>1639087.1546588033</v>
      </c>
      <c r="D5">
        <v>512142.08218260371</v>
      </c>
      <c r="E5">
        <v>596300.87103861652</v>
      </c>
      <c r="F5">
        <v>731723.9073445152</v>
      </c>
      <c r="G5">
        <v>2110814.2431222233</v>
      </c>
      <c r="H5">
        <v>1536594.0881542622</v>
      </c>
      <c r="I5">
        <v>3806396.2793479008</v>
      </c>
      <c r="J5">
        <v>69274.52164369075</v>
      </c>
      <c r="K5">
        <v>353575.17278690002</v>
      </c>
      <c r="P5">
        <v>72468.520288622443</v>
      </c>
      <c r="U5">
        <v>24125.757055532384</v>
      </c>
      <c r="V5">
        <v>104458.48834343601</v>
      </c>
      <c r="Y5">
        <v>54589.712996040143</v>
      </c>
      <c r="AB5">
        <v>1223177.0090672744</v>
      </c>
      <c r="AC5">
        <v>408629.51123377756</v>
      </c>
      <c r="AD5">
        <v>87353.040928996561</v>
      </c>
      <c r="AE5">
        <v>142198.04556490714</v>
      </c>
      <c r="AF5">
        <v>183049.16889121939</v>
      </c>
      <c r="AG5">
        <v>442953.8</v>
      </c>
      <c r="AH5">
        <v>351369.46396666794</v>
      </c>
      <c r="AI5">
        <v>713297.29778931267</v>
      </c>
    </row>
    <row r="6" spans="1:35">
      <c r="A6" s="3">
        <v>36951</v>
      </c>
      <c r="B6" s="3">
        <v>36951</v>
      </c>
      <c r="C6">
        <v>1666600.4751229393</v>
      </c>
      <c r="D6">
        <v>482213.72156063741</v>
      </c>
      <c r="E6">
        <v>613355.04359722545</v>
      </c>
      <c r="F6">
        <v>1132794.36937697</v>
      </c>
      <c r="G6">
        <v>2067110.8533022655</v>
      </c>
      <c r="H6">
        <v>1525113.3470699575</v>
      </c>
      <c r="I6">
        <v>3970749.4049666049</v>
      </c>
      <c r="J6">
        <v>99906.594100911374</v>
      </c>
      <c r="K6">
        <v>364982.81528981484</v>
      </c>
      <c r="P6">
        <v>77697.085850480726</v>
      </c>
      <c r="U6">
        <v>25126.533008466849</v>
      </c>
      <c r="V6">
        <v>106720.20128685269</v>
      </c>
      <c r="Y6">
        <v>72575.188834496119</v>
      </c>
      <c r="AB6">
        <v>1266389.9678104904</v>
      </c>
      <c r="AC6">
        <v>408655.11395398877</v>
      </c>
      <c r="AD6">
        <v>93367.502813247396</v>
      </c>
      <c r="AE6">
        <v>165603.88319793527</v>
      </c>
      <c r="AF6">
        <v>212203.72152245956</v>
      </c>
      <c r="AG6">
        <v>361877.4</v>
      </c>
      <c r="AH6">
        <v>374702.16982084123</v>
      </c>
      <c r="AI6">
        <v>749948.8291604867</v>
      </c>
    </row>
    <row r="7" spans="1:35">
      <c r="A7" s="3">
        <v>37043</v>
      </c>
      <c r="B7" s="3">
        <v>37043</v>
      </c>
      <c r="C7">
        <v>1673159.772715925</v>
      </c>
      <c r="D7">
        <v>478412.21628552477</v>
      </c>
      <c r="E7">
        <v>629391.49198852363</v>
      </c>
      <c r="F7">
        <v>1343139.2777880598</v>
      </c>
      <c r="G7">
        <v>1985012.8172710938</v>
      </c>
      <c r="H7">
        <v>1495775.8808483472</v>
      </c>
      <c r="I7">
        <v>4127535.2720043752</v>
      </c>
      <c r="J7">
        <v>101394.60377698377</v>
      </c>
      <c r="K7">
        <v>382004.13826436095</v>
      </c>
      <c r="P7">
        <v>81682.525123973042</v>
      </c>
      <c r="U7">
        <v>26250.62572856489</v>
      </c>
      <c r="V7">
        <v>109918.04903716108</v>
      </c>
      <c r="Y7">
        <v>73432.681080405557</v>
      </c>
      <c r="AB7">
        <v>1312889.1947749816</v>
      </c>
      <c r="AC7">
        <v>444922.09232078737</v>
      </c>
      <c r="AD7">
        <v>106313.16875896142</v>
      </c>
      <c r="AE7">
        <v>190713.92984600976</v>
      </c>
      <c r="AF7">
        <v>221473.99459652256</v>
      </c>
      <c r="AG7">
        <v>399718.8</v>
      </c>
      <c r="AH7">
        <v>404555.07139431953</v>
      </c>
      <c r="AI7">
        <v>810230.04168340645</v>
      </c>
    </row>
    <row r="8" spans="1:35">
      <c r="A8" s="3">
        <v>37135</v>
      </c>
      <c r="B8" s="3">
        <v>37135</v>
      </c>
      <c r="C8">
        <v>1802415.6666254688</v>
      </c>
      <c r="D8">
        <v>486709.58596893988</v>
      </c>
      <c r="E8">
        <v>635280.85348361568</v>
      </c>
      <c r="F8">
        <v>1252327.8502585564</v>
      </c>
      <c r="G8">
        <v>1914155.4870895874</v>
      </c>
      <c r="H8">
        <v>1412295.707080015</v>
      </c>
      <c r="I8">
        <v>4235970.4418442724</v>
      </c>
      <c r="J8">
        <v>102825.4132107059</v>
      </c>
      <c r="K8">
        <v>387064.67612532072</v>
      </c>
      <c r="P8">
        <v>86803.649340982374</v>
      </c>
      <c r="U8">
        <v>27306.793470146702</v>
      </c>
      <c r="V8">
        <v>112071.59669795842</v>
      </c>
      <c r="Y8">
        <v>74390.085729863917</v>
      </c>
      <c r="AB8">
        <v>1347109.6971312421</v>
      </c>
      <c r="AC8">
        <v>497923.433954373</v>
      </c>
      <c r="AD8">
        <v>110005.48005722197</v>
      </c>
      <c r="AE8">
        <v>206398.63930044966</v>
      </c>
      <c r="AF8">
        <v>233158.23225011132</v>
      </c>
      <c r="AG8">
        <v>375176.6</v>
      </c>
      <c r="AH8">
        <v>373223.50552809914</v>
      </c>
      <c r="AI8">
        <v>840103.30520076328</v>
      </c>
    </row>
    <row r="9" spans="1:35">
      <c r="A9" s="3">
        <v>37226</v>
      </c>
      <c r="B9" s="3">
        <v>37226</v>
      </c>
      <c r="C9">
        <v>1840460.4728393587</v>
      </c>
      <c r="D9">
        <v>463761.5869251953</v>
      </c>
      <c r="E9">
        <v>678786.57280340162</v>
      </c>
      <c r="F9">
        <v>1173395.7284378847</v>
      </c>
      <c r="G9">
        <v>1938225.9444000055</v>
      </c>
      <c r="H9">
        <v>1385037.5078963707</v>
      </c>
      <c r="I9">
        <v>4365291.3625878906</v>
      </c>
      <c r="J9">
        <v>105809.76359268714</v>
      </c>
      <c r="K9">
        <v>397409.39420211542</v>
      </c>
      <c r="P9">
        <v>88771.887845715944</v>
      </c>
      <c r="U9">
        <v>27976.222073077173</v>
      </c>
      <c r="V9">
        <v>114850.2077631495</v>
      </c>
      <c r="Y9">
        <v>75412.22734108103</v>
      </c>
      <c r="AB9">
        <v>1361180.6523162879</v>
      </c>
      <c r="AC9">
        <v>507197.75700054603</v>
      </c>
      <c r="AD9">
        <v>119459.06081258589</v>
      </c>
      <c r="AE9">
        <v>232820.05792902186</v>
      </c>
      <c r="AF9">
        <v>244499.91892754115</v>
      </c>
      <c r="AG9">
        <v>355087.6</v>
      </c>
      <c r="AH9">
        <v>375455.54364183417</v>
      </c>
      <c r="AI9">
        <v>856488.99326920055</v>
      </c>
    </row>
    <row r="10" spans="1:35">
      <c r="A10" s="3">
        <v>37316</v>
      </c>
      <c r="B10" s="3">
        <v>37316</v>
      </c>
      <c r="C10">
        <v>1856126.9057717309</v>
      </c>
      <c r="D10">
        <v>473075.7627743124</v>
      </c>
      <c r="E10">
        <v>692552.17107636109</v>
      </c>
      <c r="F10">
        <v>1201189.1654937875</v>
      </c>
      <c r="G10">
        <v>2068513.2042024808</v>
      </c>
      <c r="H10">
        <v>1422275.1134220741</v>
      </c>
      <c r="I10">
        <v>4422885.0571302893</v>
      </c>
      <c r="J10">
        <v>104165.17427966504</v>
      </c>
      <c r="K10">
        <v>406145.29184177896</v>
      </c>
      <c r="P10">
        <v>89918.985822317889</v>
      </c>
      <c r="U10">
        <v>29051.744230482935</v>
      </c>
      <c r="V10">
        <v>117409.89956501538</v>
      </c>
      <c r="Y10">
        <v>76437.172686660182</v>
      </c>
      <c r="AB10">
        <v>1393908.362862688</v>
      </c>
      <c r="AC10">
        <v>535061.67917909299</v>
      </c>
      <c r="AD10">
        <v>116868.13566311695</v>
      </c>
      <c r="AE10">
        <v>243894.63537231105</v>
      </c>
      <c r="AF10">
        <v>250088.28905550498</v>
      </c>
      <c r="AG10">
        <v>360694</v>
      </c>
      <c r="AH10">
        <v>397247.77658691688</v>
      </c>
      <c r="AI10">
        <v>880638.5403949084</v>
      </c>
    </row>
    <row r="11" spans="1:35">
      <c r="A11" s="3">
        <v>37408</v>
      </c>
      <c r="B11" s="3">
        <v>37408</v>
      </c>
      <c r="C11">
        <v>1978679.250786128</v>
      </c>
      <c r="D11">
        <v>446877.91887274134</v>
      </c>
      <c r="E11">
        <v>699541.44488460198</v>
      </c>
      <c r="F11">
        <v>1128508.7487473642</v>
      </c>
      <c r="G11">
        <v>2200108.0510727717</v>
      </c>
      <c r="H11">
        <v>1480155.8807624017</v>
      </c>
      <c r="I11">
        <v>4523772.0470250407</v>
      </c>
      <c r="J11">
        <v>106977.1176411366</v>
      </c>
      <c r="K11">
        <v>415543.60141099378</v>
      </c>
      <c r="P11">
        <v>90950.192256447379</v>
      </c>
      <c r="U11">
        <v>30178.960917863431</v>
      </c>
      <c r="V11">
        <v>120206.91760010616</v>
      </c>
      <c r="Y11">
        <v>77569.693384551851</v>
      </c>
      <c r="AB11">
        <v>1425268.5063819564</v>
      </c>
      <c r="AC11">
        <v>522797.3112901703</v>
      </c>
      <c r="AD11">
        <v>109091.3593884955</v>
      </c>
      <c r="AE11">
        <v>237389.9247005771</v>
      </c>
      <c r="AF11">
        <v>289472.904085004</v>
      </c>
      <c r="AG11">
        <v>434544.8</v>
      </c>
      <c r="AH11">
        <v>438366.31985980208</v>
      </c>
      <c r="AI11">
        <v>936766.13477743103</v>
      </c>
    </row>
    <row r="12" spans="1:35">
      <c r="A12" s="3">
        <v>37500</v>
      </c>
      <c r="B12" s="3">
        <v>37500</v>
      </c>
      <c r="C12">
        <v>1963486.5044599378</v>
      </c>
      <c r="D12">
        <v>444164.10236214095</v>
      </c>
      <c r="E12">
        <v>717530.44266274199</v>
      </c>
      <c r="F12">
        <v>1331597.9236263079</v>
      </c>
      <c r="G12">
        <v>2290797.6006524083</v>
      </c>
      <c r="H12">
        <v>1514030.1469190379</v>
      </c>
      <c r="I12">
        <v>4659141.8077615276</v>
      </c>
      <c r="J12">
        <v>106682.53272129474</v>
      </c>
      <c r="K12">
        <v>435424.02652184694</v>
      </c>
      <c r="P12">
        <v>87808.630909743049</v>
      </c>
      <c r="U12">
        <v>31141.933999425546</v>
      </c>
      <c r="V12">
        <v>123206.2598213084</v>
      </c>
      <c r="Y12">
        <v>78738.107441765489</v>
      </c>
      <c r="AB12">
        <v>1468918.0776116054</v>
      </c>
      <c r="AC12">
        <v>525495.91022249556</v>
      </c>
      <c r="AD12">
        <v>110983.53698893083</v>
      </c>
      <c r="AE12">
        <v>236792.29488963273</v>
      </c>
      <c r="AF12">
        <v>313143.63869537791</v>
      </c>
      <c r="AG12">
        <v>470527.1</v>
      </c>
      <c r="AH12">
        <v>467607.52178824367</v>
      </c>
      <c r="AI12">
        <v>966177.1623987885</v>
      </c>
    </row>
    <row r="13" spans="1:35">
      <c r="A13" s="3">
        <v>37591</v>
      </c>
      <c r="B13" s="3">
        <v>37591</v>
      </c>
      <c r="C13">
        <v>1677445.9420196123</v>
      </c>
      <c r="D13">
        <v>458778.33587593288</v>
      </c>
      <c r="E13">
        <v>707048.00732970715</v>
      </c>
      <c r="F13">
        <v>1676772.8531410221</v>
      </c>
      <c r="G13">
        <v>2342246.6268994315</v>
      </c>
      <c r="H13">
        <v>1471806.8328857699</v>
      </c>
      <c r="I13">
        <v>4799199.7343965461</v>
      </c>
      <c r="J13">
        <v>104732.51061872557</v>
      </c>
      <c r="K13">
        <v>436022.09344865603</v>
      </c>
      <c r="P13">
        <v>126654.2326932954</v>
      </c>
      <c r="U13">
        <v>32104.980859960935</v>
      </c>
      <c r="V13">
        <v>127100.66348471487</v>
      </c>
      <c r="Y13">
        <v>79873.595996402597</v>
      </c>
      <c r="AB13">
        <v>1523444.1865206109</v>
      </c>
      <c r="AC13">
        <v>459902.83184602793</v>
      </c>
      <c r="AD13">
        <v>112513.72764088695</v>
      </c>
      <c r="AE13">
        <v>233484.67161827005</v>
      </c>
      <c r="AF13">
        <v>338334.80230217631</v>
      </c>
      <c r="AG13">
        <v>508731</v>
      </c>
      <c r="AH13">
        <v>465282.04877737537</v>
      </c>
      <c r="AI13">
        <v>1020758.4804836886</v>
      </c>
    </row>
    <row r="14" spans="1:35">
      <c r="A14" s="3">
        <v>37681</v>
      </c>
      <c r="B14" s="3">
        <v>37681</v>
      </c>
      <c r="C14">
        <v>2247885.3115731226</v>
      </c>
      <c r="D14">
        <v>482531.68833527406</v>
      </c>
      <c r="E14">
        <v>705144.73885101941</v>
      </c>
      <c r="F14">
        <v>1439839.4625248604</v>
      </c>
      <c r="G14">
        <v>2358854.5059132972</v>
      </c>
      <c r="H14">
        <v>1415228.6927716669</v>
      </c>
      <c r="I14">
        <v>4881604.5163342115</v>
      </c>
      <c r="J14">
        <v>106454.21496395323</v>
      </c>
      <c r="K14">
        <v>451478.24393189431</v>
      </c>
      <c r="P14">
        <v>113504.49760542123</v>
      </c>
      <c r="U14">
        <v>33422.329404839998</v>
      </c>
      <c r="V14">
        <v>131434.14234418972</v>
      </c>
      <c r="Y14">
        <v>81285.591438871037</v>
      </c>
      <c r="AB14">
        <v>1543228.1094418892</v>
      </c>
      <c r="AC14">
        <v>568589.23796927882</v>
      </c>
      <c r="AD14">
        <v>118910.02236798852</v>
      </c>
      <c r="AE14">
        <v>237840.0607942208</v>
      </c>
      <c r="AF14">
        <v>323889.41426057229</v>
      </c>
      <c r="AG14">
        <v>547722</v>
      </c>
      <c r="AH14">
        <v>494349.46055282227</v>
      </c>
      <c r="AI14">
        <v>1069866.0662044112</v>
      </c>
    </row>
    <row r="15" spans="1:35">
      <c r="A15" s="3">
        <v>37773</v>
      </c>
      <c r="B15" s="3">
        <v>37773</v>
      </c>
      <c r="C15">
        <v>2381386.3817518591</v>
      </c>
      <c r="D15">
        <v>503483.99184103747</v>
      </c>
      <c r="E15">
        <v>707106.36907830962</v>
      </c>
      <c r="F15">
        <v>1190214.5529222069</v>
      </c>
      <c r="G15">
        <v>2377654.7625665762</v>
      </c>
      <c r="H15">
        <v>1359258.4768274194</v>
      </c>
      <c r="I15">
        <v>4972267.8803168219</v>
      </c>
      <c r="J15">
        <v>104934.09334122157</v>
      </c>
      <c r="K15">
        <v>456485.49274224648</v>
      </c>
      <c r="P15">
        <v>110712.2864727386</v>
      </c>
      <c r="U15">
        <v>34648.085672226283</v>
      </c>
      <c r="V15">
        <v>135185.07264894643</v>
      </c>
      <c r="Y15">
        <v>82563.237112441348</v>
      </c>
      <c r="AB15">
        <v>1572039.5883098729</v>
      </c>
      <c r="AC15">
        <v>608195.65341302764</v>
      </c>
      <c r="AD15">
        <v>129626.98002150278</v>
      </c>
      <c r="AE15">
        <v>256736.63591059364</v>
      </c>
      <c r="AF15">
        <v>330219.96777907223</v>
      </c>
      <c r="AG15">
        <v>514216</v>
      </c>
      <c r="AH15">
        <v>462437.48670699674</v>
      </c>
      <c r="AI15">
        <v>1113819.7752128956</v>
      </c>
    </row>
    <row r="16" spans="1:35">
      <c r="A16" s="3">
        <v>37865</v>
      </c>
      <c r="B16" s="3">
        <v>37865</v>
      </c>
      <c r="C16">
        <v>2444016.0218444602</v>
      </c>
      <c r="D16">
        <v>482300.44997090916</v>
      </c>
      <c r="E16">
        <v>833240.45254039078</v>
      </c>
      <c r="F16">
        <v>1096119.1372834963</v>
      </c>
      <c r="G16">
        <v>2465363.6388783194</v>
      </c>
      <c r="H16">
        <v>1361276.9047817742</v>
      </c>
      <c r="I16">
        <v>5076652.1479330249</v>
      </c>
      <c r="J16">
        <v>109544.7837863953</v>
      </c>
      <c r="K16">
        <v>460371.30136657995</v>
      </c>
      <c r="P16">
        <v>112473.26009375979</v>
      </c>
      <c r="U16">
        <v>35988.90740747589</v>
      </c>
      <c r="V16">
        <v>138515.27716295945</v>
      </c>
      <c r="Y16">
        <v>83765.549357968208</v>
      </c>
      <c r="AB16">
        <v>1603568.6394020861</v>
      </c>
      <c r="AC16">
        <v>642733.08672110224</v>
      </c>
      <c r="AD16">
        <v>130496.435220491</v>
      </c>
      <c r="AE16">
        <v>287839.92072836793</v>
      </c>
      <c r="AF16">
        <v>362219.76800264599</v>
      </c>
      <c r="AG16">
        <v>573199.80000000005</v>
      </c>
      <c r="AH16">
        <v>485893.30327427055</v>
      </c>
      <c r="AI16">
        <v>1203830.4370056074</v>
      </c>
    </row>
    <row r="17" spans="1:35">
      <c r="A17" s="3">
        <v>37956</v>
      </c>
      <c r="B17" s="3">
        <v>37956</v>
      </c>
      <c r="C17">
        <v>2370040.4479695596</v>
      </c>
      <c r="D17">
        <v>506909.74703110382</v>
      </c>
      <c r="E17">
        <v>854338.0687002847</v>
      </c>
      <c r="F17">
        <v>1062508.9074178902</v>
      </c>
      <c r="G17">
        <v>2561693.5621313956</v>
      </c>
      <c r="H17">
        <v>1458727.0848787229</v>
      </c>
      <c r="I17">
        <v>5134120.0312691089</v>
      </c>
      <c r="J17">
        <v>105600.55663217508</v>
      </c>
      <c r="K17">
        <v>480111.41781770845</v>
      </c>
      <c r="P17">
        <v>109562.19583310319</v>
      </c>
      <c r="U17">
        <v>37456.295261491206</v>
      </c>
      <c r="V17">
        <v>142808.63788307545</v>
      </c>
      <c r="Y17">
        <v>84946.174481160197</v>
      </c>
      <c r="AB17">
        <v>1622694.0425398871</v>
      </c>
      <c r="AC17">
        <v>663014.47625861596</v>
      </c>
      <c r="AD17">
        <v>141726.50049187063</v>
      </c>
      <c r="AE17">
        <v>320165.80348524521</v>
      </c>
      <c r="AF17">
        <v>375896.28965252847</v>
      </c>
      <c r="AG17">
        <v>597843.30000000005</v>
      </c>
      <c r="AH17">
        <v>543460.95579710347</v>
      </c>
      <c r="AI17">
        <v>1282518.1275552108</v>
      </c>
    </row>
    <row r="18" spans="1:35">
      <c r="A18" s="3">
        <v>38047</v>
      </c>
      <c r="B18" s="3">
        <v>38047</v>
      </c>
      <c r="C18">
        <v>2307677.9533514907</v>
      </c>
      <c r="D18">
        <v>539621.19148757902</v>
      </c>
      <c r="E18">
        <v>891496.57836924098</v>
      </c>
      <c r="F18">
        <v>1181574.8189521087</v>
      </c>
      <c r="G18">
        <v>2641196.7738799616</v>
      </c>
      <c r="H18">
        <v>1516253.0595179766</v>
      </c>
      <c r="I18">
        <v>5305783.2673264099</v>
      </c>
      <c r="J18">
        <v>109331.96878550266</v>
      </c>
      <c r="K18">
        <v>491159.34705542092</v>
      </c>
      <c r="P18">
        <v>116876.92860984684</v>
      </c>
      <c r="U18">
        <v>39290.294583570059</v>
      </c>
      <c r="V18">
        <v>145761.14528362898</v>
      </c>
      <c r="Y18">
        <v>132154.79461721127</v>
      </c>
      <c r="AB18">
        <v>1674453.6174548888</v>
      </c>
      <c r="AC18">
        <v>729060.98477203643</v>
      </c>
      <c r="AD18">
        <v>156001.47665865478</v>
      </c>
      <c r="AE18">
        <v>348606.69593562873</v>
      </c>
      <c r="AF18">
        <v>416916.86736084585</v>
      </c>
      <c r="AG18">
        <v>645877.69999999995</v>
      </c>
      <c r="AH18">
        <v>627496.31317174085</v>
      </c>
      <c r="AI18">
        <v>1371540.3266091712</v>
      </c>
    </row>
    <row r="19" spans="1:35">
      <c r="A19" s="3">
        <v>38139</v>
      </c>
      <c r="B19" s="3">
        <v>38139</v>
      </c>
      <c r="C19">
        <v>2232531.5329579087</v>
      </c>
      <c r="D19">
        <v>536625.09440623736</v>
      </c>
      <c r="E19">
        <v>928677.30145782209</v>
      </c>
      <c r="F19">
        <v>1359707.0364251982</v>
      </c>
      <c r="G19">
        <v>2678147.8704918958</v>
      </c>
      <c r="H19">
        <v>1565365.6977976486</v>
      </c>
      <c r="I19">
        <v>5418159.4109537276</v>
      </c>
      <c r="J19">
        <v>109569.72996092419</v>
      </c>
      <c r="K19">
        <v>500925.38063540787</v>
      </c>
      <c r="P19">
        <v>122239.88241445777</v>
      </c>
      <c r="U19">
        <v>41357.096463463466</v>
      </c>
      <c r="V19">
        <v>150122.43264029321</v>
      </c>
      <c r="Y19">
        <v>142582.51660566943</v>
      </c>
      <c r="AB19">
        <v>1710750.3756742142</v>
      </c>
      <c r="AC19">
        <v>751169.58485687396</v>
      </c>
      <c r="AD19">
        <v>159962.06145161117</v>
      </c>
      <c r="AE19">
        <v>373815.93950071896</v>
      </c>
      <c r="AF19">
        <v>447645.55219447374</v>
      </c>
      <c r="AG19">
        <v>695108.9</v>
      </c>
      <c r="AH19">
        <v>622647.6358602586</v>
      </c>
      <c r="AI19">
        <v>1444208.7503712859</v>
      </c>
    </row>
    <row r="20" spans="1:35">
      <c r="A20" s="3">
        <v>38231</v>
      </c>
      <c r="B20" s="3">
        <v>38231</v>
      </c>
      <c r="C20">
        <v>2288185.2321488922</v>
      </c>
      <c r="D20">
        <v>594473.60592531273</v>
      </c>
      <c r="E20">
        <v>951719.94566088892</v>
      </c>
      <c r="F20">
        <v>1249412.0947030396</v>
      </c>
      <c r="G20">
        <v>2765536.3361431062</v>
      </c>
      <c r="H20">
        <v>1637503.5449982036</v>
      </c>
      <c r="I20">
        <v>5526277.4701799368</v>
      </c>
      <c r="J20">
        <v>107128.87448335838</v>
      </c>
      <c r="K20">
        <v>522550.0630912031</v>
      </c>
      <c r="P20">
        <v>124037.06577743395</v>
      </c>
      <c r="U20">
        <v>44607.154774849507</v>
      </c>
      <c r="V20">
        <v>154942.75345187096</v>
      </c>
      <c r="Y20">
        <v>156774.55820592123</v>
      </c>
      <c r="AB20">
        <v>1744518.985312545</v>
      </c>
      <c r="AC20">
        <v>790577.23544966511</v>
      </c>
      <c r="AD20">
        <v>181145.47950950151</v>
      </c>
      <c r="AE20">
        <v>390832.51229934016</v>
      </c>
      <c r="AF20">
        <v>451487.17785921198</v>
      </c>
      <c r="AG20">
        <v>849495.2</v>
      </c>
      <c r="AH20">
        <v>650431.6458143529</v>
      </c>
      <c r="AI20">
        <v>1535758.7590503043</v>
      </c>
    </row>
    <row r="21" spans="1:35">
      <c r="A21" s="3">
        <v>38322</v>
      </c>
      <c r="B21" s="3">
        <v>38322</v>
      </c>
      <c r="C21">
        <v>2400228.0073038526</v>
      </c>
      <c r="D21">
        <v>530599.66103572142</v>
      </c>
      <c r="E21">
        <v>961186.05983064987</v>
      </c>
      <c r="F21">
        <v>1192884.6198127877</v>
      </c>
      <c r="G21">
        <v>2716226.3826851808</v>
      </c>
      <c r="H21">
        <v>1622576.0158989306</v>
      </c>
      <c r="I21">
        <v>5650822.4166366132</v>
      </c>
      <c r="J21">
        <v>112879.87351263672</v>
      </c>
      <c r="K21">
        <v>520951.32105426735</v>
      </c>
      <c r="P21">
        <v>140279.02077569062</v>
      </c>
      <c r="U21">
        <v>48758.912073179781</v>
      </c>
      <c r="V21">
        <v>157490.42307822712</v>
      </c>
      <c r="Y21">
        <v>158982.92092455528</v>
      </c>
      <c r="AB21">
        <v>1785134.3699088029</v>
      </c>
      <c r="AC21">
        <v>829891.1371225731</v>
      </c>
      <c r="AD21">
        <v>175494.2651111226</v>
      </c>
      <c r="AE21">
        <v>428157.60083828104</v>
      </c>
      <c r="AF21">
        <v>312930.41831730056</v>
      </c>
      <c r="AG21">
        <v>875329.3</v>
      </c>
      <c r="AH21">
        <v>651618.29199797974</v>
      </c>
      <c r="AI21">
        <v>1595975.3439104764</v>
      </c>
    </row>
    <row r="22" spans="1:35">
      <c r="A22" s="3">
        <v>38412</v>
      </c>
      <c r="B22" s="3">
        <v>38412</v>
      </c>
      <c r="C22">
        <v>2432699.65969963</v>
      </c>
      <c r="D22">
        <v>539545.89011107141</v>
      </c>
      <c r="E22">
        <v>1187929.125602409</v>
      </c>
      <c r="F22">
        <v>1530904.1952116799</v>
      </c>
      <c r="G22">
        <v>2719805.2915328797</v>
      </c>
      <c r="H22">
        <v>1682401.9085212403</v>
      </c>
      <c r="I22">
        <v>5809761.7044653296</v>
      </c>
      <c r="J22">
        <v>113428.45335412692</v>
      </c>
      <c r="K22">
        <v>530592.42991121591</v>
      </c>
      <c r="P22">
        <v>152831.55784032357</v>
      </c>
      <c r="U22">
        <v>52402.700002026009</v>
      </c>
      <c r="V22">
        <v>161849.34001665231</v>
      </c>
      <c r="Y22">
        <v>91993.745917026332</v>
      </c>
      <c r="AB22">
        <v>1833285.7151268988</v>
      </c>
      <c r="AC22">
        <v>852934.31815376726</v>
      </c>
      <c r="AD22">
        <v>184012.37747486471</v>
      </c>
      <c r="AE22">
        <v>476467.46039632143</v>
      </c>
      <c r="AF22">
        <v>543890.29693686252</v>
      </c>
      <c r="AG22">
        <v>808383.6</v>
      </c>
      <c r="AH22">
        <v>732099.12101076962</v>
      </c>
      <c r="AI22">
        <v>1755320.9859704864</v>
      </c>
    </row>
    <row r="23" spans="1:35">
      <c r="A23" s="3">
        <v>38504</v>
      </c>
      <c r="B23" s="3">
        <v>38504</v>
      </c>
      <c r="C23">
        <v>2595739.3609997709</v>
      </c>
      <c r="D23">
        <v>633006.89060716203</v>
      </c>
      <c r="E23">
        <v>1177332.8508434589</v>
      </c>
      <c r="F23">
        <v>1292134.0388879674</v>
      </c>
      <c r="G23">
        <v>2760416.1524152569</v>
      </c>
      <c r="H23">
        <v>1765139.6715472008</v>
      </c>
      <c r="I23">
        <v>5896624.9422091795</v>
      </c>
      <c r="J23">
        <v>114942.06554236187</v>
      </c>
      <c r="K23">
        <v>530275.20815525413</v>
      </c>
      <c r="P23">
        <v>161358.04327427258</v>
      </c>
      <c r="U23">
        <v>57197.574115013871</v>
      </c>
      <c r="V23">
        <v>163160.96241632698</v>
      </c>
      <c r="Y23">
        <v>93142.97616881525</v>
      </c>
      <c r="AB23">
        <v>1863793.960511503</v>
      </c>
      <c r="AC23">
        <v>926477.53966677713</v>
      </c>
      <c r="AD23">
        <v>204654.14412469923</v>
      </c>
      <c r="AE23">
        <v>510930.23463297228</v>
      </c>
      <c r="AF23">
        <v>542281.38909064175</v>
      </c>
      <c r="AG23">
        <v>1059372.8999999999</v>
      </c>
      <c r="AH23">
        <v>839783.8488095745</v>
      </c>
      <c r="AI23">
        <v>1840416.3695956476</v>
      </c>
    </row>
    <row r="24" spans="1:35">
      <c r="A24" s="3">
        <v>38596</v>
      </c>
      <c r="B24" s="3">
        <v>38596</v>
      </c>
      <c r="C24">
        <v>2540794.9452902046</v>
      </c>
      <c r="D24">
        <v>613062.62182317174</v>
      </c>
      <c r="E24">
        <v>1198518.4573771548</v>
      </c>
      <c r="F24">
        <v>1662589.1082335827</v>
      </c>
      <c r="G24">
        <v>2694553.8995072441</v>
      </c>
      <c r="H24">
        <v>1809816.1099454518</v>
      </c>
      <c r="I24">
        <v>6035032.8151731445</v>
      </c>
      <c r="J24">
        <v>114953.79115583275</v>
      </c>
      <c r="K24">
        <v>527230.51421836345</v>
      </c>
      <c r="P24">
        <v>179145.47470897765</v>
      </c>
      <c r="U24">
        <v>62008.509052904417</v>
      </c>
      <c r="V24">
        <v>164386.39848220223</v>
      </c>
      <c r="Y24">
        <v>94296.657466615725</v>
      </c>
      <c r="AB24">
        <v>1910551.0178797212</v>
      </c>
      <c r="AC24">
        <v>952620.6573586727</v>
      </c>
      <c r="AD24">
        <v>220784.09808758981</v>
      </c>
      <c r="AE24">
        <v>559182.7083068802</v>
      </c>
      <c r="AF24">
        <v>601100.09320365347</v>
      </c>
      <c r="AG24">
        <v>1074925.2</v>
      </c>
      <c r="AH24">
        <v>851808.19227816735</v>
      </c>
      <c r="AI24">
        <v>1941403.4827082651</v>
      </c>
    </row>
    <row r="25" spans="1:35">
      <c r="A25" s="3">
        <v>38687</v>
      </c>
      <c r="B25" s="3">
        <v>38687</v>
      </c>
      <c r="C25">
        <v>2623498.3598320349</v>
      </c>
      <c r="D25">
        <v>665325.04146371584</v>
      </c>
      <c r="E25">
        <v>1210259.9013045968</v>
      </c>
      <c r="F25">
        <v>1719565.3438959792</v>
      </c>
      <c r="G25">
        <v>2758114.8610017896</v>
      </c>
      <c r="H25">
        <v>1871494.8156343994</v>
      </c>
      <c r="I25">
        <v>6232734.3100657715</v>
      </c>
      <c r="J25">
        <v>119878.11852132622</v>
      </c>
      <c r="K25">
        <v>546358.02994665934</v>
      </c>
      <c r="P25">
        <v>189755.60353871202</v>
      </c>
      <c r="U25">
        <v>67337.576474707952</v>
      </c>
      <c r="V25">
        <v>168066.08924028906</v>
      </c>
      <c r="Y25">
        <v>95254.456965864185</v>
      </c>
      <c r="AB25">
        <v>1973320.8292000885</v>
      </c>
      <c r="AC25">
        <v>1006689.9562906821</v>
      </c>
      <c r="AD25">
        <v>242075.32534164476</v>
      </c>
      <c r="AE25">
        <v>576369.12130611902</v>
      </c>
      <c r="AF25">
        <v>646829.0547018979</v>
      </c>
      <c r="AG25">
        <v>1121509.3999999999</v>
      </c>
      <c r="AH25">
        <v>946935.70284458809</v>
      </c>
      <c r="AI25">
        <v>2077807.6108468743</v>
      </c>
    </row>
    <row r="26" spans="1:35">
      <c r="A26" s="3">
        <v>38777</v>
      </c>
      <c r="B26" s="3">
        <v>38777</v>
      </c>
      <c r="C26">
        <v>2770953.8654052471</v>
      </c>
      <c r="D26">
        <v>698358.34628492687</v>
      </c>
      <c r="E26">
        <v>1658338.9573415227</v>
      </c>
      <c r="F26">
        <v>1604888.030329864</v>
      </c>
      <c r="G26">
        <v>2795686.6472047116</v>
      </c>
      <c r="H26">
        <v>1937625.7554942376</v>
      </c>
      <c r="I26">
        <v>6319803.1008307356</v>
      </c>
      <c r="J26">
        <v>119716.40469652612</v>
      </c>
      <c r="K26">
        <v>546903.35711044481</v>
      </c>
      <c r="P26">
        <v>201426.53111738421</v>
      </c>
      <c r="U26">
        <v>73916.89582080426</v>
      </c>
      <c r="V26">
        <v>169162.11968031808</v>
      </c>
      <c r="Y26">
        <v>96171.49897490938</v>
      </c>
      <c r="AB26">
        <v>2003869.0383608099</v>
      </c>
      <c r="AC26">
        <v>1072234.295755469</v>
      </c>
      <c r="AD26">
        <v>249462.22860748577</v>
      </c>
      <c r="AE26">
        <v>622191.34860283008</v>
      </c>
      <c r="AF26">
        <v>700186.58308345836</v>
      </c>
      <c r="AG26">
        <v>1053796.3</v>
      </c>
      <c r="AH26">
        <v>963110.21152116358</v>
      </c>
      <c r="AI26">
        <v>2257335.3145520533</v>
      </c>
    </row>
    <row r="27" spans="1:35">
      <c r="A27" s="3">
        <v>38869</v>
      </c>
      <c r="B27" s="3">
        <v>38869</v>
      </c>
      <c r="C27">
        <v>2747037.4766665353</v>
      </c>
      <c r="D27">
        <v>615777.56245691131</v>
      </c>
      <c r="E27">
        <v>1570789.0099935546</v>
      </c>
      <c r="F27">
        <v>1834387.8301744927</v>
      </c>
      <c r="G27">
        <v>2851806.383105048</v>
      </c>
      <c r="H27">
        <v>1929577.3569546968</v>
      </c>
      <c r="I27">
        <v>6562938.358164479</v>
      </c>
      <c r="J27">
        <v>121567.92601126693</v>
      </c>
      <c r="K27">
        <v>570064.46287941514</v>
      </c>
      <c r="P27">
        <v>218752.36924073257</v>
      </c>
      <c r="U27">
        <v>80854.314304827712</v>
      </c>
      <c r="V27">
        <v>172977.86576543457</v>
      </c>
      <c r="Y27">
        <v>97032.210855133788</v>
      </c>
      <c r="AB27">
        <v>2076927.3459028888</v>
      </c>
      <c r="AC27">
        <v>1116249.0098834143</v>
      </c>
      <c r="AD27">
        <v>259924.13523479973</v>
      </c>
      <c r="AE27">
        <v>707904.97383505001</v>
      </c>
      <c r="AF27">
        <v>714832.47676719259</v>
      </c>
      <c r="AG27">
        <v>1332303.2</v>
      </c>
      <c r="AH27">
        <v>1004209.7892510208</v>
      </c>
      <c r="AI27">
        <v>2430866.7037963415</v>
      </c>
    </row>
    <row r="28" spans="1:35">
      <c r="A28" s="3">
        <v>38961</v>
      </c>
      <c r="B28" s="3">
        <v>38961</v>
      </c>
      <c r="C28">
        <v>2926438.1352020819</v>
      </c>
      <c r="D28">
        <v>666171.03761017276</v>
      </c>
      <c r="E28">
        <v>1494852.339826928</v>
      </c>
      <c r="F28">
        <v>1722445.7279840554</v>
      </c>
      <c r="G28">
        <v>2965821.031766803</v>
      </c>
      <c r="H28">
        <v>2010431.5328247054</v>
      </c>
      <c r="I28">
        <v>6725290.9724717997</v>
      </c>
      <c r="J28">
        <v>127675.24303117891</v>
      </c>
      <c r="K28">
        <v>585008.45700528694</v>
      </c>
      <c r="P28">
        <v>235759.1176106091</v>
      </c>
      <c r="U28">
        <v>88046.808472072298</v>
      </c>
      <c r="V28">
        <v>176395.63680319683</v>
      </c>
      <c r="Y28">
        <v>97832.202385787386</v>
      </c>
      <c r="AB28">
        <v>2136101.9469306008</v>
      </c>
      <c r="AC28">
        <v>1150450.831205985</v>
      </c>
      <c r="AD28">
        <v>260211.9117547021</v>
      </c>
      <c r="AE28">
        <v>772409.23228027567</v>
      </c>
      <c r="AF28">
        <v>743162.47658917774</v>
      </c>
      <c r="AG28">
        <v>1470783</v>
      </c>
      <c r="AH28">
        <v>1024605.6492970814</v>
      </c>
      <c r="AI28">
        <v>2599480.1820738111</v>
      </c>
    </row>
    <row r="29" spans="1:35">
      <c r="A29" s="3">
        <v>39052</v>
      </c>
      <c r="B29" s="3">
        <v>39052</v>
      </c>
      <c r="C29">
        <v>2973602.6712142252</v>
      </c>
      <c r="D29">
        <v>694687.51589822106</v>
      </c>
      <c r="E29">
        <v>1495366.3056748654</v>
      </c>
      <c r="F29">
        <v>1997960.2818644654</v>
      </c>
      <c r="G29">
        <v>3041441.6162528628</v>
      </c>
      <c r="H29">
        <v>2169916.9738513636</v>
      </c>
      <c r="I29">
        <v>6933339.4673999446</v>
      </c>
      <c r="J29">
        <v>121246.84198964447</v>
      </c>
      <c r="K29">
        <v>585928.59335437743</v>
      </c>
      <c r="P29">
        <v>251034.16575283193</v>
      </c>
      <c r="U29">
        <v>93090.275175360424</v>
      </c>
      <c r="V29">
        <v>177616.71663871597</v>
      </c>
      <c r="Y29">
        <v>98773.595195494709</v>
      </c>
      <c r="AB29">
        <v>2190616.8141775485</v>
      </c>
      <c r="AC29">
        <v>1271387.3299730732</v>
      </c>
      <c r="AD29">
        <v>284624.0350001374</v>
      </c>
      <c r="AE29">
        <v>885106.06492870767</v>
      </c>
      <c r="AF29">
        <v>1234734.3226071827</v>
      </c>
      <c r="AG29">
        <v>1386045.5</v>
      </c>
      <c r="AH29">
        <v>1137224.8389355254</v>
      </c>
      <c r="AI29">
        <v>2865452.1706577693</v>
      </c>
    </row>
    <row r="30" spans="1:35">
      <c r="A30" s="3">
        <v>39142</v>
      </c>
      <c r="B30" s="3">
        <v>39142</v>
      </c>
      <c r="C30">
        <v>3034815.122142192</v>
      </c>
      <c r="D30">
        <v>720517.09594611044</v>
      </c>
      <c r="E30">
        <v>1433010.1996734138</v>
      </c>
      <c r="F30">
        <v>2009119.5687300295</v>
      </c>
      <c r="G30">
        <v>3122710.3973678765</v>
      </c>
      <c r="H30">
        <v>2356986.4099904769</v>
      </c>
      <c r="I30">
        <v>7071758.8194447337</v>
      </c>
      <c r="J30">
        <v>124879.14370290149</v>
      </c>
      <c r="K30">
        <v>598512.40505372756</v>
      </c>
      <c r="P30">
        <v>265495.9019299029</v>
      </c>
      <c r="U30">
        <v>122394.83500654597</v>
      </c>
      <c r="V30">
        <v>184060.7311023979</v>
      </c>
      <c r="Y30">
        <v>99671.69315832961</v>
      </c>
      <c r="AB30">
        <v>2235935.0003939848</v>
      </c>
      <c r="AC30">
        <v>1302544.5578294548</v>
      </c>
      <c r="AD30">
        <v>321320.94377716864</v>
      </c>
      <c r="AE30">
        <v>941631.05256138963</v>
      </c>
      <c r="AF30">
        <v>1119585.2728403164</v>
      </c>
      <c r="AG30">
        <v>1355581.3</v>
      </c>
      <c r="AH30">
        <v>1303970.3509263063</v>
      </c>
      <c r="AI30">
        <v>2941084.9296945152</v>
      </c>
    </row>
    <row r="31" spans="1:35">
      <c r="A31" s="3">
        <v>39234</v>
      </c>
      <c r="B31" s="3">
        <v>39234</v>
      </c>
      <c r="C31">
        <v>3143858.0488526686</v>
      </c>
      <c r="D31">
        <v>752338.41777341266</v>
      </c>
      <c r="E31">
        <v>2096710.0156849127</v>
      </c>
      <c r="F31">
        <v>2208255.0777907493</v>
      </c>
      <c r="G31">
        <v>3164959.7900110125</v>
      </c>
      <c r="H31">
        <v>2480133.9805716034</v>
      </c>
      <c r="I31">
        <v>7185904.3715946814</v>
      </c>
      <c r="J31">
        <v>125657.47437676763</v>
      </c>
      <c r="K31">
        <v>599551.14483243821</v>
      </c>
      <c r="P31">
        <v>284274.55585609342</v>
      </c>
      <c r="U31">
        <v>127934.31155697108</v>
      </c>
      <c r="V31">
        <v>187698.84662457337</v>
      </c>
      <c r="Y31">
        <v>100548.7165223901</v>
      </c>
      <c r="AB31">
        <v>2277588.3010735251</v>
      </c>
      <c r="AC31">
        <v>1401235.4394105715</v>
      </c>
      <c r="AD31">
        <v>339341.71161355358</v>
      </c>
      <c r="AE31">
        <v>964336.53104069713</v>
      </c>
      <c r="AF31">
        <v>1140770.8635731013</v>
      </c>
      <c r="AG31">
        <v>1547890.4999999998</v>
      </c>
      <c r="AH31">
        <v>1339861.9513174514</v>
      </c>
      <c r="AI31">
        <v>3141841.4041932789</v>
      </c>
    </row>
    <row r="32" spans="1:35">
      <c r="A32" s="3">
        <v>39326</v>
      </c>
      <c r="B32" s="3">
        <v>39326</v>
      </c>
      <c r="C32">
        <v>3277611.8180315085</v>
      </c>
      <c r="D32">
        <v>765789.08852840425</v>
      </c>
      <c r="E32">
        <v>1854107.6147312247</v>
      </c>
      <c r="F32">
        <v>2169534.7662899885</v>
      </c>
      <c r="G32">
        <v>3156563.7220245879</v>
      </c>
      <c r="H32">
        <v>2565822.1404480217</v>
      </c>
      <c r="I32">
        <v>7366204.6405729149</v>
      </c>
      <c r="J32">
        <v>151178.51784710796</v>
      </c>
      <c r="K32">
        <v>601940.40866959782</v>
      </c>
      <c r="P32">
        <v>296543.06387288036</v>
      </c>
      <c r="U32">
        <v>131173.61845045228</v>
      </c>
      <c r="V32">
        <v>193538.62279567667</v>
      </c>
      <c r="Y32">
        <v>101342.15660114129</v>
      </c>
      <c r="AB32">
        <v>2329022.8977339449</v>
      </c>
      <c r="AC32">
        <v>1551350.893537876</v>
      </c>
      <c r="AD32">
        <v>368303.03070030169</v>
      </c>
      <c r="AE32">
        <v>1002581.0319567909</v>
      </c>
      <c r="AF32">
        <v>1124440.2440800352</v>
      </c>
      <c r="AG32">
        <v>1611303.7999999998</v>
      </c>
      <c r="AH32">
        <v>1429553.3676995621</v>
      </c>
      <c r="AI32">
        <v>3310253.8600550299</v>
      </c>
    </row>
    <row r="33" spans="1:35">
      <c r="A33" s="3">
        <v>39417</v>
      </c>
      <c r="B33" s="3">
        <v>39417</v>
      </c>
      <c r="C33">
        <v>3196158.060155049</v>
      </c>
      <c r="D33">
        <v>793560.21677603514</v>
      </c>
      <c r="E33">
        <v>1713376.2228150237</v>
      </c>
      <c r="F33">
        <v>2185522.2970784367</v>
      </c>
      <c r="G33">
        <v>3241549.3883918384</v>
      </c>
      <c r="H33">
        <v>2515644.4921231703</v>
      </c>
      <c r="I33">
        <v>7372774.0269893091</v>
      </c>
      <c r="J33">
        <v>133930.65995327989</v>
      </c>
      <c r="K33">
        <v>616357.33203109796</v>
      </c>
      <c r="P33">
        <v>209476.23503193317</v>
      </c>
      <c r="U33">
        <v>133980.50540051356</v>
      </c>
      <c r="V33">
        <v>194732.3863440089</v>
      </c>
      <c r="Y33">
        <v>102141.34913190927</v>
      </c>
      <c r="AB33">
        <v>2335524.8951630234</v>
      </c>
      <c r="AC33">
        <v>1448999.010548848</v>
      </c>
      <c r="AD33">
        <v>379113.9356152261</v>
      </c>
      <c r="AE33">
        <v>1016120.5836343399</v>
      </c>
      <c r="AF33">
        <v>1109337.2554951746</v>
      </c>
      <c r="AG33">
        <v>1821820.3000000007</v>
      </c>
      <c r="AH33">
        <v>1413195.0587688407</v>
      </c>
      <c r="AI33">
        <v>3453143.6732765599</v>
      </c>
    </row>
    <row r="34" spans="1:35">
      <c r="A34" s="3">
        <v>39508</v>
      </c>
      <c r="B34" s="3">
        <v>39508</v>
      </c>
      <c r="C34">
        <v>3272559.3535711393</v>
      </c>
      <c r="D34">
        <v>771976.1466919966</v>
      </c>
      <c r="E34">
        <v>1663508.0027210938</v>
      </c>
      <c r="F34">
        <v>1748299.5650126254</v>
      </c>
      <c r="G34">
        <v>3273840.9303186797</v>
      </c>
      <c r="H34">
        <v>2339488.4469235172</v>
      </c>
      <c r="I34">
        <v>7507217.5871871114</v>
      </c>
      <c r="J34">
        <v>127772.00372780852</v>
      </c>
      <c r="K34">
        <v>620544.37560748949</v>
      </c>
      <c r="P34">
        <v>300919.38615469879</v>
      </c>
      <c r="U34">
        <v>133661.23395170024</v>
      </c>
      <c r="V34">
        <v>196485.3467999346</v>
      </c>
      <c r="Y34">
        <v>102594.53227294098</v>
      </c>
      <c r="AB34">
        <v>2375467.3315471481</v>
      </c>
      <c r="AC34">
        <v>1648641.8431392508</v>
      </c>
      <c r="AD34">
        <v>385277.53092253662</v>
      </c>
      <c r="AE34">
        <v>1065949.585591661</v>
      </c>
      <c r="AF34">
        <v>1050226.5437580459</v>
      </c>
      <c r="AG34">
        <v>2029163.5</v>
      </c>
      <c r="AH34">
        <v>1409788.5717387649</v>
      </c>
      <c r="AI34">
        <v>3817512.3455509036</v>
      </c>
    </row>
    <row r="35" spans="1:35">
      <c r="A35" s="3">
        <v>39600</v>
      </c>
      <c r="B35" s="3">
        <v>39600</v>
      </c>
      <c r="C35">
        <v>3244456.2424831553</v>
      </c>
      <c r="D35">
        <v>782868.74912166095</v>
      </c>
      <c r="E35">
        <v>1962672.1245439488</v>
      </c>
      <c r="F35">
        <v>2121808.1773278536</v>
      </c>
      <c r="G35">
        <v>3235729.5062692361</v>
      </c>
      <c r="H35">
        <v>2336478.6370219602</v>
      </c>
      <c r="I35">
        <v>7538522.153602723</v>
      </c>
      <c r="J35">
        <v>128558.69118450394</v>
      </c>
      <c r="K35">
        <v>618140.42310589866</v>
      </c>
      <c r="P35">
        <v>295539.55430612533</v>
      </c>
      <c r="U35">
        <v>132542.68797441159</v>
      </c>
      <c r="V35">
        <v>199081.79972630506</v>
      </c>
      <c r="Y35">
        <v>102975.7961328212</v>
      </c>
      <c r="AB35">
        <v>2381719.0366465054</v>
      </c>
      <c r="AC35">
        <v>1704821.6375743994</v>
      </c>
      <c r="AD35">
        <v>398400.07888526138</v>
      </c>
      <c r="AE35">
        <v>1101212.0876851934</v>
      </c>
      <c r="AF35">
        <v>1143858.691497734</v>
      </c>
      <c r="AG35">
        <v>2480119</v>
      </c>
      <c r="AH35">
        <v>1552708.1597825286</v>
      </c>
      <c r="AI35">
        <v>4157023.3317147372</v>
      </c>
    </row>
    <row r="36" spans="1:35">
      <c r="A36" s="3">
        <v>39692</v>
      </c>
      <c r="B36" s="3">
        <v>39692</v>
      </c>
      <c r="C36">
        <v>3149738.8487271261</v>
      </c>
      <c r="D36">
        <v>787483.04050008184</v>
      </c>
      <c r="E36">
        <v>1796527.4834567846</v>
      </c>
      <c r="F36">
        <v>1897239.0420314164</v>
      </c>
      <c r="G36">
        <v>3137488.033686345</v>
      </c>
      <c r="H36">
        <v>2191267.0364711541</v>
      </c>
      <c r="I36">
        <v>7473624.6020404734</v>
      </c>
      <c r="J36">
        <v>127784.08247428565</v>
      </c>
      <c r="K36">
        <v>614468.65140029194</v>
      </c>
      <c r="P36">
        <v>282166.58523629187</v>
      </c>
      <c r="U36">
        <v>131214.33657945858</v>
      </c>
      <c r="V36">
        <v>200165.85921335226</v>
      </c>
      <c r="Y36">
        <v>103758.8032020277</v>
      </c>
      <c r="AB36">
        <v>2351427.0887836418</v>
      </c>
      <c r="AC36">
        <v>1691386.3393434216</v>
      </c>
      <c r="AD36">
        <v>413614.04601749277</v>
      </c>
      <c r="AE36">
        <v>1067055.9989735687</v>
      </c>
      <c r="AF36">
        <v>1128400.0539261391</v>
      </c>
      <c r="AG36">
        <v>2695848.5</v>
      </c>
      <c r="AH36">
        <v>1591704.6394625767</v>
      </c>
      <c r="AI36">
        <v>4435692.5936610447</v>
      </c>
    </row>
    <row r="37" spans="1:35">
      <c r="A37" s="3">
        <v>39783</v>
      </c>
      <c r="B37" s="3">
        <v>39783</v>
      </c>
      <c r="C37">
        <v>3745278.5585575192</v>
      </c>
      <c r="D37">
        <v>789947.94697334804</v>
      </c>
      <c r="E37">
        <v>1668305.0296199513</v>
      </c>
      <c r="F37">
        <v>1786429.1722313405</v>
      </c>
      <c r="G37">
        <v>3014146.793468954</v>
      </c>
      <c r="H37">
        <v>1944801.2982628902</v>
      </c>
      <c r="I37">
        <v>7410947.9558705911</v>
      </c>
      <c r="J37">
        <v>122867.0129766662</v>
      </c>
      <c r="K37">
        <v>601220.9376107211</v>
      </c>
      <c r="P37">
        <v>216680.09800807523</v>
      </c>
      <c r="U37">
        <v>130031.97758648508</v>
      </c>
      <c r="V37">
        <v>204297.58199254327</v>
      </c>
      <c r="Y37">
        <v>109318.94223952969</v>
      </c>
      <c r="AB37">
        <v>2339972.0330814891</v>
      </c>
      <c r="AC37">
        <v>1891754.7084817747</v>
      </c>
      <c r="AD37">
        <v>436951.16896122659</v>
      </c>
      <c r="AE37">
        <v>1039909.1357848028</v>
      </c>
      <c r="AF37">
        <v>1128338.9039251644</v>
      </c>
      <c r="AG37">
        <v>1968532</v>
      </c>
      <c r="AH37">
        <v>1390520.008494447</v>
      </c>
      <c r="AI37">
        <v>3576475.310502728</v>
      </c>
    </row>
    <row r="38" spans="1:35">
      <c r="A38" s="3">
        <v>39873</v>
      </c>
      <c r="B38" s="3">
        <v>39873</v>
      </c>
      <c r="C38">
        <v>3283901.3871317222</v>
      </c>
      <c r="D38">
        <v>748568.0247942647</v>
      </c>
      <c r="E38">
        <v>1594466.5191942335</v>
      </c>
      <c r="F38">
        <v>2123899.3358354936</v>
      </c>
      <c r="G38">
        <v>2860176.4907349437</v>
      </c>
      <c r="H38">
        <v>1957504.0717632014</v>
      </c>
      <c r="I38">
        <v>7400077.5627136063</v>
      </c>
      <c r="J38">
        <v>129217.0153914109</v>
      </c>
      <c r="K38">
        <v>607552.54330126394</v>
      </c>
      <c r="L38">
        <v>358106.99739955901</v>
      </c>
      <c r="M38">
        <v>202375.31910177929</v>
      </c>
      <c r="N38">
        <v>39089.93952209023</v>
      </c>
      <c r="O38">
        <v>7121.6706873702069</v>
      </c>
      <c r="P38">
        <v>274631.90145194455</v>
      </c>
      <c r="R38">
        <v>260714.40660738223</v>
      </c>
      <c r="S38">
        <v>237238.77192214099</v>
      </c>
      <c r="T38">
        <v>93793.740547780166</v>
      </c>
      <c r="U38">
        <v>127760.38006121434</v>
      </c>
      <c r="V38">
        <v>204821.300145285</v>
      </c>
      <c r="W38">
        <v>78730.662587251441</v>
      </c>
      <c r="X38">
        <v>43950.50584874273</v>
      </c>
      <c r="Y38">
        <v>154918.28050023969</v>
      </c>
      <c r="Z38">
        <v>30696.853781653055</v>
      </c>
      <c r="AB38">
        <v>2341135.9779302957</v>
      </c>
      <c r="AC38">
        <v>1872159.0242052984</v>
      </c>
      <c r="AD38">
        <v>458874.1388228155</v>
      </c>
      <c r="AE38">
        <v>1047482.7445481298</v>
      </c>
      <c r="AF38">
        <v>1249001.1345678868</v>
      </c>
      <c r="AG38">
        <v>1264536.7</v>
      </c>
      <c r="AH38">
        <v>1384351.9343115822</v>
      </c>
      <c r="AI38">
        <v>3742008.3465732839</v>
      </c>
    </row>
    <row r="39" spans="1:35">
      <c r="A39" s="3">
        <v>39965</v>
      </c>
      <c r="B39" s="3">
        <v>39965</v>
      </c>
      <c r="C39">
        <v>3321940.6445865072</v>
      </c>
      <c r="D39">
        <v>825399.40029745421</v>
      </c>
      <c r="E39">
        <v>1598840.8975167645</v>
      </c>
      <c r="F39">
        <v>1746845.2606386626</v>
      </c>
      <c r="G39">
        <v>2797742.0130182691</v>
      </c>
      <c r="H39">
        <v>1830602.3375471802</v>
      </c>
      <c r="I39">
        <v>7425265.41334798</v>
      </c>
      <c r="J39">
        <v>129078.7277892963</v>
      </c>
      <c r="K39">
        <v>619693.49394150171</v>
      </c>
      <c r="L39">
        <v>362852.31077773316</v>
      </c>
      <c r="M39">
        <v>204777.56213822367</v>
      </c>
      <c r="N39">
        <v>39597.80333804767</v>
      </c>
      <c r="O39">
        <v>7255.1419580346801</v>
      </c>
      <c r="P39">
        <v>261960.00027096682</v>
      </c>
      <c r="R39">
        <v>264924.49633100507</v>
      </c>
      <c r="S39">
        <v>237152.61857595958</v>
      </c>
      <c r="T39">
        <v>95751.678429190273</v>
      </c>
      <c r="U39">
        <v>124159.06247502154</v>
      </c>
      <c r="V39">
        <v>206176.31171942616</v>
      </c>
      <c r="W39">
        <v>81541.106779810129</v>
      </c>
      <c r="X39">
        <v>44485.600982591393</v>
      </c>
      <c r="Y39">
        <v>154792.19259422764</v>
      </c>
      <c r="Z39">
        <v>33016.361404564399</v>
      </c>
      <c r="AB39">
        <v>2333452.8964838344</v>
      </c>
      <c r="AC39">
        <v>1924204.105361423</v>
      </c>
      <c r="AD39">
        <v>486863.54693821276</v>
      </c>
      <c r="AE39">
        <v>1111900.5767319035</v>
      </c>
      <c r="AF39">
        <v>1183863.8083817647</v>
      </c>
      <c r="AG39">
        <v>1558935.5999999999</v>
      </c>
      <c r="AH39">
        <v>1450439.0185880556</v>
      </c>
      <c r="AI39">
        <v>3990908.0804833011</v>
      </c>
    </row>
    <row r="40" spans="1:35">
      <c r="A40" s="3">
        <v>40057</v>
      </c>
      <c r="B40" s="3">
        <v>40057</v>
      </c>
      <c r="C40">
        <v>3358362.1663380382</v>
      </c>
      <c r="D40">
        <v>783271.99879764137</v>
      </c>
      <c r="E40">
        <v>2228112.9207106885</v>
      </c>
      <c r="F40">
        <v>2095580.5229980242</v>
      </c>
      <c r="G40">
        <v>2874048.4445299199</v>
      </c>
      <c r="H40">
        <v>1722119.976649395</v>
      </c>
      <c r="I40">
        <v>7568290.7013229346</v>
      </c>
      <c r="J40">
        <v>129427.36187887403</v>
      </c>
      <c r="K40">
        <v>644118.16824464721</v>
      </c>
      <c r="L40">
        <v>371970.92968135391</v>
      </c>
      <c r="M40">
        <v>237425.04596713217</v>
      </c>
      <c r="N40">
        <v>40309.648886874071</v>
      </c>
      <c r="O40">
        <v>7371.8497522529642</v>
      </c>
      <c r="P40">
        <v>261112.26321792111</v>
      </c>
      <c r="R40">
        <v>274317.23012710828</v>
      </c>
      <c r="S40">
        <v>240791.62648219254</v>
      </c>
      <c r="T40">
        <v>97768.193467129851</v>
      </c>
      <c r="U40">
        <v>102060.61613750957</v>
      </c>
      <c r="V40">
        <v>206506.04087930251</v>
      </c>
      <c r="W40">
        <v>81832.391234602997</v>
      </c>
      <c r="X40">
        <v>45987.915634609097</v>
      </c>
      <c r="Y40">
        <v>154857.7119660957</v>
      </c>
      <c r="Z40">
        <v>35684.916440551839</v>
      </c>
      <c r="AB40">
        <v>2366577.1131912274</v>
      </c>
      <c r="AC40">
        <v>2007065.6495092711</v>
      </c>
      <c r="AD40">
        <v>504370.08057157311</v>
      </c>
      <c r="AE40">
        <v>1204104.5283438026</v>
      </c>
      <c r="AF40">
        <v>1270837.5697159439</v>
      </c>
      <c r="AG40">
        <v>2040375.2999999998</v>
      </c>
      <c r="AH40">
        <v>1471360.1771360741</v>
      </c>
      <c r="AI40">
        <v>4367366.0593071999</v>
      </c>
    </row>
    <row r="41" spans="1:35">
      <c r="A41" s="3">
        <v>40148</v>
      </c>
      <c r="B41" s="3">
        <v>40148</v>
      </c>
      <c r="C41">
        <v>3464287.9591715573</v>
      </c>
      <c r="D41">
        <v>808122.01476402453</v>
      </c>
      <c r="E41">
        <v>1589633.0859670318</v>
      </c>
      <c r="F41">
        <v>1689988.2705488056</v>
      </c>
      <c r="G41">
        <v>2954124.5558113437</v>
      </c>
      <c r="H41">
        <v>1877271.5706314058</v>
      </c>
      <c r="I41">
        <v>7779172.6981253074</v>
      </c>
      <c r="J41">
        <v>188886.32954605308</v>
      </c>
      <c r="K41">
        <v>669868.06045694381</v>
      </c>
      <c r="L41">
        <v>367400.21308244875</v>
      </c>
      <c r="M41">
        <v>243740.14888099913</v>
      </c>
      <c r="N41">
        <v>41497.630063801509</v>
      </c>
      <c r="O41">
        <v>4754.7727456865132</v>
      </c>
      <c r="P41">
        <v>258068.43626004056</v>
      </c>
      <c r="R41">
        <v>281764.57731706137</v>
      </c>
      <c r="S41">
        <v>244586.66618494946</v>
      </c>
      <c r="T41">
        <v>100143.31828796731</v>
      </c>
      <c r="U41">
        <v>101279.71293432274</v>
      </c>
      <c r="V41">
        <v>208123.98307826274</v>
      </c>
      <c r="W41">
        <v>81962.59448082259</v>
      </c>
      <c r="X41">
        <v>25327.067149350099</v>
      </c>
      <c r="Y41">
        <v>155337.66417202351</v>
      </c>
      <c r="Z41">
        <v>37974.034631173607</v>
      </c>
      <c r="AB41">
        <v>2505950.7787475293</v>
      </c>
      <c r="AC41">
        <v>2032547.0585337214</v>
      </c>
      <c r="AD41">
        <v>517932.46948266774</v>
      </c>
      <c r="AE41">
        <v>1177614.0622494698</v>
      </c>
      <c r="AF41">
        <v>1249917.2343662195</v>
      </c>
      <c r="AG41">
        <v>2251883.6000000006</v>
      </c>
      <c r="AH41">
        <v>1446689.9638272536</v>
      </c>
      <c r="AI41">
        <v>4627523.1711762901</v>
      </c>
    </row>
    <row r="42" spans="1:35">
      <c r="A42" s="3">
        <v>40238</v>
      </c>
      <c r="B42" s="3">
        <v>40238</v>
      </c>
      <c r="C42">
        <v>3539698.0528870048</v>
      </c>
      <c r="D42">
        <v>819983.91780556773</v>
      </c>
      <c r="E42">
        <v>1650588.4811506916</v>
      </c>
      <c r="F42">
        <v>1927709.8097344397</v>
      </c>
      <c r="G42">
        <v>2951459.6151156854</v>
      </c>
      <c r="H42">
        <v>1839064.1046931115</v>
      </c>
      <c r="I42">
        <v>7894421.082572924</v>
      </c>
      <c r="J42">
        <v>132439.3167805727</v>
      </c>
      <c r="K42">
        <v>678872.44573465665</v>
      </c>
      <c r="L42">
        <v>382374.76133578346</v>
      </c>
      <c r="M42">
        <v>246074.05818468702</v>
      </c>
      <c r="N42">
        <v>41571.30021288275</v>
      </c>
      <c r="O42">
        <v>7617.8589067998619</v>
      </c>
      <c r="P42">
        <v>260065.24713614563</v>
      </c>
      <c r="R42">
        <v>291118.58774444595</v>
      </c>
      <c r="S42">
        <v>250851.61671770713</v>
      </c>
      <c r="T42">
        <v>102258.15048437484</v>
      </c>
      <c r="U42">
        <v>99844.137816086208</v>
      </c>
      <c r="V42">
        <v>210425.82710434592</v>
      </c>
      <c r="W42">
        <v>85386.078057246792</v>
      </c>
      <c r="X42">
        <v>48419.364367417234</v>
      </c>
      <c r="Y42">
        <v>156596.89613904976</v>
      </c>
      <c r="Z42">
        <v>41196.755130264086</v>
      </c>
      <c r="AB42">
        <v>2514426.000155977</v>
      </c>
      <c r="AC42">
        <v>2175920.9144125157</v>
      </c>
      <c r="AD42">
        <v>531480.40254470077</v>
      </c>
      <c r="AE42">
        <v>1187371.5842875275</v>
      </c>
      <c r="AF42">
        <v>1246907.3253282793</v>
      </c>
      <c r="AG42">
        <v>2134610.7999999998</v>
      </c>
      <c r="AH42">
        <v>1447200.9609212365</v>
      </c>
      <c r="AI42">
        <v>4902240.5996113913</v>
      </c>
    </row>
    <row r="43" spans="1:35">
      <c r="A43" s="3">
        <v>40330</v>
      </c>
      <c r="B43" s="3">
        <v>40330</v>
      </c>
      <c r="C43">
        <v>3618302.5584288016</v>
      </c>
      <c r="D43">
        <v>790948.06656945986</v>
      </c>
      <c r="E43">
        <v>1665401.3066403177</v>
      </c>
      <c r="F43">
        <v>1901711.745051343</v>
      </c>
      <c r="G43">
        <v>2975456.2662701765</v>
      </c>
      <c r="H43">
        <v>1804352.4927887951</v>
      </c>
      <c r="I43">
        <v>8055979.910857955</v>
      </c>
      <c r="J43">
        <v>133766.93607065384</v>
      </c>
      <c r="K43">
        <v>694566.15314820863</v>
      </c>
      <c r="L43">
        <v>386233.4192130072</v>
      </c>
      <c r="M43">
        <v>251112.65090348871</v>
      </c>
      <c r="N43">
        <v>42081.742659482559</v>
      </c>
      <c r="O43">
        <v>7736.1662399649977</v>
      </c>
      <c r="P43">
        <v>268788.13683650066</v>
      </c>
      <c r="R43">
        <v>302515.31985872902</v>
      </c>
      <c r="S43">
        <v>258345.13246045596</v>
      </c>
      <c r="T43">
        <v>105386.4539665504</v>
      </c>
      <c r="U43">
        <v>98899.539064591358</v>
      </c>
      <c r="V43">
        <v>211478.60401016378</v>
      </c>
      <c r="W43">
        <v>84446.156716905418</v>
      </c>
      <c r="X43">
        <v>41190.162045135548</v>
      </c>
      <c r="Y43">
        <v>158150.11942043842</v>
      </c>
      <c r="Z43">
        <v>27712.50690631774</v>
      </c>
      <c r="AB43">
        <v>2550142.7766677709</v>
      </c>
      <c r="AC43">
        <v>2267734.6853853576</v>
      </c>
      <c r="AD43">
        <v>574095.59643590206</v>
      </c>
      <c r="AE43">
        <v>1249016.9208749838</v>
      </c>
      <c r="AF43">
        <v>1353547.7491681555</v>
      </c>
      <c r="AG43">
        <v>2545710.4000000004</v>
      </c>
      <c r="AH43">
        <v>1501901.9016089609</v>
      </c>
      <c r="AI43">
        <v>5206430.6888209637</v>
      </c>
    </row>
    <row r="44" spans="1:35">
      <c r="A44" s="3">
        <v>40422</v>
      </c>
      <c r="B44" s="3">
        <v>40422</v>
      </c>
      <c r="C44">
        <v>3779778.1697539361</v>
      </c>
      <c r="D44">
        <v>789419.98683440709</v>
      </c>
      <c r="E44">
        <v>1721501.9595161004</v>
      </c>
      <c r="F44">
        <v>1774517.6739895393</v>
      </c>
      <c r="G44">
        <v>3015422.7232590094</v>
      </c>
      <c r="H44">
        <v>2034633.3473018825</v>
      </c>
      <c r="I44">
        <v>8138225.9280994274</v>
      </c>
      <c r="J44">
        <v>106713.30570972354</v>
      </c>
      <c r="K44">
        <v>697828.03706058848</v>
      </c>
      <c r="L44">
        <v>390827.6729818387</v>
      </c>
      <c r="M44">
        <v>255954.56088516093</v>
      </c>
      <c r="N44">
        <v>42435.080806206781</v>
      </c>
      <c r="O44">
        <v>7646.7511903062577</v>
      </c>
      <c r="P44">
        <v>270364.21926754899</v>
      </c>
      <c r="R44">
        <v>308965.91369068826</v>
      </c>
      <c r="S44">
        <v>261816.11420406983</v>
      </c>
      <c r="T44">
        <v>108506.64692568297</v>
      </c>
      <c r="U44">
        <v>96734.61766196409</v>
      </c>
      <c r="V44">
        <v>212701.36596343381</v>
      </c>
      <c r="W44">
        <v>87884.479890703893</v>
      </c>
      <c r="X44">
        <v>50021.797836093479</v>
      </c>
      <c r="Y44">
        <v>159660.85219864798</v>
      </c>
      <c r="Z44">
        <v>47309.890337711411</v>
      </c>
      <c r="AB44">
        <v>2561798.1735809688</v>
      </c>
      <c r="AC44">
        <v>2428299.5962335397</v>
      </c>
      <c r="AD44">
        <v>605617.09474877396</v>
      </c>
      <c r="AE44">
        <v>1274141.5382458267</v>
      </c>
      <c r="AF44">
        <v>1358598.7784201342</v>
      </c>
      <c r="AG44">
        <v>2438939.7000000002</v>
      </c>
      <c r="AH44">
        <v>1696433.8827413516</v>
      </c>
      <c r="AI44">
        <v>5413740.9790279847</v>
      </c>
    </row>
    <row r="45" spans="1:35">
      <c r="A45" s="3">
        <v>40513</v>
      </c>
      <c r="B45" s="3">
        <v>40513</v>
      </c>
      <c r="C45">
        <v>3853288.4216968096</v>
      </c>
      <c r="D45">
        <v>872735.34116123209</v>
      </c>
      <c r="E45">
        <v>1797466.4697830419</v>
      </c>
      <c r="F45">
        <v>2169525.0793332146</v>
      </c>
      <c r="G45">
        <v>2868174.3214555336</v>
      </c>
      <c r="H45">
        <v>1949164.868853688</v>
      </c>
      <c r="I45">
        <v>8321565.9075424233</v>
      </c>
      <c r="J45">
        <v>131925.91337608572</v>
      </c>
      <c r="K45">
        <v>714923.99958489428</v>
      </c>
      <c r="L45">
        <v>404566.48484140181</v>
      </c>
      <c r="M45">
        <v>259889.02339128865</v>
      </c>
      <c r="N45">
        <v>42176.975097948445</v>
      </c>
      <c r="O45">
        <v>7594.7247729694982</v>
      </c>
      <c r="P45">
        <v>276363.16427934007</v>
      </c>
      <c r="R45">
        <v>324704.80138097377</v>
      </c>
      <c r="S45">
        <v>270121.25329963007</v>
      </c>
      <c r="T45">
        <v>112520.70815768641</v>
      </c>
      <c r="U45">
        <v>94035.836076586929</v>
      </c>
      <c r="V45">
        <v>212698.52144226211</v>
      </c>
      <c r="W45">
        <v>89048.490576839482</v>
      </c>
      <c r="X45">
        <v>50483.955308480319</v>
      </c>
      <c r="Y45">
        <v>160956.53941752049</v>
      </c>
      <c r="Z45">
        <v>49706.153506408438</v>
      </c>
      <c r="AB45">
        <v>2643116.096387377</v>
      </c>
      <c r="AC45">
        <v>2560970.2603982287</v>
      </c>
      <c r="AD45">
        <v>630090.35077143321</v>
      </c>
      <c r="AE45">
        <v>1382077.3604233593</v>
      </c>
      <c r="AF45">
        <v>1471110.6617498668</v>
      </c>
      <c r="AG45">
        <v>2532835.5999999996</v>
      </c>
      <c r="AH45">
        <v>1818154.3545446212</v>
      </c>
      <c r="AI45">
        <v>5980958.3053695662</v>
      </c>
    </row>
    <row r="46" spans="1:35">
      <c r="A46" s="3">
        <v>40603</v>
      </c>
      <c r="B46" s="3">
        <v>40603</v>
      </c>
      <c r="C46">
        <v>3928440.5885149194</v>
      </c>
      <c r="D46">
        <v>875889.82115755358</v>
      </c>
      <c r="E46">
        <v>1781972.9135900156</v>
      </c>
      <c r="F46">
        <v>2004004.0037143903</v>
      </c>
      <c r="G46">
        <v>2917896.491435322</v>
      </c>
      <c r="H46">
        <v>1928922.5253383559</v>
      </c>
      <c r="I46">
        <v>8468789.6113187727</v>
      </c>
      <c r="J46">
        <v>136978.28329205891</v>
      </c>
      <c r="K46">
        <v>715930.67139341217</v>
      </c>
      <c r="L46">
        <v>397189.20393695665</v>
      </c>
      <c r="M46">
        <v>264893.60186270985</v>
      </c>
      <c r="N46">
        <v>44048.712178425019</v>
      </c>
      <c r="O46">
        <v>7745.5947866183897</v>
      </c>
      <c r="P46">
        <v>276723.80518813879</v>
      </c>
      <c r="R46">
        <v>333364.32465515344</v>
      </c>
      <c r="S46">
        <v>270950.33678541187</v>
      </c>
      <c r="T46">
        <v>118310.8635995403</v>
      </c>
      <c r="U46">
        <v>94012.808981646362</v>
      </c>
      <c r="V46">
        <v>216219.12862506835</v>
      </c>
      <c r="W46">
        <v>87719.722008352575</v>
      </c>
      <c r="X46">
        <v>50628.768515101023</v>
      </c>
      <c r="Y46">
        <v>162698.07955034118</v>
      </c>
      <c r="Z46">
        <v>50968.933890747154</v>
      </c>
      <c r="AB46">
        <v>2685395.0087974211</v>
      </c>
      <c r="AC46">
        <v>2614242.4186816653</v>
      </c>
      <c r="AD46">
        <v>683069.79409912042</v>
      </c>
      <c r="AE46">
        <v>1440128.1222175627</v>
      </c>
      <c r="AF46">
        <v>1528434.769157459</v>
      </c>
      <c r="AG46">
        <v>2557371.6</v>
      </c>
      <c r="AH46">
        <v>1640313.7992911544</v>
      </c>
      <c r="AI46">
        <v>6395013.7967491448</v>
      </c>
    </row>
    <row r="47" spans="1:35">
      <c r="A47" s="3">
        <v>40695</v>
      </c>
      <c r="B47" s="3">
        <v>40695</v>
      </c>
      <c r="C47">
        <v>4031332.0028645797</v>
      </c>
      <c r="D47">
        <v>946456.22128534247</v>
      </c>
      <c r="E47">
        <v>1806842.9890360672</v>
      </c>
      <c r="F47">
        <v>2013200.085379479</v>
      </c>
      <c r="G47">
        <v>2946745.5605774494</v>
      </c>
      <c r="H47">
        <v>2075524.058686153</v>
      </c>
      <c r="I47">
        <v>8628682.3405059744</v>
      </c>
      <c r="J47">
        <v>138008.48705840329</v>
      </c>
      <c r="K47">
        <v>722204.24375428271</v>
      </c>
      <c r="L47">
        <v>398682.08249795856</v>
      </c>
      <c r="M47">
        <v>270598.31548580446</v>
      </c>
      <c r="N47">
        <v>44890.096837486133</v>
      </c>
      <c r="O47">
        <v>7560.0822605034982</v>
      </c>
      <c r="P47">
        <v>276581.04779564257</v>
      </c>
      <c r="R47">
        <v>345226.09812900936</v>
      </c>
      <c r="S47">
        <v>274313.47277010552</v>
      </c>
      <c r="T47">
        <v>123827.33369643395</v>
      </c>
      <c r="U47">
        <v>94151.267641068538</v>
      </c>
      <c r="V47">
        <v>218554.26135445357</v>
      </c>
      <c r="W47">
        <v>89680.380723451672</v>
      </c>
      <c r="X47">
        <v>51770.589765974415</v>
      </c>
      <c r="Y47">
        <v>164421.39899266703</v>
      </c>
      <c r="Z47">
        <v>52319.685239294209</v>
      </c>
      <c r="AB47">
        <v>2735570.2102514138</v>
      </c>
      <c r="AC47">
        <v>2724984.1335004889</v>
      </c>
      <c r="AD47">
        <v>696451.59565486701</v>
      </c>
      <c r="AE47">
        <v>1423001.9662954039</v>
      </c>
      <c r="AF47">
        <v>1547936.1856903126</v>
      </c>
      <c r="AG47">
        <v>3887602.4</v>
      </c>
      <c r="AH47">
        <v>1953638.7812263863</v>
      </c>
      <c r="AI47">
        <v>6772111.042789829</v>
      </c>
    </row>
    <row r="48" spans="1:35">
      <c r="A48" s="3">
        <v>40787</v>
      </c>
      <c r="B48" s="3">
        <v>40787</v>
      </c>
      <c r="C48">
        <v>4201429.4551837416</v>
      </c>
      <c r="D48">
        <v>945821.08572575031</v>
      </c>
      <c r="E48">
        <v>1818514.3707004169</v>
      </c>
      <c r="F48">
        <v>1955968.3054814541</v>
      </c>
      <c r="G48">
        <v>2898360.4343061554</v>
      </c>
      <c r="H48">
        <v>1912949.1848843598</v>
      </c>
      <c r="I48">
        <v>8792117.7979686018</v>
      </c>
      <c r="J48">
        <v>141197.16032976477</v>
      </c>
      <c r="K48">
        <v>732898.46312544495</v>
      </c>
      <c r="L48">
        <v>395874.2652776622</v>
      </c>
      <c r="M48">
        <v>277122.61286958656</v>
      </c>
      <c r="N48">
        <v>46171.223646134866</v>
      </c>
      <c r="O48">
        <v>7833.8830601110712</v>
      </c>
      <c r="P48">
        <v>279077.45845147216</v>
      </c>
      <c r="R48">
        <v>356710.99363330239</v>
      </c>
      <c r="S48">
        <v>280582.47550754593</v>
      </c>
      <c r="T48">
        <v>129814.88990532755</v>
      </c>
      <c r="U48">
        <v>94541.421431527167</v>
      </c>
      <c r="V48">
        <v>222891.15284489939</v>
      </c>
      <c r="W48">
        <v>89574.091809836289</v>
      </c>
      <c r="X48">
        <v>51779.576759469826</v>
      </c>
      <c r="Y48">
        <v>166241.37799729861</v>
      </c>
      <c r="Z48">
        <v>53381.301811791258</v>
      </c>
      <c r="AB48">
        <v>2789503.257345424</v>
      </c>
      <c r="AC48">
        <v>2869193.7965758536</v>
      </c>
      <c r="AD48">
        <v>753350.61116982799</v>
      </c>
      <c r="AE48">
        <v>1461795.4839676158</v>
      </c>
      <c r="AF48">
        <v>1582960.3258659213</v>
      </c>
      <c r="AG48">
        <v>3429591.6999999993</v>
      </c>
      <c r="AH48">
        <v>1855221.1714665338</v>
      </c>
      <c r="AI48">
        <v>7236868.7260732278</v>
      </c>
    </row>
    <row r="49" spans="1:35">
      <c r="A49" s="3">
        <v>40878</v>
      </c>
      <c r="B49" s="3">
        <v>40878</v>
      </c>
      <c r="C49">
        <v>4366161.1612055507</v>
      </c>
      <c r="D49">
        <v>918559.40788197599</v>
      </c>
      <c r="E49">
        <v>1866090.5776376007</v>
      </c>
      <c r="F49">
        <v>2264475.1911668908</v>
      </c>
      <c r="G49">
        <v>2927851.3626932888</v>
      </c>
      <c r="H49">
        <v>1892986.3211202226</v>
      </c>
      <c r="I49">
        <v>8882476.2996636722</v>
      </c>
      <c r="J49">
        <v>218513.61665558832</v>
      </c>
      <c r="K49">
        <v>716618.58106837713</v>
      </c>
      <c r="L49">
        <v>390872.50250963343</v>
      </c>
      <c r="M49">
        <v>274689.8591176648</v>
      </c>
      <c r="N49">
        <v>46951.422956834707</v>
      </c>
      <c r="O49">
        <v>7696.2641495507933</v>
      </c>
      <c r="P49">
        <v>278414.67939940869</v>
      </c>
      <c r="R49">
        <v>363947.23650652438</v>
      </c>
      <c r="S49">
        <v>281928.69712475524</v>
      </c>
      <c r="T49">
        <v>133558.12122654138</v>
      </c>
      <c r="U49">
        <v>95486.54673967493</v>
      </c>
      <c r="V49">
        <v>228931.53426452127</v>
      </c>
      <c r="W49">
        <v>94911.154910007172</v>
      </c>
      <c r="X49">
        <v>53811.608469771541</v>
      </c>
      <c r="Y49">
        <v>168118.4262297453</v>
      </c>
      <c r="Z49">
        <v>54985.814280816987</v>
      </c>
      <c r="AB49">
        <v>2815679.6193130235</v>
      </c>
      <c r="AC49">
        <v>3099841.732040057</v>
      </c>
      <c r="AD49">
        <v>815601.74080514035</v>
      </c>
      <c r="AE49">
        <v>1526394.6398041765</v>
      </c>
      <c r="AF49">
        <v>1683341.945855841</v>
      </c>
      <c r="AG49">
        <v>3248473.5</v>
      </c>
      <c r="AH49">
        <v>2019320.3023713366</v>
      </c>
      <c r="AI49">
        <v>7429249.7508223867</v>
      </c>
    </row>
    <row r="50" spans="1:35">
      <c r="A50" s="3">
        <v>40969</v>
      </c>
      <c r="B50" s="3">
        <v>40969</v>
      </c>
      <c r="C50">
        <v>4423635.7774266982</v>
      </c>
      <c r="D50">
        <v>1019571.4065413176</v>
      </c>
      <c r="E50">
        <v>1897415.9807012787</v>
      </c>
      <c r="F50">
        <v>2204081.4387994269</v>
      </c>
      <c r="G50">
        <v>3010182.3113185083</v>
      </c>
      <c r="H50">
        <v>2433362.331518996</v>
      </c>
      <c r="I50">
        <v>8984257.2110274397</v>
      </c>
      <c r="J50">
        <v>133379.63849724713</v>
      </c>
      <c r="K50">
        <v>729524.84782986145</v>
      </c>
      <c r="L50">
        <v>393848.60691550042</v>
      </c>
      <c r="M50">
        <v>278950.77524105902</v>
      </c>
      <c r="N50">
        <v>47406.423595182023</v>
      </c>
      <c r="O50">
        <v>7602.8096020011071</v>
      </c>
      <c r="P50">
        <v>284886.84554625821</v>
      </c>
      <c r="R50">
        <v>379764.35377151862</v>
      </c>
      <c r="S50">
        <v>291074.550043642</v>
      </c>
      <c r="T50">
        <v>138752.10840416621</v>
      </c>
      <c r="U50">
        <v>98042.015159852439</v>
      </c>
      <c r="V50">
        <v>232698.86542018485</v>
      </c>
      <c r="W50">
        <v>95219.183779129962</v>
      </c>
      <c r="X50">
        <v>55414.028572578114</v>
      </c>
      <c r="Y50">
        <v>169545.91632128065</v>
      </c>
      <c r="Z50">
        <v>56698.084679876847</v>
      </c>
      <c r="AA50">
        <v>91308.820838481377</v>
      </c>
      <c r="AB50">
        <v>2847392.8081853883</v>
      </c>
      <c r="AC50">
        <v>3161000.8469757615</v>
      </c>
      <c r="AD50">
        <v>849524.68144043779</v>
      </c>
      <c r="AE50">
        <v>1584084.5764709262</v>
      </c>
      <c r="AF50">
        <v>1746619.1189545009</v>
      </c>
      <c r="AG50">
        <v>3243465.9</v>
      </c>
      <c r="AH50">
        <v>2213264.8274824806</v>
      </c>
      <c r="AI50">
        <v>7477737.7276283884</v>
      </c>
    </row>
    <row r="51" spans="1:35">
      <c r="A51" s="3">
        <v>41061</v>
      </c>
      <c r="B51" s="3">
        <v>41061</v>
      </c>
      <c r="C51">
        <v>4540894.3007337395</v>
      </c>
      <c r="D51">
        <v>1009120.3216265703</v>
      </c>
      <c r="E51">
        <v>1935032.1534682186</v>
      </c>
      <c r="F51">
        <v>2105249.8162938729</v>
      </c>
      <c r="G51">
        <v>3038451.268585661</v>
      </c>
      <c r="H51">
        <v>2342407.5376800033</v>
      </c>
      <c r="I51">
        <v>9069875.4991025589</v>
      </c>
      <c r="J51">
        <v>132086.38842788746</v>
      </c>
      <c r="K51">
        <v>730323.963377379</v>
      </c>
      <c r="L51">
        <v>396577.80040761409</v>
      </c>
      <c r="M51">
        <v>278705.69836434867</v>
      </c>
      <c r="N51">
        <v>47136.67403257452</v>
      </c>
      <c r="O51">
        <v>7710.8514403965319</v>
      </c>
      <c r="P51">
        <v>281467.68544097187</v>
      </c>
      <c r="R51">
        <v>396876.78966992989</v>
      </c>
      <c r="S51">
        <v>295751.79734656645</v>
      </c>
      <c r="T51">
        <v>143694.88811130324</v>
      </c>
      <c r="U51">
        <v>100993.1067229988</v>
      </c>
      <c r="V51">
        <v>237692.132677699</v>
      </c>
      <c r="W51">
        <v>96929.104881152598</v>
      </c>
      <c r="X51">
        <v>57069.608286675822</v>
      </c>
      <c r="Y51">
        <v>170909.82911530213</v>
      </c>
      <c r="Z51">
        <v>58658.322602432825</v>
      </c>
      <c r="AA51">
        <v>152251.40133073559</v>
      </c>
      <c r="AB51">
        <v>2874455.7142037512</v>
      </c>
      <c r="AC51">
        <v>3244636.116399819</v>
      </c>
      <c r="AD51">
        <v>901429.87957342167</v>
      </c>
      <c r="AE51">
        <v>1591452.780585797</v>
      </c>
      <c r="AF51">
        <v>1770899.6320290279</v>
      </c>
      <c r="AG51">
        <v>3664876.6999999997</v>
      </c>
      <c r="AH51">
        <v>2149768.924037436</v>
      </c>
      <c r="AI51">
        <v>7684988.0760072684</v>
      </c>
    </row>
    <row r="52" spans="1:35">
      <c r="A52" s="3">
        <v>41153</v>
      </c>
      <c r="B52" s="3">
        <v>41153</v>
      </c>
      <c r="C52">
        <v>4624209.1959084021</v>
      </c>
      <c r="D52">
        <v>1090948.7715415747</v>
      </c>
      <c r="E52">
        <v>1975943.2789078804</v>
      </c>
      <c r="F52">
        <v>2349299.2747086529</v>
      </c>
      <c r="G52">
        <v>2983146.9647354567</v>
      </c>
      <c r="H52">
        <v>2338454.8542879317</v>
      </c>
      <c r="I52">
        <v>9168336.1683666669</v>
      </c>
      <c r="J52">
        <v>128261.10573396322</v>
      </c>
      <c r="K52">
        <v>723014.62558839866</v>
      </c>
      <c r="L52">
        <v>394179.27945105452</v>
      </c>
      <c r="M52">
        <v>277352.65918080811</v>
      </c>
      <c r="N52">
        <v>46989.123536066101</v>
      </c>
      <c r="O52">
        <v>7393.1462061551238</v>
      </c>
      <c r="P52">
        <v>286396.23045863304</v>
      </c>
      <c r="R52">
        <v>405234.99236976012</v>
      </c>
      <c r="S52">
        <v>301931.20726496453</v>
      </c>
      <c r="T52">
        <v>149615.01854816856</v>
      </c>
      <c r="U52">
        <v>104338.31243409037</v>
      </c>
      <c r="V52">
        <v>241473.58244602766</v>
      </c>
      <c r="W52">
        <v>97350.012807821156</v>
      </c>
      <c r="X52">
        <v>59413.645762219414</v>
      </c>
      <c r="Y52">
        <v>172273.89520153878</v>
      </c>
      <c r="Z52">
        <v>60324.418504020861</v>
      </c>
      <c r="AA52">
        <v>152667.21430505504</v>
      </c>
      <c r="AB52">
        <v>2902994.4658420924</v>
      </c>
      <c r="AC52">
        <v>3382781.6817406304</v>
      </c>
      <c r="AD52">
        <v>879179.56086481549</v>
      </c>
      <c r="AE52">
        <v>1653801.0716073636</v>
      </c>
      <c r="AF52">
        <v>1974162.6563185323</v>
      </c>
      <c r="AG52">
        <v>3411416.7000000011</v>
      </c>
      <c r="AH52">
        <v>2302416.7652066764</v>
      </c>
      <c r="AI52">
        <v>7801164.7740184693</v>
      </c>
    </row>
    <row r="53" spans="1:35">
      <c r="A53" s="3">
        <v>41244</v>
      </c>
      <c r="B53" s="3">
        <v>41244</v>
      </c>
      <c r="C53">
        <v>4876957.9329507779</v>
      </c>
      <c r="D53">
        <v>1064782.7961018938</v>
      </c>
      <c r="E53">
        <v>2045364.9140782782</v>
      </c>
      <c r="F53">
        <v>2678509.3927916987</v>
      </c>
      <c r="G53">
        <v>2961858.4500790304</v>
      </c>
      <c r="H53">
        <v>2597275.3344896212</v>
      </c>
      <c r="I53">
        <v>9269623.8640804421</v>
      </c>
      <c r="J53">
        <v>130419.44438872758</v>
      </c>
      <c r="K53">
        <v>735627.24678210926</v>
      </c>
      <c r="L53">
        <v>401788.81198532146</v>
      </c>
      <c r="M53">
        <v>278875.10146414611</v>
      </c>
      <c r="N53">
        <v>47582.870412481723</v>
      </c>
      <c r="O53">
        <v>7248.0604174639984</v>
      </c>
      <c r="P53">
        <v>288992.10376953572</v>
      </c>
      <c r="R53">
        <v>420922.93149001279</v>
      </c>
      <c r="S53">
        <v>308140.27682220173</v>
      </c>
      <c r="T53">
        <v>156435.59653343767</v>
      </c>
      <c r="U53">
        <v>108426.52356159042</v>
      </c>
      <c r="V53">
        <v>244407.75485765943</v>
      </c>
      <c r="W53">
        <v>98103.69362286586</v>
      </c>
      <c r="X53">
        <v>60041.516526903266</v>
      </c>
      <c r="Y53">
        <v>173466.41502625338</v>
      </c>
      <c r="Z53">
        <v>61928.63806161406</v>
      </c>
      <c r="AA53">
        <v>157940.22897083207</v>
      </c>
      <c r="AB53">
        <v>2936019.3037135056</v>
      </c>
      <c r="AC53">
        <v>3562138.3856456261</v>
      </c>
      <c r="AD53">
        <v>925592.29464407056</v>
      </c>
      <c r="AE53">
        <v>1809629.2397751566</v>
      </c>
      <c r="AF53">
        <v>2182230.7889430448</v>
      </c>
      <c r="AG53">
        <v>3360935</v>
      </c>
      <c r="AH53">
        <v>2482966.0649746209</v>
      </c>
      <c r="AI53">
        <v>7965319.5047761584</v>
      </c>
    </row>
    <row r="54" spans="1:35">
      <c r="A54" s="3">
        <v>41334</v>
      </c>
      <c r="B54" s="3">
        <v>41334</v>
      </c>
      <c r="C54">
        <v>5015673.4695994444</v>
      </c>
      <c r="D54">
        <v>1067556.829135665</v>
      </c>
      <c r="E54">
        <v>2081156.6826579927</v>
      </c>
      <c r="F54">
        <v>2510261.5572492355</v>
      </c>
      <c r="G54">
        <v>3002122.7252769824</v>
      </c>
      <c r="H54">
        <v>2582965.0714853383</v>
      </c>
      <c r="I54">
        <v>9451788.3530838545</v>
      </c>
      <c r="J54">
        <v>137221.84965881152</v>
      </c>
      <c r="K54">
        <v>744998.54063452897</v>
      </c>
      <c r="L54">
        <v>407598.14278312714</v>
      </c>
      <c r="M54">
        <v>282710.45568750001</v>
      </c>
      <c r="N54">
        <v>47129.845852707062</v>
      </c>
      <c r="O54">
        <v>6940.4585771007951</v>
      </c>
      <c r="P54">
        <v>287380.00959007215</v>
      </c>
      <c r="R54">
        <v>429369.70350583899</v>
      </c>
      <c r="S54">
        <v>312985.06517589162</v>
      </c>
      <c r="T54">
        <v>161334.42935311055</v>
      </c>
      <c r="U54">
        <v>111216.0162281493</v>
      </c>
      <c r="V54">
        <v>244774.57415221437</v>
      </c>
      <c r="W54">
        <v>101480.79930251358</v>
      </c>
      <c r="X54">
        <v>61142.753850223868</v>
      </c>
      <c r="Y54">
        <v>174616.67449575668</v>
      </c>
      <c r="Z54">
        <v>62670.737024119364</v>
      </c>
      <c r="AA54">
        <v>162406.53066144718</v>
      </c>
      <c r="AB54">
        <v>2995283.8353966796</v>
      </c>
      <c r="AC54">
        <v>3907340.1417059619</v>
      </c>
      <c r="AD54">
        <v>902840.05291015713</v>
      </c>
      <c r="AE54">
        <v>1859541.7797787555</v>
      </c>
      <c r="AF54">
        <v>2229389.3332886365</v>
      </c>
      <c r="AG54">
        <v>3309503.2</v>
      </c>
      <c r="AH54">
        <v>2379602.2902273675</v>
      </c>
      <c r="AI54">
        <v>8413453.1868857238</v>
      </c>
    </row>
    <row r="55" spans="1:35">
      <c r="A55" s="3">
        <v>41426</v>
      </c>
      <c r="B55" s="3">
        <v>41426</v>
      </c>
      <c r="C55">
        <v>5188250.1999618532</v>
      </c>
      <c r="D55">
        <v>1020371.4924692296</v>
      </c>
      <c r="E55">
        <v>2089029.1923661747</v>
      </c>
      <c r="F55">
        <v>2696973.8345185281</v>
      </c>
      <c r="G55">
        <v>3023233.2990695089</v>
      </c>
      <c r="H55">
        <v>2698665.458362028</v>
      </c>
      <c r="I55">
        <v>9561827.4634244759</v>
      </c>
      <c r="J55">
        <v>140121.83206504452</v>
      </c>
      <c r="K55">
        <v>745493.66979351803</v>
      </c>
      <c r="L55">
        <v>406955.43610284018</v>
      </c>
      <c r="M55">
        <v>283612.69905456249</v>
      </c>
      <c r="N55">
        <v>47852.722139778671</v>
      </c>
      <c r="O55">
        <v>6761.5130873940288</v>
      </c>
      <c r="P55">
        <v>296579.99715919863</v>
      </c>
      <c r="R55">
        <v>444987.9530161086</v>
      </c>
      <c r="S55">
        <v>320142.13357051637</v>
      </c>
      <c r="T55">
        <v>165971.56219128869</v>
      </c>
      <c r="U55">
        <v>114039.16285781394</v>
      </c>
      <c r="V55">
        <v>245114.5956996996</v>
      </c>
      <c r="W55">
        <v>101263.55522969173</v>
      </c>
      <c r="X55">
        <v>62347.677788901528</v>
      </c>
      <c r="Y55">
        <v>175492.01988987377</v>
      </c>
      <c r="Z55">
        <v>62909.472433132112</v>
      </c>
      <c r="AA55">
        <v>167446.7037230017</v>
      </c>
      <c r="AB55">
        <v>3031765.3501661862</v>
      </c>
      <c r="AC55">
        <v>4150399.3875813172</v>
      </c>
      <c r="AD55">
        <v>884631.99312715803</v>
      </c>
      <c r="AE55">
        <v>1918243.463880881</v>
      </c>
      <c r="AF55">
        <v>2378658.9975177711</v>
      </c>
      <c r="AG55">
        <v>3577564.2</v>
      </c>
      <c r="AH55">
        <v>2482377.3129163487</v>
      </c>
      <c r="AI55">
        <v>8664836.3225973919</v>
      </c>
    </row>
    <row r="56" spans="1:35">
      <c r="A56" s="3">
        <v>41518</v>
      </c>
      <c r="B56" s="3">
        <v>41518</v>
      </c>
      <c r="C56">
        <v>5202787.2152465368</v>
      </c>
      <c r="D56">
        <v>1079727.0848085689</v>
      </c>
      <c r="E56">
        <v>2137658.4429047457</v>
      </c>
      <c r="F56">
        <v>2659635.9121865574</v>
      </c>
      <c r="G56">
        <v>3091741.3459678199</v>
      </c>
      <c r="H56">
        <v>2637077.137612795</v>
      </c>
      <c r="I56">
        <v>9723616.9877364151</v>
      </c>
      <c r="J56">
        <v>146629.42078702315</v>
      </c>
      <c r="K56">
        <v>746984.66202848067</v>
      </c>
      <c r="L56">
        <v>410873.54708739114</v>
      </c>
      <c r="M56">
        <v>282882.4215361625</v>
      </c>
      <c r="N56">
        <v>47928.330465683372</v>
      </c>
      <c r="O56">
        <v>6614.7651166735195</v>
      </c>
      <c r="P56">
        <v>298455.04431833269</v>
      </c>
      <c r="R56">
        <v>457006.05980770075</v>
      </c>
      <c r="S56">
        <v>324563.35787586326</v>
      </c>
      <c r="T56">
        <v>169320.68760030073</v>
      </c>
      <c r="U56">
        <v>116941.23597919859</v>
      </c>
      <c r="V56">
        <v>244846.06250015573</v>
      </c>
      <c r="W56">
        <v>101876.04982294135</v>
      </c>
      <c r="X56">
        <v>62636.422087396131</v>
      </c>
      <c r="Y56">
        <v>176347.39750439103</v>
      </c>
      <c r="Z56">
        <v>63240.891107302159</v>
      </c>
      <c r="AA56">
        <v>173716.43469015168</v>
      </c>
      <c r="AB56">
        <v>3084708.778748794</v>
      </c>
      <c r="AC56">
        <v>4335461.6716298657</v>
      </c>
      <c r="AD56">
        <v>957263.90178341162</v>
      </c>
      <c r="AE56">
        <v>1997479.6692460156</v>
      </c>
      <c r="AF56">
        <v>2347024.0651173932</v>
      </c>
      <c r="AG56">
        <v>3326059.7999999989</v>
      </c>
      <c r="AH56">
        <v>2382941.4768000902</v>
      </c>
      <c r="AI56">
        <v>9001161.0686906967</v>
      </c>
    </row>
    <row r="57" spans="1:35">
      <c r="A57" s="3">
        <v>41609</v>
      </c>
      <c r="B57" s="3">
        <v>41609</v>
      </c>
      <c r="C57">
        <v>5312618.7796588754</v>
      </c>
      <c r="D57">
        <v>1100500.1476457869</v>
      </c>
      <c r="E57">
        <v>2112142.7851216998</v>
      </c>
      <c r="F57">
        <v>2107265.7125035371</v>
      </c>
      <c r="G57">
        <v>3177990.3662718865</v>
      </c>
      <c r="H57">
        <v>2600579.9158015177</v>
      </c>
      <c r="I57">
        <v>9827766.7045729402</v>
      </c>
      <c r="J57">
        <v>151971.5995871372</v>
      </c>
      <c r="K57">
        <v>754501.47620378016</v>
      </c>
      <c r="L57">
        <v>412333.54548526224</v>
      </c>
      <c r="M57">
        <v>286829.20020998758</v>
      </c>
      <c r="N57">
        <v>47579.97589686521</v>
      </c>
      <c r="O57">
        <v>6580.5498092659764</v>
      </c>
      <c r="P57">
        <v>301800.74000959186</v>
      </c>
      <c r="R57">
        <v>465722.71446588507</v>
      </c>
      <c r="S57">
        <v>327525.76224790153</v>
      </c>
      <c r="T57">
        <v>173520.15865733824</v>
      </c>
      <c r="U57">
        <v>118883.66444833076</v>
      </c>
      <c r="V57">
        <v>246499.36244017674</v>
      </c>
      <c r="W57">
        <v>100804.1125663415</v>
      </c>
      <c r="X57">
        <v>49056.730431871772</v>
      </c>
      <c r="Y57">
        <v>177070.11109826664</v>
      </c>
      <c r="Z57">
        <v>63643.542475817943</v>
      </c>
      <c r="AA57">
        <v>177881.43306971385</v>
      </c>
      <c r="AB57">
        <v>3116909.8029441517</v>
      </c>
      <c r="AC57">
        <v>4704140.2437920477</v>
      </c>
      <c r="AD57">
        <v>951366.41288342595</v>
      </c>
      <c r="AE57">
        <v>1955441.5400330743</v>
      </c>
      <c r="AF57">
        <v>2193997.2752022729</v>
      </c>
      <c r="AG57">
        <v>3688629.9000000004</v>
      </c>
      <c r="AH57">
        <v>2393704.4924211251</v>
      </c>
      <c r="AI57">
        <v>9499535.4778338112</v>
      </c>
    </row>
    <row r="58" spans="1:35">
      <c r="A58" s="3">
        <v>41699</v>
      </c>
      <c r="B58" s="3">
        <v>41699</v>
      </c>
      <c r="C58">
        <v>5214576.1743533956</v>
      </c>
      <c r="D58">
        <v>1122810.3839012317</v>
      </c>
      <c r="E58">
        <v>2156400.8834850914</v>
      </c>
      <c r="F58">
        <v>2623559.9382473589</v>
      </c>
      <c r="G58">
        <v>3114848.0855786111</v>
      </c>
      <c r="H58">
        <v>2618784.9922134238</v>
      </c>
      <c r="I58">
        <v>9908371.1114771198</v>
      </c>
      <c r="J58">
        <v>146359.81169937772</v>
      </c>
      <c r="K58">
        <v>748493.48935664096</v>
      </c>
      <c r="L58">
        <v>408380.93651988241</v>
      </c>
      <c r="M58">
        <v>286170.27945425629</v>
      </c>
      <c r="N58">
        <v>48667.901405983532</v>
      </c>
      <c r="O58">
        <v>6544.3684447688775</v>
      </c>
      <c r="P58">
        <v>307125.22729781101</v>
      </c>
      <c r="R58">
        <v>482670.1180546548</v>
      </c>
      <c r="S58">
        <v>332201.36127565481</v>
      </c>
      <c r="T58">
        <v>176958.4518479353</v>
      </c>
      <c r="U58">
        <v>119922.37160064629</v>
      </c>
      <c r="V58">
        <v>249433.52578025736</v>
      </c>
      <c r="W58">
        <v>102674.13688050902</v>
      </c>
      <c r="X58">
        <v>64985.897495682628</v>
      </c>
      <c r="Y58">
        <v>178095.71882992183</v>
      </c>
      <c r="Z58">
        <v>64585.777236675916</v>
      </c>
      <c r="AA58">
        <v>180277.20134228104</v>
      </c>
      <c r="AB58">
        <v>3142110.5100573148</v>
      </c>
      <c r="AC58">
        <v>4470064.3327606218</v>
      </c>
      <c r="AD58">
        <v>1006003.1806178263</v>
      </c>
      <c r="AE58">
        <v>1979968.4405609327</v>
      </c>
      <c r="AF58">
        <v>2361766.2875804566</v>
      </c>
      <c r="AG58">
        <v>4188844.7</v>
      </c>
      <c r="AH58">
        <v>2367910.1530391807</v>
      </c>
      <c r="AI58">
        <v>9637761.6838646699</v>
      </c>
    </row>
    <row r="59" spans="1:35">
      <c r="A59" s="3">
        <v>41791</v>
      </c>
      <c r="B59" s="3">
        <v>41791</v>
      </c>
      <c r="C59">
        <v>5321136.5508758603</v>
      </c>
      <c r="D59">
        <v>1194836.7860007628</v>
      </c>
      <c r="E59">
        <v>2190235.7377425609</v>
      </c>
      <c r="F59">
        <v>2636855.3917751098</v>
      </c>
      <c r="G59">
        <v>3064752.3769165706</v>
      </c>
      <c r="H59">
        <v>2510010.7150047114</v>
      </c>
      <c r="I59">
        <v>10045640.79084768</v>
      </c>
      <c r="J59">
        <v>147347.83565426894</v>
      </c>
      <c r="K59">
        <v>751712.47857123322</v>
      </c>
      <c r="L59">
        <v>409118.51293781481</v>
      </c>
      <c r="M59">
        <v>288579.15839609446</v>
      </c>
      <c r="N59">
        <v>48546.271672622388</v>
      </c>
      <c r="O59">
        <v>6353.0370834886517</v>
      </c>
      <c r="P59">
        <v>306693.03166779934</v>
      </c>
      <c r="R59">
        <v>477733.44829751248</v>
      </c>
      <c r="S59">
        <v>341502.42580074392</v>
      </c>
      <c r="T59">
        <v>180250.59186621913</v>
      </c>
      <c r="U59">
        <v>120840.11259646331</v>
      </c>
      <c r="V59">
        <v>253063.1503703442</v>
      </c>
      <c r="W59">
        <v>103517.00314844516</v>
      </c>
      <c r="X59">
        <v>64997.136959902411</v>
      </c>
      <c r="Y59">
        <v>179418.89209521306</v>
      </c>
      <c r="Z59">
        <v>65545.594804625493</v>
      </c>
      <c r="AA59">
        <v>184118.01457888645</v>
      </c>
      <c r="AB59">
        <v>3184785.1482106904</v>
      </c>
      <c r="AC59">
        <v>4726393.006508776</v>
      </c>
      <c r="AD59">
        <v>1071653.0019570948</v>
      </c>
      <c r="AE59">
        <v>2069031.8771422601</v>
      </c>
      <c r="AF59">
        <v>2426441.9989115866</v>
      </c>
      <c r="AG59">
        <v>3933308.7</v>
      </c>
      <c r="AH59">
        <v>2664785.6710967631</v>
      </c>
      <c r="AI59">
        <v>9901887.7991730571</v>
      </c>
    </row>
    <row r="60" spans="1:35">
      <c r="A60" s="3">
        <v>41883</v>
      </c>
      <c r="B60" s="3">
        <v>41883</v>
      </c>
      <c r="C60">
        <v>5456443.3778373757</v>
      </c>
      <c r="D60">
        <v>1175828.2468106565</v>
      </c>
      <c r="E60">
        <v>2210189.9765142095</v>
      </c>
      <c r="F60">
        <v>2677714.8948925193</v>
      </c>
      <c r="G60">
        <v>3007617.7662787419</v>
      </c>
      <c r="H60">
        <v>2562205.3399832887</v>
      </c>
      <c r="I60">
        <v>10096662.90797789</v>
      </c>
      <c r="J60">
        <v>147293.04106454854</v>
      </c>
      <c r="K60">
        <v>764561.66994112823</v>
      </c>
      <c r="L60">
        <v>416088.37089529564</v>
      </c>
      <c r="M60">
        <v>292002.59294267627</v>
      </c>
      <c r="N60">
        <v>48806.009460990899</v>
      </c>
      <c r="O60">
        <v>6208.9095547898678</v>
      </c>
      <c r="P60">
        <v>313226.77268533834</v>
      </c>
      <c r="R60">
        <v>494602.25710979826</v>
      </c>
      <c r="S60">
        <v>347460.96141144476</v>
      </c>
      <c r="T60">
        <v>182804.59579458536</v>
      </c>
      <c r="U60">
        <v>121460.34308821252</v>
      </c>
      <c r="V60">
        <v>256514.60947432212</v>
      </c>
      <c r="W60">
        <v>104462.2596307839</v>
      </c>
      <c r="X60">
        <v>66387.468456108734</v>
      </c>
      <c r="Y60">
        <v>180716.81864831489</v>
      </c>
      <c r="Z60">
        <v>65647.076339752181</v>
      </c>
      <c r="AA60">
        <v>182119.59042431961</v>
      </c>
      <c r="AB60">
        <v>3202500.2816174724</v>
      </c>
      <c r="AC60">
        <v>4931099.7222305406</v>
      </c>
      <c r="AD60">
        <v>1069426.4544748461</v>
      </c>
      <c r="AE60">
        <v>2118074.3526610369</v>
      </c>
      <c r="AF60">
        <v>2530633.6015861467</v>
      </c>
      <c r="AG60">
        <v>3961503.2999999989</v>
      </c>
      <c r="AH60">
        <v>2651230.7717838963</v>
      </c>
      <c r="AI60">
        <v>10074104.986169361</v>
      </c>
    </row>
    <row r="61" spans="1:35">
      <c r="A61" s="3">
        <v>41974</v>
      </c>
      <c r="B61" s="3">
        <v>41974</v>
      </c>
      <c r="C61">
        <v>5282179.8709997004</v>
      </c>
      <c r="D61">
        <v>1181582.3000154265</v>
      </c>
      <c r="E61">
        <v>2226528.1239492698</v>
      </c>
      <c r="F61">
        <v>2789691.8991441336</v>
      </c>
      <c r="G61">
        <v>2964141.6748119942</v>
      </c>
      <c r="H61">
        <v>2436134.0572820897</v>
      </c>
      <c r="I61">
        <v>10145628.927985558</v>
      </c>
      <c r="J61">
        <v>149015.72785458557</v>
      </c>
      <c r="K61">
        <v>762792.17719688721</v>
      </c>
      <c r="L61">
        <v>414269.63235965068</v>
      </c>
      <c r="M61">
        <v>294218.27443218033</v>
      </c>
      <c r="N61">
        <v>49030.667330021141</v>
      </c>
      <c r="O61">
        <v>6089.0131674671129</v>
      </c>
      <c r="P61">
        <v>316919.86818179296</v>
      </c>
      <c r="R61">
        <v>488373.53241046908</v>
      </c>
      <c r="S61">
        <v>353795.84527841042</v>
      </c>
      <c r="T61">
        <v>184943.28489063215</v>
      </c>
      <c r="U61">
        <v>122707.74755744878</v>
      </c>
      <c r="V61">
        <v>258192.28541863468</v>
      </c>
      <c r="W61">
        <v>105182.13156020675</v>
      </c>
      <c r="X61">
        <v>55813.360008242838</v>
      </c>
      <c r="Y61">
        <v>182410.141634186</v>
      </c>
      <c r="Z61">
        <v>65985.728738781254</v>
      </c>
      <c r="AA61">
        <v>185423.37042051792</v>
      </c>
      <c r="AB61">
        <v>3216873.4437231277</v>
      </c>
      <c r="AC61">
        <v>4689967.9097394245</v>
      </c>
      <c r="AD61">
        <v>1094688.8609005131</v>
      </c>
      <c r="AE61">
        <v>2172566.2423351239</v>
      </c>
      <c r="AF61">
        <v>2720149.9398344974</v>
      </c>
      <c r="AG61">
        <v>3525513.5</v>
      </c>
      <c r="AH61">
        <v>2451977.1117296303</v>
      </c>
      <c r="AI61">
        <v>9917799.8753635921</v>
      </c>
    </row>
    <row r="62" spans="1:35">
      <c r="A62" s="3">
        <v>42064</v>
      </c>
      <c r="B62" s="3">
        <v>42064</v>
      </c>
      <c r="C62">
        <v>5471627.5920838527</v>
      </c>
      <c r="D62">
        <v>1190618.9682264482</v>
      </c>
      <c r="E62">
        <v>2251119.6262291926</v>
      </c>
      <c r="F62">
        <v>2760368.6367169362</v>
      </c>
      <c r="G62">
        <v>2935463.7134017562</v>
      </c>
      <c r="H62">
        <v>2473414.9383102343</v>
      </c>
      <c r="I62">
        <v>10177048.814392114</v>
      </c>
      <c r="J62">
        <v>151045.69650318709</v>
      </c>
      <c r="K62">
        <v>754008.7050021271</v>
      </c>
      <c r="L62">
        <v>408224.80050552404</v>
      </c>
      <c r="M62">
        <v>292894.09735733329</v>
      </c>
      <c r="N62">
        <v>48202.422393667599</v>
      </c>
      <c r="O62">
        <v>5879.6853164463082</v>
      </c>
      <c r="P62">
        <v>317460.78306781925</v>
      </c>
      <c r="R62">
        <v>497926.1649538108</v>
      </c>
      <c r="S62">
        <v>358191.58123355295</v>
      </c>
      <c r="T62">
        <v>186236.03150605355</v>
      </c>
      <c r="U62">
        <v>123455.38408245005</v>
      </c>
      <c r="V62">
        <v>259651.54876131218</v>
      </c>
      <c r="W62">
        <v>105781.76285016836</v>
      </c>
      <c r="X62">
        <v>65493.589986957348</v>
      </c>
      <c r="Y62">
        <v>184095.37896950878</v>
      </c>
      <c r="Z62">
        <v>66975.396296509076</v>
      </c>
      <c r="AA62">
        <v>175093.26618967933</v>
      </c>
      <c r="AB62">
        <v>3226459.2511171191</v>
      </c>
      <c r="AC62">
        <v>5104270.5481121512</v>
      </c>
      <c r="AD62">
        <v>1145766.436942813</v>
      </c>
      <c r="AE62">
        <v>2223615.722065853</v>
      </c>
      <c r="AF62">
        <v>2749739.8863124042</v>
      </c>
      <c r="AG62">
        <v>2536855.2000000002</v>
      </c>
      <c r="AH62">
        <v>2343683.0332926828</v>
      </c>
      <c r="AI62">
        <v>9959182.9765686076</v>
      </c>
    </row>
    <row r="63" spans="1:35">
      <c r="A63" s="3">
        <v>42156</v>
      </c>
      <c r="B63" s="3">
        <v>42156</v>
      </c>
      <c r="C63">
        <v>5430202.1730882376</v>
      </c>
      <c r="D63">
        <v>1191860.5721590682</v>
      </c>
      <c r="E63">
        <v>2282145.6810060991</v>
      </c>
      <c r="F63">
        <v>2816901.1870805658</v>
      </c>
      <c r="G63">
        <v>2898801.4539723014</v>
      </c>
      <c r="H63">
        <v>2476688.4288666318</v>
      </c>
      <c r="I63">
        <v>10171384.927660059</v>
      </c>
      <c r="J63">
        <v>152445.98476999486</v>
      </c>
      <c r="K63">
        <v>755860.54094892577</v>
      </c>
      <c r="L63">
        <v>409376.38050224376</v>
      </c>
      <c r="M63">
        <v>292780.76453386119</v>
      </c>
      <c r="N63">
        <v>48424.484445935326</v>
      </c>
      <c r="O63">
        <v>5736.547498890186</v>
      </c>
      <c r="P63">
        <v>324786.35813706799</v>
      </c>
      <c r="R63">
        <v>494248.04891754844</v>
      </c>
      <c r="S63">
        <v>359558.70846232015</v>
      </c>
      <c r="T63">
        <v>186886.08658106846</v>
      </c>
      <c r="U63">
        <v>123952.27568989531</v>
      </c>
      <c r="V63">
        <v>260958.53984781695</v>
      </c>
      <c r="W63">
        <v>106480.2789592074</v>
      </c>
      <c r="X63">
        <v>66095.962527094278</v>
      </c>
      <c r="Y63">
        <v>185604.33970572194</v>
      </c>
      <c r="Z63">
        <v>68220.298868075464</v>
      </c>
      <c r="AA63">
        <v>171357.28134765747</v>
      </c>
      <c r="AB63">
        <v>3224903.3717834093</v>
      </c>
      <c r="AC63">
        <v>5166133.1084933085</v>
      </c>
      <c r="AD63">
        <v>1166778.6416962624</v>
      </c>
      <c r="AE63">
        <v>2238975.6731425561</v>
      </c>
      <c r="AF63">
        <v>2790200.9758293065</v>
      </c>
      <c r="AG63">
        <v>2674960.7000000002</v>
      </c>
      <c r="AH63">
        <v>2235948.6383172632</v>
      </c>
      <c r="AI63">
        <v>9962500.5556549616</v>
      </c>
    </row>
    <row r="64" spans="1:35">
      <c r="A64" s="3">
        <v>42248</v>
      </c>
      <c r="B64" s="3">
        <v>42248</v>
      </c>
      <c r="C64">
        <v>5389952.2281603999</v>
      </c>
      <c r="D64">
        <v>1203710.8979683551</v>
      </c>
      <c r="E64">
        <v>2312630.6107316525</v>
      </c>
      <c r="F64">
        <v>2903832.9984694161</v>
      </c>
      <c r="G64">
        <v>2871457.7137385285</v>
      </c>
      <c r="H64">
        <v>2514950.830400656</v>
      </c>
      <c r="I64">
        <v>10173738.117421692</v>
      </c>
      <c r="J64">
        <v>151966.26700441007</v>
      </c>
      <c r="K64">
        <v>746527.97868914378</v>
      </c>
      <c r="L64">
        <v>400730.44145557418</v>
      </c>
      <c r="M64">
        <v>292665.68409928872</v>
      </c>
      <c r="N64">
        <v>47863.698284145328</v>
      </c>
      <c r="O64">
        <v>5612.7285400300243</v>
      </c>
      <c r="P64">
        <v>326050.11789369181</v>
      </c>
      <c r="R64">
        <v>479365.0083196722</v>
      </c>
      <c r="S64">
        <v>364497.68952514534</v>
      </c>
      <c r="T64">
        <v>186929.2152059139</v>
      </c>
      <c r="U64">
        <v>124220.13888778655</v>
      </c>
      <c r="V64">
        <v>262635.55928864074</v>
      </c>
      <c r="W64">
        <v>109231.23179029117</v>
      </c>
      <c r="X64">
        <v>65470.993259301336</v>
      </c>
      <c r="Y64">
        <v>187004.20207495466</v>
      </c>
      <c r="Z64">
        <v>70007.238811582778</v>
      </c>
      <c r="AA64">
        <v>169828.98998135317</v>
      </c>
      <c r="AB64">
        <v>3223550.4172953716</v>
      </c>
      <c r="AC64">
        <v>5369555.2637996925</v>
      </c>
      <c r="AD64">
        <v>1188904.3931676862</v>
      </c>
      <c r="AE64">
        <v>2288224.7643858986</v>
      </c>
      <c r="AF64">
        <v>2889826.2395945685</v>
      </c>
      <c r="AG64">
        <v>2817035.3999999994</v>
      </c>
      <c r="AH64">
        <v>2404126.8889870071</v>
      </c>
      <c r="AI64">
        <v>10276001.873276232</v>
      </c>
    </row>
    <row r="65" spans="1:35">
      <c r="A65" s="3">
        <v>42339</v>
      </c>
      <c r="B65" s="3">
        <v>42339</v>
      </c>
      <c r="C65">
        <v>5436251.2579590855</v>
      </c>
      <c r="D65">
        <v>1206734.669122963</v>
      </c>
      <c r="E65">
        <v>2350141.427556654</v>
      </c>
      <c r="F65">
        <v>2854218.6938055698</v>
      </c>
      <c r="G65">
        <v>2856812.5941688106</v>
      </c>
      <c r="H65">
        <v>2520963.839953362</v>
      </c>
      <c r="I65">
        <v>10196941.97106169</v>
      </c>
      <c r="J65">
        <v>154238.58051805769</v>
      </c>
      <c r="K65">
        <v>736045.04837986967</v>
      </c>
      <c r="L65">
        <v>390995.78763114108</v>
      </c>
      <c r="M65">
        <v>291038.58091464784</v>
      </c>
      <c r="N65">
        <v>48158.58239793955</v>
      </c>
      <c r="O65">
        <v>5513.5479942076136</v>
      </c>
      <c r="P65">
        <v>331007.27317728644</v>
      </c>
      <c r="R65">
        <v>481643.33920810343</v>
      </c>
      <c r="S65">
        <v>370868.18801975774</v>
      </c>
      <c r="T65">
        <v>185427.09607066913</v>
      </c>
      <c r="U65">
        <v>124473.71623489812</v>
      </c>
      <c r="V65">
        <v>264531.58781858062</v>
      </c>
      <c r="W65">
        <v>108771.9095550895</v>
      </c>
      <c r="X65">
        <v>66297.095268975012</v>
      </c>
      <c r="Y65">
        <v>188021.40061004204</v>
      </c>
      <c r="Z65">
        <v>71097.283677512285</v>
      </c>
      <c r="AA65">
        <v>168457.23479508323</v>
      </c>
      <c r="AB65">
        <v>3230812.3866677536</v>
      </c>
      <c r="AC65">
        <v>5675824.6988891838</v>
      </c>
      <c r="AD65">
        <v>1217903.2825625208</v>
      </c>
      <c r="AE65">
        <v>2373047.8433224671</v>
      </c>
      <c r="AF65">
        <v>2922323.523665058</v>
      </c>
      <c r="AG65">
        <v>3629957.7</v>
      </c>
      <c r="AH65">
        <v>2973277.0173432925</v>
      </c>
      <c r="AI65">
        <v>10566344.197888922</v>
      </c>
    </row>
    <row r="66" spans="1:35">
      <c r="A66" s="3">
        <v>42430</v>
      </c>
      <c r="B66" s="3">
        <v>42430</v>
      </c>
      <c r="C66">
        <v>5440726.3382605389</v>
      </c>
      <c r="D66">
        <v>1238451.3292118083</v>
      </c>
      <c r="E66">
        <v>2362292.2357607451</v>
      </c>
      <c r="F66">
        <v>2870545.2239786917</v>
      </c>
      <c r="G66">
        <v>2800824.8770582736</v>
      </c>
      <c r="H66">
        <v>2495238.8173727933</v>
      </c>
      <c r="I66">
        <v>10183046.681925656</v>
      </c>
      <c r="J66">
        <v>156709.19920948436</v>
      </c>
      <c r="K66">
        <v>738953.89698884916</v>
      </c>
      <c r="L66">
        <v>393804.40814945602</v>
      </c>
      <c r="M66">
        <v>292471.51257071638</v>
      </c>
      <c r="N66">
        <v>48055.370612630031</v>
      </c>
      <c r="O66">
        <v>5453.1945891641071</v>
      </c>
      <c r="P66">
        <v>339104.64163976983</v>
      </c>
      <c r="R66">
        <v>470761.10755871766</v>
      </c>
      <c r="S66">
        <v>371773.73132473021</v>
      </c>
      <c r="T66">
        <v>184874.58456183274</v>
      </c>
      <c r="U66">
        <v>124775.58492173</v>
      </c>
      <c r="V66">
        <v>266026.69567449263</v>
      </c>
      <c r="W66">
        <v>107058.17127925756</v>
      </c>
      <c r="X66">
        <v>66570.85387343436</v>
      </c>
      <c r="Y66">
        <v>188664.2215257085</v>
      </c>
      <c r="Z66">
        <v>71412.051699996766</v>
      </c>
      <c r="AA66">
        <v>170169.42862575321</v>
      </c>
      <c r="AB66">
        <v>3229037.8911345433</v>
      </c>
      <c r="AC66">
        <v>5912213.291104313</v>
      </c>
      <c r="AD66">
        <v>1506298.056284257</v>
      </c>
      <c r="AE66">
        <v>2470506.636915144</v>
      </c>
      <c r="AF66">
        <v>3040388.9644019785</v>
      </c>
      <c r="AG66">
        <v>3578443.6</v>
      </c>
      <c r="AH66">
        <v>3568214.4505951265</v>
      </c>
      <c r="AI66">
        <v>11101827.508054661</v>
      </c>
    </row>
    <row r="67" spans="1:35">
      <c r="A67" s="3">
        <v>42522</v>
      </c>
      <c r="B67" s="3">
        <v>42522</v>
      </c>
      <c r="C67">
        <v>5469131.519052092</v>
      </c>
      <c r="D67">
        <v>1225123.6087798909</v>
      </c>
      <c r="E67">
        <v>2374146.7281750641</v>
      </c>
      <c r="F67">
        <v>2888395.1909551234</v>
      </c>
      <c r="G67">
        <v>2755781.6632791734</v>
      </c>
      <c r="H67">
        <v>2449215.9500424969</v>
      </c>
      <c r="I67">
        <v>10219099.50559083</v>
      </c>
      <c r="J67">
        <v>158193.87431315487</v>
      </c>
      <c r="K67">
        <v>734633.78889396542</v>
      </c>
      <c r="L67">
        <v>385653.18022066006</v>
      </c>
      <c r="M67">
        <v>295200.75300186325</v>
      </c>
      <c r="N67">
        <v>47996.711986494323</v>
      </c>
      <c r="O67">
        <v>5391.4688716067294</v>
      </c>
      <c r="P67">
        <v>344697.63925823383</v>
      </c>
      <c r="R67">
        <v>480041.00676880364</v>
      </c>
      <c r="S67">
        <v>374535.0212441883</v>
      </c>
      <c r="T67">
        <v>184604.05162582846</v>
      </c>
      <c r="U67">
        <v>125012.12664626796</v>
      </c>
      <c r="V67">
        <v>267501.87982278125</v>
      </c>
      <c r="W67">
        <v>107964.19534406679</v>
      </c>
      <c r="X67">
        <v>66395.076590314537</v>
      </c>
      <c r="Y67">
        <v>189418.66955043803</v>
      </c>
      <c r="Z67">
        <v>71396.641173062904</v>
      </c>
      <c r="AA67">
        <v>169065.28482980502</v>
      </c>
      <c r="AB67">
        <v>3240480.1784274615</v>
      </c>
      <c r="AC67">
        <v>6244717.9820068199</v>
      </c>
      <c r="AD67">
        <v>1260709.9595908737</v>
      </c>
      <c r="AE67">
        <v>2571686.3720748727</v>
      </c>
      <c r="AF67">
        <v>3160169.0322891129</v>
      </c>
      <c r="AG67">
        <v>3460583.4999999995</v>
      </c>
      <c r="AH67">
        <v>3134993.9919496775</v>
      </c>
      <c r="AI67">
        <v>11555976.854026033</v>
      </c>
    </row>
    <row r="68" spans="1:35">
      <c r="A68" s="3">
        <v>42614</v>
      </c>
      <c r="B68" s="3">
        <v>42614</v>
      </c>
      <c r="C68">
        <v>5491045.4353086036</v>
      </c>
      <c r="D68">
        <v>1215589.8440064213</v>
      </c>
      <c r="E68">
        <v>2381118.2399176154</v>
      </c>
      <c r="F68">
        <v>2922142.9305515448</v>
      </c>
      <c r="G68">
        <v>2780173.6725337999</v>
      </c>
      <c r="H68">
        <v>2482639.4383625919</v>
      </c>
      <c r="I68">
        <v>10309703.347595936</v>
      </c>
      <c r="J68">
        <v>162986.60690597558</v>
      </c>
      <c r="K68">
        <v>739704.90672452271</v>
      </c>
      <c r="L68">
        <v>390055.27241687349</v>
      </c>
      <c r="M68">
        <v>299490.21966205671</v>
      </c>
      <c r="N68">
        <v>48812.564998604677</v>
      </c>
      <c r="O68">
        <v>5411.6780032946654</v>
      </c>
      <c r="P68">
        <v>353790.67073570809</v>
      </c>
      <c r="R68">
        <v>479830.99262467475</v>
      </c>
      <c r="S68">
        <v>375478.57328787813</v>
      </c>
      <c r="T68">
        <v>185663.92204527254</v>
      </c>
      <c r="U68">
        <v>125378.35774574301</v>
      </c>
      <c r="V68">
        <v>269275.07657110994</v>
      </c>
      <c r="W68">
        <v>108016.42219008844</v>
      </c>
      <c r="X68">
        <v>66657.837890709925</v>
      </c>
      <c r="Y68">
        <v>190293.4057444814</v>
      </c>
      <c r="Z68">
        <v>71352.737322108762</v>
      </c>
      <c r="AA68">
        <v>169814.59934604401</v>
      </c>
      <c r="AB68">
        <v>3270888.4843558986</v>
      </c>
      <c r="AC68">
        <v>6280089.5271646651</v>
      </c>
      <c r="AD68">
        <v>1313797.6313726166</v>
      </c>
      <c r="AE68">
        <v>2630554.748317481</v>
      </c>
      <c r="AF68">
        <v>3242687.4610763616</v>
      </c>
      <c r="AG68">
        <v>3910585.3000000007</v>
      </c>
      <c r="AH68">
        <v>3366008.6109514907</v>
      </c>
      <c r="AI68">
        <v>11790699.171714334</v>
      </c>
    </row>
    <row r="69" spans="1:35">
      <c r="A69" s="3">
        <v>42705</v>
      </c>
      <c r="B69" s="3">
        <v>42705</v>
      </c>
      <c r="C69">
        <v>5511633.8067429792</v>
      </c>
      <c r="D69">
        <v>1214003.6871163794</v>
      </c>
      <c r="E69">
        <v>2401280.6026937249</v>
      </c>
      <c r="F69">
        <v>2949269.6949036703</v>
      </c>
      <c r="G69">
        <v>2727074.993028719</v>
      </c>
      <c r="H69">
        <v>2341447.9567624731</v>
      </c>
      <c r="I69">
        <v>10437185.138185732</v>
      </c>
      <c r="J69">
        <v>161873.42946167768</v>
      </c>
      <c r="K69">
        <v>765832.44312188262</v>
      </c>
      <c r="L69">
        <v>408240.77465473523</v>
      </c>
      <c r="M69">
        <v>303853.08904868871</v>
      </c>
      <c r="N69">
        <v>49020.589835953331</v>
      </c>
      <c r="O69">
        <v>5397.8517537616572</v>
      </c>
      <c r="P69">
        <v>357877.0899476161</v>
      </c>
      <c r="R69">
        <v>485458.51439674612</v>
      </c>
      <c r="S69">
        <v>380222.97559197841</v>
      </c>
      <c r="T69">
        <v>187977.82452508426</v>
      </c>
      <c r="U69">
        <v>125183.30312200593</v>
      </c>
      <c r="V69">
        <v>271475.76472166419</v>
      </c>
      <c r="W69">
        <v>106905.32158930924</v>
      </c>
      <c r="X69">
        <v>66534.186940786807</v>
      </c>
      <c r="Y69">
        <v>191354.97668430692</v>
      </c>
      <c r="Z69">
        <v>71744.872321032075</v>
      </c>
      <c r="AA69">
        <v>165528.84348514926</v>
      </c>
      <c r="AB69">
        <v>3314529.693680556</v>
      </c>
      <c r="AC69">
        <v>6364566.2171177482</v>
      </c>
      <c r="AD69">
        <v>1364664.0401477264</v>
      </c>
      <c r="AE69">
        <v>2683328.494285143</v>
      </c>
      <c r="AF69">
        <v>3348628.7788066147</v>
      </c>
      <c r="AG69">
        <v>4007828.2999999989</v>
      </c>
      <c r="AH69">
        <v>3336863.9542428125</v>
      </c>
      <c r="AI69">
        <v>12041555.548675949</v>
      </c>
    </row>
    <row r="70" spans="1:35">
      <c r="A70" s="3">
        <v>42795</v>
      </c>
      <c r="B70" s="3">
        <v>42795</v>
      </c>
      <c r="C70">
        <v>5528690.6470211791</v>
      </c>
      <c r="D70">
        <v>1262455.5443411984</v>
      </c>
      <c r="E70">
        <v>2434929.7594867484</v>
      </c>
      <c r="F70">
        <v>2989391.0305606602</v>
      </c>
      <c r="G70">
        <v>2785885.4770514085</v>
      </c>
      <c r="H70">
        <v>2367033.057067961</v>
      </c>
      <c r="I70">
        <v>10539484.851320997</v>
      </c>
      <c r="J70">
        <v>162741.72845444761</v>
      </c>
      <c r="K70">
        <v>778713.26008456468</v>
      </c>
      <c r="L70">
        <v>415458.04992412461</v>
      </c>
      <c r="M70">
        <v>309048.21282261622</v>
      </c>
      <c r="N70">
        <v>50034.24280672973</v>
      </c>
      <c r="O70">
        <v>5460.0573618509479</v>
      </c>
      <c r="P70">
        <v>356419.20484004554</v>
      </c>
      <c r="R70">
        <v>485624.35656937759</v>
      </c>
      <c r="S70">
        <v>384673.70129824674</v>
      </c>
      <c r="T70">
        <v>189283.93669556928</v>
      </c>
      <c r="U70">
        <v>125319.33559109933</v>
      </c>
      <c r="V70">
        <v>272501.56362360303</v>
      </c>
      <c r="W70">
        <v>106782.33163802575</v>
      </c>
      <c r="X70">
        <v>66816.20336548012</v>
      </c>
      <c r="Y70">
        <v>192630.44667832565</v>
      </c>
      <c r="Z70">
        <v>71983.449613393692</v>
      </c>
      <c r="AA70">
        <v>174796.80066734759</v>
      </c>
      <c r="AB70">
        <v>3344577.529861141</v>
      </c>
      <c r="AC70">
        <v>6595209.0507848822</v>
      </c>
      <c r="AD70">
        <v>1428460.4480662274</v>
      </c>
      <c r="AE70">
        <v>2738132.1613998525</v>
      </c>
      <c r="AF70">
        <v>3399359.6344626583</v>
      </c>
      <c r="AG70">
        <v>4023647.3</v>
      </c>
      <c r="AH70">
        <v>3548584.0519039198</v>
      </c>
      <c r="AI70">
        <v>12585673.494920826</v>
      </c>
    </row>
    <row r="71" spans="1:35">
      <c r="A71" s="3">
        <v>42887</v>
      </c>
      <c r="B71" s="3">
        <v>42887</v>
      </c>
      <c r="C71">
        <v>5538866.8049235446</v>
      </c>
      <c r="D71">
        <v>1241961.7030669728</v>
      </c>
      <c r="E71">
        <v>2461774.7193885865</v>
      </c>
      <c r="F71">
        <v>2988593.8366059009</v>
      </c>
      <c r="G71">
        <v>2881591.504383238</v>
      </c>
      <c r="H71">
        <v>2401860.6358017232</v>
      </c>
      <c r="I71">
        <v>10668738.644731537</v>
      </c>
      <c r="J71">
        <v>163911.34647030811</v>
      </c>
      <c r="K71">
        <v>796774.92599681462</v>
      </c>
      <c r="L71">
        <v>428065.74163672194</v>
      </c>
      <c r="M71">
        <v>313721.94352968945</v>
      </c>
      <c r="N71">
        <v>50558.722353786266</v>
      </c>
      <c r="O71">
        <v>5496.3901800059721</v>
      </c>
      <c r="P71">
        <v>362413.39919614082</v>
      </c>
      <c r="R71">
        <v>492402.85221890546</v>
      </c>
      <c r="S71">
        <v>389535.25963351218</v>
      </c>
      <c r="T71">
        <v>191354.65203806138</v>
      </c>
      <c r="U71">
        <v>125762.78280546839</v>
      </c>
      <c r="V71">
        <v>274250.16262457456</v>
      </c>
      <c r="W71">
        <v>105277.02917400698</v>
      </c>
      <c r="X71">
        <v>67326.082971355587</v>
      </c>
      <c r="Y71">
        <v>193958.94079479543</v>
      </c>
      <c r="Z71">
        <v>72461.585712674758</v>
      </c>
      <c r="AA71">
        <v>174726.29553204804</v>
      </c>
      <c r="AB71">
        <v>3385354.408918716</v>
      </c>
      <c r="AC71">
        <v>6665234.3144196793</v>
      </c>
      <c r="AD71">
        <v>1430852.6720127237</v>
      </c>
      <c r="AE71">
        <v>2794515.8558129184</v>
      </c>
      <c r="AF71">
        <v>3466750.2296873434</v>
      </c>
      <c r="AG71">
        <v>4442712.1000000006</v>
      </c>
      <c r="AH71">
        <v>3465559.3604705054</v>
      </c>
      <c r="AI71">
        <v>12909902.771829899</v>
      </c>
    </row>
    <row r="72" spans="1:35">
      <c r="A72" s="3">
        <v>42979</v>
      </c>
      <c r="B72" s="3">
        <v>42979</v>
      </c>
      <c r="C72">
        <v>5569311.5286197625</v>
      </c>
      <c r="D72">
        <v>1248136.3090432354</v>
      </c>
      <c r="E72">
        <v>2510676.8393844552</v>
      </c>
      <c r="F72">
        <v>2979659.8947906159</v>
      </c>
      <c r="G72">
        <v>2943720.6963522192</v>
      </c>
      <c r="H72">
        <v>2383771.5577664021</v>
      </c>
      <c r="I72">
        <v>10768918.811794341</v>
      </c>
      <c r="J72">
        <v>166823.15222117162</v>
      </c>
      <c r="K72">
        <v>810654.04035007092</v>
      </c>
      <c r="L72">
        <v>436978.92065176379</v>
      </c>
      <c r="M72">
        <v>317038.72204709722</v>
      </c>
      <c r="N72">
        <v>51414.762797253687</v>
      </c>
      <c r="O72">
        <v>5483.6702073082552</v>
      </c>
      <c r="P72">
        <v>358654.02792969858</v>
      </c>
      <c r="R72">
        <v>497674.55734175205</v>
      </c>
      <c r="S72">
        <v>399375.69688781159</v>
      </c>
      <c r="T72">
        <v>193792.50101208987</v>
      </c>
      <c r="U72">
        <v>126205.969301839</v>
      </c>
      <c r="V72">
        <v>275262.33436868637</v>
      </c>
      <c r="W72">
        <v>103609.61459038474</v>
      </c>
      <c r="X72">
        <v>67223.059101928025</v>
      </c>
      <c r="Y72">
        <v>195264.59692441055</v>
      </c>
      <c r="Z72">
        <v>72964.125913306911</v>
      </c>
      <c r="AA72">
        <v>177754.41199741262</v>
      </c>
      <c r="AB72">
        <v>3417334.7743668747</v>
      </c>
      <c r="AC72">
        <v>6895484.5361145856</v>
      </c>
      <c r="AD72">
        <v>1397305.7814046389</v>
      </c>
      <c r="AE72">
        <v>2886075.2336298721</v>
      </c>
      <c r="AF72">
        <v>3565287.8420533086</v>
      </c>
      <c r="AG72">
        <v>4516305.1999999993</v>
      </c>
      <c r="AH72">
        <v>3459880.0270014075</v>
      </c>
      <c r="AI72">
        <v>13601824.257426303</v>
      </c>
    </row>
    <row r="73" spans="1:35">
      <c r="A73" s="3">
        <v>43070</v>
      </c>
      <c r="B73" s="3">
        <v>43070</v>
      </c>
      <c r="C73">
        <v>5612915.1576394839</v>
      </c>
      <c r="D73">
        <v>1227083.5239651904</v>
      </c>
      <c r="E73">
        <v>2554228.6775377351</v>
      </c>
      <c r="F73">
        <v>3030841.7723465855</v>
      </c>
      <c r="G73">
        <v>3073771.2461063662</v>
      </c>
      <c r="H73">
        <v>2497220.0538145634</v>
      </c>
      <c r="I73">
        <v>10860246.142777529</v>
      </c>
      <c r="J73">
        <v>166888.2961429891</v>
      </c>
      <c r="K73">
        <v>815153.19032326585</v>
      </c>
      <c r="L73">
        <v>437087.56661222666</v>
      </c>
      <c r="M73">
        <v>322183.62976175861</v>
      </c>
      <c r="N73">
        <v>52371.811577055967</v>
      </c>
      <c r="O73">
        <v>5484.3148597136478</v>
      </c>
      <c r="P73">
        <v>363037.45578154572</v>
      </c>
      <c r="R73">
        <v>501800.98520045291</v>
      </c>
      <c r="S73">
        <v>397643.2531389154</v>
      </c>
      <c r="T73">
        <v>196101.84842368151</v>
      </c>
      <c r="U73">
        <v>126703.10942909816</v>
      </c>
      <c r="V73">
        <v>276673.15387537947</v>
      </c>
      <c r="W73">
        <v>104315.26380897185</v>
      </c>
      <c r="X73">
        <v>68137.639636238921</v>
      </c>
      <c r="Y73">
        <v>196312.75527012561</v>
      </c>
      <c r="Z73">
        <v>73216.230417694547</v>
      </c>
      <c r="AA73">
        <v>180309.65712092572</v>
      </c>
      <c r="AB73">
        <v>3445154.7114863303</v>
      </c>
      <c r="AC73">
        <v>7213895.748384973</v>
      </c>
      <c r="AD73">
        <v>1405006.2248196262</v>
      </c>
      <c r="AE73">
        <v>2996510.245733066</v>
      </c>
      <c r="AF73">
        <v>3664035.6234994726</v>
      </c>
      <c r="AG73">
        <v>4634863.0999999996</v>
      </c>
      <c r="AH73">
        <v>2882796.8616892537</v>
      </c>
      <c r="AI73">
        <v>14184214.651389714</v>
      </c>
    </row>
    <row r="74" spans="1:35">
      <c r="A74" s="3">
        <v>43160</v>
      </c>
      <c r="B74" s="3">
        <v>43160</v>
      </c>
      <c r="C74">
        <v>5740208.883719435</v>
      </c>
      <c r="D74">
        <v>1091389.4627541061</v>
      </c>
      <c r="E74">
        <v>2539484.6446823282</v>
      </c>
      <c r="F74">
        <v>3131941.8603594569</v>
      </c>
      <c r="G74">
        <v>3129521.3079562201</v>
      </c>
      <c r="H74">
        <v>2496420.4281612197</v>
      </c>
      <c r="I74">
        <v>10987948.195783127</v>
      </c>
      <c r="J74">
        <v>168312.44649745818</v>
      </c>
      <c r="K74">
        <v>825159.97709272092</v>
      </c>
      <c r="L74">
        <v>441508.80946573039</v>
      </c>
      <c r="M74">
        <v>325899.10065537185</v>
      </c>
      <c r="N74">
        <v>52346.538785682686</v>
      </c>
      <c r="O74">
        <v>5400.3061593592438</v>
      </c>
      <c r="P74">
        <v>368756.75561935082</v>
      </c>
      <c r="R74">
        <v>516180.21238864632</v>
      </c>
      <c r="S74">
        <v>403056.05973884009</v>
      </c>
      <c r="T74">
        <v>196968.03918756635</v>
      </c>
      <c r="U74">
        <v>125456.78320497645</v>
      </c>
      <c r="V74">
        <v>279016.70118538442</v>
      </c>
      <c r="W74">
        <v>107157.80603756696</v>
      </c>
      <c r="X74">
        <v>68035.634999071946</v>
      </c>
      <c r="Y74">
        <v>197379.45295221885</v>
      </c>
      <c r="Z74">
        <v>73478.766411181743</v>
      </c>
      <c r="AA74">
        <v>180310.20010530198</v>
      </c>
      <c r="AB74">
        <v>3485979.835809743</v>
      </c>
      <c r="AC74">
        <v>7366098.2139189206</v>
      </c>
      <c r="AD74">
        <v>1283956.0824294875</v>
      </c>
      <c r="AE74">
        <v>3042403.2850768459</v>
      </c>
      <c r="AF74">
        <v>3743692.6530079022</v>
      </c>
      <c r="AG74">
        <v>5046638</v>
      </c>
      <c r="AH74">
        <v>3945273.8373422623</v>
      </c>
      <c r="AI74">
        <v>14475741.013964375</v>
      </c>
    </row>
    <row r="75" spans="1:35">
      <c r="A75" s="3">
        <v>43252</v>
      </c>
      <c r="B75" s="3">
        <v>43252</v>
      </c>
      <c r="C75">
        <v>5802498.2115536677</v>
      </c>
      <c r="D75">
        <v>1056103.03563392</v>
      </c>
      <c r="E75">
        <v>2592969.549454561</v>
      </c>
      <c r="F75">
        <v>3138173.660861792</v>
      </c>
      <c r="G75">
        <v>3188251.5631138147</v>
      </c>
      <c r="H75">
        <v>2495102.0706962845</v>
      </c>
      <c r="I75">
        <v>11089592.484581586</v>
      </c>
      <c r="J75">
        <v>169968.40751822077</v>
      </c>
      <c r="K75">
        <v>835447.50850981544</v>
      </c>
      <c r="L75">
        <v>452876.30439447617</v>
      </c>
      <c r="M75">
        <v>327523.25397971313</v>
      </c>
      <c r="N75">
        <v>52398.119005215063</v>
      </c>
      <c r="O75">
        <v>5517.0528370277825</v>
      </c>
      <c r="P75">
        <v>369435.80674197979</v>
      </c>
      <c r="R75">
        <v>523821.41669014277</v>
      </c>
      <c r="S75">
        <v>407995.53179551661</v>
      </c>
      <c r="T75">
        <v>198829.49738992495</v>
      </c>
      <c r="U75">
        <v>124137.21340473267</v>
      </c>
      <c r="V75">
        <v>280836.8191169661</v>
      </c>
      <c r="W75">
        <v>107927.49537602116</v>
      </c>
      <c r="X75">
        <v>68976.508012865917</v>
      </c>
      <c r="Y75">
        <v>198396.77954459333</v>
      </c>
      <c r="Z75">
        <v>73674.825973440456</v>
      </c>
      <c r="AA75">
        <v>184318.41063376734</v>
      </c>
      <c r="AB75">
        <v>3518413.0313984882</v>
      </c>
      <c r="AC75">
        <v>7597972.7947790977</v>
      </c>
      <c r="AD75">
        <v>1257211.5835900081</v>
      </c>
      <c r="AE75">
        <v>3040998.5749541195</v>
      </c>
      <c r="AF75">
        <v>3741600.5634061932</v>
      </c>
      <c r="AG75">
        <v>5715026.4000000004</v>
      </c>
      <c r="AH75">
        <v>3838214.8070064867</v>
      </c>
      <c r="AI75">
        <v>15045988.785493862</v>
      </c>
    </row>
    <row r="76" spans="1:35">
      <c r="A76" s="3">
        <v>43344</v>
      </c>
      <c r="B76" s="3">
        <v>43344</v>
      </c>
      <c r="C76">
        <v>5905235.8608693145</v>
      </c>
      <c r="D76">
        <v>1114861.3743196377</v>
      </c>
      <c r="E76">
        <v>2617009.641904593</v>
      </c>
      <c r="F76">
        <v>2975700.6407389049</v>
      </c>
      <c r="G76">
        <v>3255292.2133779721</v>
      </c>
      <c r="H76">
        <v>2588695.5659653759</v>
      </c>
      <c r="I76">
        <v>11192423.122095503</v>
      </c>
      <c r="J76">
        <v>172620.28296932598</v>
      </c>
      <c r="K76">
        <v>837188.81942389102</v>
      </c>
      <c r="L76">
        <v>447932.14284788992</v>
      </c>
      <c r="M76">
        <v>330906.89426740963</v>
      </c>
      <c r="N76">
        <v>52046.156588547594</v>
      </c>
      <c r="O76">
        <v>5578.2396142289426</v>
      </c>
      <c r="P76">
        <v>376512.31168944476</v>
      </c>
      <c r="R76">
        <v>536198.03625334147</v>
      </c>
      <c r="S76">
        <v>408363.73830675468</v>
      </c>
      <c r="T76">
        <v>200245.159923083</v>
      </c>
      <c r="U76">
        <v>122888.93141809572</v>
      </c>
      <c r="V76">
        <v>283391.37079345429</v>
      </c>
      <c r="W76">
        <v>107347.52183297285</v>
      </c>
      <c r="X76">
        <v>69385.538044655696</v>
      </c>
      <c r="Y76">
        <v>199655.60393244374</v>
      </c>
      <c r="Z76">
        <v>74004.311759924225</v>
      </c>
      <c r="AA76">
        <v>185770.64111669268</v>
      </c>
      <c r="AB76">
        <v>3549622.1682890845</v>
      </c>
      <c r="AC76">
        <v>7748905.6901222188</v>
      </c>
      <c r="AD76">
        <v>1330924.9566669594</v>
      </c>
      <c r="AE76">
        <v>3200897.8555697678</v>
      </c>
      <c r="AF76">
        <v>3903932.0247915853</v>
      </c>
      <c r="AG76">
        <v>6347455.7999999989</v>
      </c>
      <c r="AH76">
        <v>4076011.2217542669</v>
      </c>
      <c r="AI76">
        <v>15346218.996574089</v>
      </c>
    </row>
    <row r="77" spans="1:35">
      <c r="A77" s="3">
        <v>43435</v>
      </c>
      <c r="B77" s="3">
        <v>43435</v>
      </c>
      <c r="C77">
        <v>6002585.6285725655</v>
      </c>
      <c r="D77">
        <v>1043117.7245691486</v>
      </c>
      <c r="E77">
        <v>2642008.0178259448</v>
      </c>
      <c r="F77">
        <v>3058702.8380046515</v>
      </c>
      <c r="G77">
        <v>3293639.1081127631</v>
      </c>
      <c r="H77">
        <v>2613940.1890928792</v>
      </c>
      <c r="I77">
        <v>11300005.500720855</v>
      </c>
      <c r="J77">
        <v>173802.04246969958</v>
      </c>
      <c r="K77">
        <v>842579.19797397999</v>
      </c>
      <c r="L77">
        <v>454739.86420942994</v>
      </c>
      <c r="M77">
        <v>331233.13004153641</v>
      </c>
      <c r="N77">
        <v>53011.897349290703</v>
      </c>
      <c r="O77">
        <v>5603.8822157717168</v>
      </c>
      <c r="P77">
        <v>389714.45401898242</v>
      </c>
      <c r="R77">
        <v>545745.15269387932</v>
      </c>
      <c r="S77">
        <v>419824.44722331013</v>
      </c>
      <c r="T77">
        <v>200753.08892736581</v>
      </c>
      <c r="U77">
        <v>121648.90787080578</v>
      </c>
      <c r="V77">
        <v>285270.98165922012</v>
      </c>
      <c r="W77">
        <v>109116.70957465487</v>
      </c>
      <c r="X77">
        <v>68743.979825951421</v>
      </c>
      <c r="Y77">
        <v>201517.14133405601</v>
      </c>
      <c r="Z77">
        <v>74341.655317020617</v>
      </c>
      <c r="AA77">
        <v>188353.30977817898</v>
      </c>
      <c r="AB77">
        <v>3584183.681456177</v>
      </c>
      <c r="AC77">
        <v>8008444.3806392197</v>
      </c>
      <c r="AD77">
        <v>1291722.356828602</v>
      </c>
      <c r="AE77">
        <v>3442868.5279382793</v>
      </c>
      <c r="AF77">
        <v>4120009.585759535</v>
      </c>
      <c r="AG77">
        <v>6150615.4000000022</v>
      </c>
      <c r="AH77">
        <v>4110453.7142431908</v>
      </c>
      <c r="AI77">
        <v>15886756.572631586</v>
      </c>
    </row>
    <row r="78" spans="1:35">
      <c r="A78" s="3">
        <v>43525</v>
      </c>
      <c r="B78" s="3">
        <v>43525</v>
      </c>
      <c r="C78">
        <v>6054216.6468041176</v>
      </c>
      <c r="D78">
        <v>1142962.0138500039</v>
      </c>
      <c r="E78">
        <v>2794922.1816379833</v>
      </c>
      <c r="F78">
        <v>3274219.069635062</v>
      </c>
      <c r="G78">
        <v>3298668.2046044027</v>
      </c>
      <c r="H78">
        <v>2750977.3666515956</v>
      </c>
      <c r="I78">
        <v>11448817.210637083</v>
      </c>
      <c r="J78">
        <v>172451.88091583856</v>
      </c>
      <c r="K78">
        <v>849985.63699943572</v>
      </c>
      <c r="L78">
        <v>457110.38771962514</v>
      </c>
      <c r="M78">
        <v>336643.48095863964</v>
      </c>
      <c r="N78">
        <v>52639.492120805575</v>
      </c>
      <c r="O78">
        <v>5754.4595745929992</v>
      </c>
      <c r="P78">
        <v>402619.87568013318</v>
      </c>
      <c r="R78">
        <v>554439.70075860596</v>
      </c>
      <c r="S78">
        <v>421365.27802276867</v>
      </c>
      <c r="T78">
        <v>203981.23390034202</v>
      </c>
      <c r="U78">
        <v>121942.34975402978</v>
      </c>
      <c r="V78">
        <v>286840.53028846631</v>
      </c>
      <c r="W78">
        <v>109607.86792776178</v>
      </c>
      <c r="X78">
        <v>68813.140717096656</v>
      </c>
      <c r="Y78">
        <v>204390.78138331027</v>
      </c>
      <c r="Z78">
        <v>74903.399513857628</v>
      </c>
      <c r="AA78">
        <v>190627.37194191082</v>
      </c>
      <c r="AB78">
        <v>3632892.4951872849</v>
      </c>
      <c r="AC78">
        <v>8156254.496352572</v>
      </c>
      <c r="AD78">
        <v>1359102.2325214748</v>
      </c>
      <c r="AE78">
        <v>3722305.6453997814</v>
      </c>
      <c r="AF78">
        <v>4359073.5074438807</v>
      </c>
      <c r="AG78">
        <v>5882332.9000000004</v>
      </c>
      <c r="AH78">
        <v>4483458.2051793281</v>
      </c>
      <c r="AI78">
        <v>16237245.764669411</v>
      </c>
    </row>
    <row r="79" spans="1:35">
      <c r="A79" s="3">
        <v>43617</v>
      </c>
      <c r="B79" s="3">
        <v>43617</v>
      </c>
      <c r="C79">
        <v>6394310.7758903857</v>
      </c>
      <c r="D79">
        <v>1236234.2921608589</v>
      </c>
      <c r="E79">
        <v>2845679.4078731076</v>
      </c>
      <c r="F79">
        <v>3405999.4269884094</v>
      </c>
      <c r="G79">
        <v>3321154.6228694343</v>
      </c>
      <c r="H79">
        <v>2914463.1686319229</v>
      </c>
      <c r="I79">
        <v>11590241.588904781</v>
      </c>
      <c r="J79">
        <v>173095.39098944244</v>
      </c>
      <c r="K79">
        <v>862705.04081124417</v>
      </c>
      <c r="L79">
        <v>458273.13386033906</v>
      </c>
      <c r="M79">
        <v>345501.42150932399</v>
      </c>
      <c r="N79">
        <v>52520.798675790058</v>
      </c>
      <c r="O79">
        <v>5810.9179052930131</v>
      </c>
      <c r="P79">
        <v>416535.80311180674</v>
      </c>
      <c r="R79">
        <v>569763.65286339878</v>
      </c>
      <c r="S79">
        <v>431922.80156166694</v>
      </c>
      <c r="T79">
        <v>205892.54113873912</v>
      </c>
      <c r="U79">
        <v>122062.89880909702</v>
      </c>
      <c r="V79">
        <v>289248.39310499321</v>
      </c>
      <c r="W79">
        <v>110899.17378999275</v>
      </c>
      <c r="X79">
        <v>72695.432029246134</v>
      </c>
      <c r="Y79">
        <v>207217.23195635018</v>
      </c>
      <c r="Z79">
        <v>74982.586522187528</v>
      </c>
      <c r="AA79">
        <v>193480.98820191011</v>
      </c>
      <c r="AB79">
        <v>3676073.8121681111</v>
      </c>
      <c r="AC79">
        <v>8909384.3566556405</v>
      </c>
      <c r="AD79">
        <v>1551804.864699715</v>
      </c>
      <c r="AE79">
        <v>4073100.3718751692</v>
      </c>
      <c r="AF79">
        <v>4765826.0648100572</v>
      </c>
      <c r="AG79">
        <v>6323155.5</v>
      </c>
      <c r="AH79">
        <v>4929546.8025418874</v>
      </c>
      <c r="AI79">
        <v>16983246.146940041</v>
      </c>
    </row>
    <row r="80" spans="1:35">
      <c r="A80" s="3">
        <v>43709</v>
      </c>
      <c r="B80" s="3">
        <v>43709</v>
      </c>
      <c r="C80">
        <v>6101137.3766859369</v>
      </c>
      <c r="D80">
        <v>1201717.1587305632</v>
      </c>
      <c r="E80">
        <v>2858986.1068218471</v>
      </c>
      <c r="F80">
        <v>3375196.1867734985</v>
      </c>
      <c r="G80">
        <v>3332617.1200840911</v>
      </c>
      <c r="H80">
        <v>2843912.9863220532</v>
      </c>
      <c r="I80">
        <v>11693733.156907892</v>
      </c>
      <c r="J80">
        <v>166904.53488185641</v>
      </c>
      <c r="K80">
        <v>886221.47198236384</v>
      </c>
      <c r="L80">
        <v>474188.9051590946</v>
      </c>
      <c r="M80">
        <v>350969.69274659373</v>
      </c>
      <c r="N80">
        <v>53288.708485604227</v>
      </c>
      <c r="O80">
        <v>5813.6397346701588</v>
      </c>
      <c r="P80">
        <v>433993.12749732553</v>
      </c>
      <c r="R80">
        <v>575207.12169370172</v>
      </c>
      <c r="S80">
        <v>431223.9939117211</v>
      </c>
      <c r="T80">
        <v>209522.59452605777</v>
      </c>
      <c r="U80">
        <v>122082.36724035871</v>
      </c>
      <c r="V80">
        <v>285680.77472720813</v>
      </c>
      <c r="W80">
        <v>110682.90332980867</v>
      </c>
      <c r="X80">
        <v>70477.546439038793</v>
      </c>
      <c r="Y80">
        <v>210313.83303873884</v>
      </c>
      <c r="Z80">
        <v>74463.620192138915</v>
      </c>
      <c r="AA80">
        <v>194929.21965677553</v>
      </c>
      <c r="AB80">
        <v>3715331.2397317556</v>
      </c>
      <c r="AC80">
        <v>8647673.116274992</v>
      </c>
      <c r="AD80">
        <v>1587626.3595106534</v>
      </c>
      <c r="AE80">
        <v>4149991.654166684</v>
      </c>
      <c r="AF80">
        <v>4722886.8873628005</v>
      </c>
      <c r="AG80">
        <v>6396039.7000000011</v>
      </c>
      <c r="AH80">
        <v>4910090.3982812436</v>
      </c>
      <c r="AI80">
        <v>17013365.314623855</v>
      </c>
    </row>
    <row r="81" spans="1:35">
      <c r="A81" s="3">
        <v>43800</v>
      </c>
      <c r="B81" s="3">
        <v>43800</v>
      </c>
      <c r="C81">
        <v>6180785.1092609214</v>
      </c>
      <c r="D81">
        <v>1317074.1129045545</v>
      </c>
      <c r="E81">
        <v>2899453.3790633515</v>
      </c>
      <c r="F81">
        <v>3716292.2363978378</v>
      </c>
      <c r="G81">
        <v>3279693.552025218</v>
      </c>
      <c r="H81">
        <v>2895040.7682924625</v>
      </c>
      <c r="I81">
        <v>11754472.994026514</v>
      </c>
      <c r="J81">
        <v>172256.47564876717</v>
      </c>
      <c r="K81">
        <v>881101.85815852683</v>
      </c>
      <c r="L81">
        <v>468056.73982908006</v>
      </c>
      <c r="M81">
        <v>356353.603692398</v>
      </c>
      <c r="N81">
        <v>52672.035775390716</v>
      </c>
      <c r="O81">
        <v>5829.7895938243219</v>
      </c>
      <c r="P81">
        <v>438325.53845653869</v>
      </c>
      <c r="R81">
        <v>573558.84144650237</v>
      </c>
      <c r="S81">
        <v>440685.9174264074</v>
      </c>
      <c r="T81">
        <v>213433.34372457251</v>
      </c>
      <c r="U81">
        <v>121135.15096395276</v>
      </c>
      <c r="V81">
        <v>287627.98534936574</v>
      </c>
      <c r="W81">
        <v>108747.32812676928</v>
      </c>
      <c r="X81">
        <v>69255.882646173777</v>
      </c>
      <c r="Y81">
        <v>213163.55008249666</v>
      </c>
      <c r="Z81">
        <v>73723.62380599363</v>
      </c>
      <c r="AA81">
        <v>188204.95264827361</v>
      </c>
      <c r="AB81">
        <v>3730306.9372082208</v>
      </c>
      <c r="AC81">
        <v>8877620.2017932925</v>
      </c>
      <c r="AD81">
        <v>1827804.0188700615</v>
      </c>
      <c r="AE81">
        <v>4133168.909942728</v>
      </c>
      <c r="AF81">
        <v>4892788.4649555655</v>
      </c>
      <c r="AG81">
        <v>6735456.6999999993</v>
      </c>
      <c r="AH81">
        <v>5292639.2713895729</v>
      </c>
      <c r="AI81">
        <v>18031169.477824386</v>
      </c>
    </row>
    <row r="82" spans="1:35">
      <c r="A82" s="3">
        <v>43891</v>
      </c>
      <c r="B82" s="3">
        <v>43891</v>
      </c>
      <c r="C82">
        <v>6058151.1561555983</v>
      </c>
      <c r="D82">
        <v>1313781.5516380311</v>
      </c>
      <c r="E82">
        <v>2866234.52321174</v>
      </c>
      <c r="F82">
        <v>3309658.2577490285</v>
      </c>
      <c r="G82">
        <v>3255405.8964331886</v>
      </c>
      <c r="H82">
        <v>2729575.6566229253</v>
      </c>
      <c r="I82">
        <v>11778298.418201974</v>
      </c>
      <c r="J82">
        <v>176104.16695889409</v>
      </c>
      <c r="K82">
        <v>880224.07456906175</v>
      </c>
      <c r="L82">
        <v>467128.16024121642</v>
      </c>
      <c r="M82">
        <v>358445.8592630247</v>
      </c>
      <c r="N82">
        <v>52199.334724577195</v>
      </c>
      <c r="O82">
        <v>5704.6012455409145</v>
      </c>
      <c r="P82">
        <v>453605.34634405375</v>
      </c>
      <c r="R82">
        <v>559793.71928744635</v>
      </c>
      <c r="S82">
        <v>415007.60585263785</v>
      </c>
      <c r="T82">
        <v>217833.98465299289</v>
      </c>
      <c r="U82">
        <v>120722.24617832521</v>
      </c>
      <c r="V82">
        <v>287117.73981544882</v>
      </c>
      <c r="W82">
        <v>107877.92923591394</v>
      </c>
      <c r="X82">
        <v>68670.192016729939</v>
      </c>
      <c r="Y82">
        <v>215361.00531548489</v>
      </c>
      <c r="Z82">
        <v>72099.523104813823</v>
      </c>
      <c r="AA82">
        <v>188083.69750642861</v>
      </c>
      <c r="AB82">
        <v>3739307.0638609002</v>
      </c>
      <c r="AC82">
        <v>8847573.0664016176</v>
      </c>
      <c r="AD82">
        <v>2069114.139633826</v>
      </c>
      <c r="AE82">
        <v>4169476.5830499758</v>
      </c>
      <c r="AF82">
        <v>4869837.8733444102</v>
      </c>
      <c r="AG82">
        <v>6046359.4000000004</v>
      </c>
      <c r="AH82">
        <v>4469990.4702633303</v>
      </c>
      <c r="AI82">
        <v>18377849.796300586</v>
      </c>
    </row>
    <row r="83" spans="1:35">
      <c r="A83" s="3">
        <v>43983</v>
      </c>
      <c r="B83" s="3">
        <v>43983</v>
      </c>
      <c r="C83">
        <v>5736699.2141986042</v>
      </c>
      <c r="D83">
        <v>1396363.9532031594</v>
      </c>
      <c r="E83">
        <v>2850162.3966614292</v>
      </c>
      <c r="F83">
        <v>3309228.3909852458</v>
      </c>
      <c r="G83">
        <v>3105693.193895672</v>
      </c>
      <c r="H83">
        <v>2598789.1357067693</v>
      </c>
      <c r="I83">
        <v>10966903.629345989</v>
      </c>
      <c r="J83">
        <v>177475.09368948141</v>
      </c>
      <c r="K83">
        <v>868620.90734429262</v>
      </c>
      <c r="L83">
        <v>449958.54702150618</v>
      </c>
      <c r="M83">
        <v>361018.83948636561</v>
      </c>
      <c r="N83">
        <v>53122.703302654823</v>
      </c>
      <c r="O83">
        <v>5594.2734662568564</v>
      </c>
      <c r="P83">
        <v>466064.62368978257</v>
      </c>
      <c r="R83">
        <v>451372.90590126644</v>
      </c>
      <c r="S83">
        <v>321985.42522356904</v>
      </c>
      <c r="T83">
        <v>222522.6333397867</v>
      </c>
      <c r="U83">
        <v>120181.16984730489</v>
      </c>
      <c r="V83">
        <v>285019.78714176378</v>
      </c>
      <c r="W83">
        <v>104827.59786822823</v>
      </c>
      <c r="X83">
        <v>66965.673445884167</v>
      </c>
      <c r="Y83">
        <v>218216.34675699708</v>
      </c>
      <c r="Z83">
        <v>70515.420181814989</v>
      </c>
      <c r="AA83">
        <v>181201.87031859666</v>
      </c>
      <c r="AB83">
        <v>3477282.6694508847</v>
      </c>
      <c r="AC83">
        <v>8404315.2163959816</v>
      </c>
      <c r="AD83">
        <v>2182530.3419035133</v>
      </c>
      <c r="AE83">
        <v>4220267.5809565606</v>
      </c>
      <c r="AF83">
        <v>4889375.1800215216</v>
      </c>
      <c r="AG83">
        <v>5495274.9000000004</v>
      </c>
      <c r="AH83">
        <v>4482595.8780338028</v>
      </c>
      <c r="AI83">
        <v>15859924.518031236</v>
      </c>
    </row>
    <row r="84" spans="1:35">
      <c r="A84" s="3">
        <v>44075</v>
      </c>
      <c r="B84" s="3">
        <v>44075</v>
      </c>
      <c r="C84">
        <v>6082113.4195505446</v>
      </c>
      <c r="D84">
        <v>1400673.9956904876</v>
      </c>
      <c r="E84">
        <v>2909586.2940599495</v>
      </c>
      <c r="F84">
        <v>3715155.1706811748</v>
      </c>
      <c r="G84">
        <v>2315857.1967453361</v>
      </c>
      <c r="H84">
        <v>2622962.3378456114</v>
      </c>
      <c r="I84">
        <v>11209008.352145033</v>
      </c>
      <c r="J84">
        <v>183925.39597390092</v>
      </c>
      <c r="K84">
        <v>850432.32371224766</v>
      </c>
      <c r="L84">
        <v>434404.65719590866</v>
      </c>
      <c r="M84">
        <v>364068.14175436529</v>
      </c>
      <c r="N84">
        <v>52571.29606915862</v>
      </c>
      <c r="O84">
        <v>5612.000551918869</v>
      </c>
      <c r="P84">
        <v>480460.69836573768</v>
      </c>
      <c r="R84">
        <v>530020.427679491</v>
      </c>
      <c r="S84">
        <v>335123.56034415425</v>
      </c>
      <c r="T84">
        <v>228449.46780472356</v>
      </c>
      <c r="U84">
        <v>119660.26391020774</v>
      </c>
      <c r="V84">
        <v>289451.78992469987</v>
      </c>
      <c r="W84">
        <v>105361.69134464145</v>
      </c>
      <c r="X84">
        <v>60979.446893435197</v>
      </c>
      <c r="Y84">
        <v>220906.44085860145</v>
      </c>
      <c r="Z84">
        <v>68581.303159490955</v>
      </c>
      <c r="AA84">
        <v>176922.11319711403</v>
      </c>
      <c r="AB84">
        <v>3550955.4081243449</v>
      </c>
      <c r="AC84">
        <v>9113131.1872482672</v>
      </c>
      <c r="AD84">
        <v>2299329.1029848163</v>
      </c>
      <c r="AE84">
        <v>4369784.9792771041</v>
      </c>
      <c r="AF84">
        <v>5204536.0634490782</v>
      </c>
      <c r="AG84">
        <v>4418710.5999999996</v>
      </c>
      <c r="AH84">
        <v>4893205.9414853258</v>
      </c>
      <c r="AI84">
        <v>17427497.62737881</v>
      </c>
    </row>
    <row r="85" spans="1:35">
      <c r="A85" s="3">
        <v>44166</v>
      </c>
      <c r="B85" s="3">
        <v>44166</v>
      </c>
      <c r="C85">
        <v>6010099.7484948086</v>
      </c>
      <c r="D85">
        <v>1422798.048262472</v>
      </c>
      <c r="E85">
        <v>2918022.8443041011</v>
      </c>
      <c r="F85">
        <v>3410806.3743013097</v>
      </c>
      <c r="G85">
        <v>2950781.6127075818</v>
      </c>
      <c r="H85">
        <v>2573747.2763211392</v>
      </c>
      <c r="I85">
        <v>11451739.654422794</v>
      </c>
      <c r="J85">
        <v>183157.85028165026</v>
      </c>
      <c r="K85">
        <v>864606.77064734837</v>
      </c>
      <c r="L85">
        <v>435807.24720875459</v>
      </c>
      <c r="M85">
        <v>371348.23247344827</v>
      </c>
      <c r="N85">
        <v>52655.259304423758</v>
      </c>
      <c r="O85">
        <v>5738.1069124688756</v>
      </c>
      <c r="P85">
        <v>496074.19421723089</v>
      </c>
      <c r="R85">
        <v>649220.81497931806</v>
      </c>
      <c r="S85">
        <v>287754.50263299816</v>
      </c>
      <c r="T85">
        <v>239088.8852279133</v>
      </c>
      <c r="U85">
        <v>120503.05400429833</v>
      </c>
      <c r="V85">
        <v>288396.64561602607</v>
      </c>
      <c r="W85">
        <v>104001.38104760626</v>
      </c>
      <c r="X85">
        <v>71251.139813271584</v>
      </c>
      <c r="Y85">
        <v>223731.18096371222</v>
      </c>
      <c r="Z85">
        <v>67127.265734782282</v>
      </c>
      <c r="AA85">
        <v>186843.85537708126</v>
      </c>
      <c r="AB85">
        <v>3635683.3517477773</v>
      </c>
      <c r="AC85">
        <v>9249055.6009067949</v>
      </c>
      <c r="AD85">
        <v>2369672.0381435095</v>
      </c>
      <c r="AE85">
        <v>4471490.8531633206</v>
      </c>
      <c r="AF85">
        <v>5165179.3312583594</v>
      </c>
      <c r="AG85">
        <v>5608032.5999999996</v>
      </c>
      <c r="AH85">
        <v>4787768.167495572</v>
      </c>
      <c r="AI85">
        <v>18097937.691805523</v>
      </c>
    </row>
    <row r="86" spans="1:35">
      <c r="A86" s="3">
        <v>44256</v>
      </c>
      <c r="B86" s="3">
        <v>44256</v>
      </c>
      <c r="C86">
        <v>6137930.9814192932</v>
      </c>
      <c r="D86">
        <v>1417565.791266232</v>
      </c>
      <c r="E86">
        <v>2929890.7188588688</v>
      </c>
      <c r="F86">
        <v>3419164.5219163103</v>
      </c>
      <c r="G86">
        <v>2869698.1960904114</v>
      </c>
      <c r="H86">
        <v>2533528.7981709731</v>
      </c>
      <c r="I86">
        <v>11599743.46632123</v>
      </c>
      <c r="J86">
        <v>182236.69867295778</v>
      </c>
      <c r="K86">
        <v>872867.11464255478</v>
      </c>
      <c r="L86">
        <v>435189.56075477647</v>
      </c>
      <c r="M86">
        <v>375963.103847433</v>
      </c>
      <c r="N86">
        <v>54456.244032978335</v>
      </c>
      <c r="O86">
        <v>5892.339771003024</v>
      </c>
      <c r="P86">
        <v>503774.6875800768</v>
      </c>
      <c r="R86">
        <v>545628.19742944965</v>
      </c>
      <c r="S86">
        <v>349984.40351225639</v>
      </c>
      <c r="T86">
        <v>250298.4078321376</v>
      </c>
      <c r="U86">
        <v>120677.18019418615</v>
      </c>
      <c r="V86">
        <v>288983.94987416227</v>
      </c>
      <c r="W86">
        <v>101813.31389097434</v>
      </c>
      <c r="X86">
        <v>59905.733728968611</v>
      </c>
      <c r="Y86">
        <v>226423.98498723365</v>
      </c>
      <c r="Z86">
        <v>66166.86233576927</v>
      </c>
      <c r="AA86">
        <v>190550.39281311503</v>
      </c>
      <c r="AB86">
        <v>3682812.4541076627</v>
      </c>
      <c r="AC86">
        <v>9654507.6517818812</v>
      </c>
      <c r="AD86">
        <v>2378125.8099059607</v>
      </c>
      <c r="AE86">
        <v>4580017.0677893637</v>
      </c>
      <c r="AF86">
        <v>5337913.6336909896</v>
      </c>
      <c r="AG86">
        <v>5326332.0999999996</v>
      </c>
      <c r="AH86">
        <v>4703467.178625619</v>
      </c>
      <c r="AI86">
        <v>19169864.189730078</v>
      </c>
    </row>
    <row r="87" spans="1:35">
      <c r="A87" s="3">
        <v>44348</v>
      </c>
      <c r="B87" s="3">
        <v>44348</v>
      </c>
      <c r="C87">
        <v>6262078.0493909977</v>
      </c>
      <c r="D87">
        <v>1375614.3350758634</v>
      </c>
      <c r="E87">
        <v>2989596.7892768285</v>
      </c>
      <c r="F87">
        <v>3473133.0906188558</v>
      </c>
      <c r="G87">
        <v>2886230.7184646097</v>
      </c>
      <c r="H87">
        <v>2532388.4705297127</v>
      </c>
      <c r="I87">
        <v>11702681.843577968</v>
      </c>
      <c r="J87">
        <v>183643.5298534926</v>
      </c>
      <c r="K87">
        <v>884843.20951010589</v>
      </c>
      <c r="L87">
        <v>444331.62818144041</v>
      </c>
      <c r="M87">
        <v>378291.06953261758</v>
      </c>
      <c r="N87">
        <v>55009.551893170879</v>
      </c>
      <c r="O87">
        <v>5973.4219449809789</v>
      </c>
      <c r="P87">
        <v>514114.16583976068</v>
      </c>
      <c r="R87">
        <v>553474.94952905073</v>
      </c>
      <c r="S87">
        <v>357161.14053593867</v>
      </c>
      <c r="T87">
        <v>264609.48477679864</v>
      </c>
      <c r="U87">
        <v>120980.85566772164</v>
      </c>
      <c r="V87">
        <v>290346.32687622611</v>
      </c>
      <c r="W87">
        <v>101867.68890354008</v>
      </c>
      <c r="X87">
        <v>59937.886187481265</v>
      </c>
      <c r="Y87">
        <v>228805.07269735227</v>
      </c>
      <c r="Z87">
        <v>65119.375829232587</v>
      </c>
      <c r="AA87">
        <v>200266.17816139167</v>
      </c>
      <c r="AB87">
        <v>3716148.0611709184</v>
      </c>
      <c r="AC87">
        <v>9920387.2539785448</v>
      </c>
      <c r="AD87">
        <v>2392463.2234994126</v>
      </c>
      <c r="AE87">
        <v>4703644.8742612535</v>
      </c>
      <c r="AF87">
        <v>5439901.5042453418</v>
      </c>
      <c r="AG87">
        <v>7260989</v>
      </c>
      <c r="AH87">
        <v>5085571.5513700526</v>
      </c>
      <c r="AI87">
        <v>19789307.633731924</v>
      </c>
    </row>
    <row r="88" spans="1:35">
      <c r="A88" s="3">
        <v>44440</v>
      </c>
      <c r="B88" s="3">
        <v>44440</v>
      </c>
      <c r="C88">
        <v>6277510.4140610639</v>
      </c>
      <c r="D88">
        <v>1416656.7739615007</v>
      </c>
      <c r="E88">
        <v>3024180.3025867948</v>
      </c>
      <c r="F88">
        <v>3491992.5912533719</v>
      </c>
      <c r="G88">
        <v>2836026.1976411967</v>
      </c>
      <c r="H88">
        <v>2485642.5937859775</v>
      </c>
      <c r="I88">
        <v>11842300.264874091</v>
      </c>
      <c r="J88">
        <v>182668.25307655352</v>
      </c>
      <c r="K88">
        <v>901372.98358457861</v>
      </c>
      <c r="L88">
        <v>447776.79128175305</v>
      </c>
      <c r="M88">
        <v>382094.91827340622</v>
      </c>
      <c r="N88">
        <v>55765.885083250359</v>
      </c>
      <c r="O88">
        <v>6074.0392234828396</v>
      </c>
      <c r="P88">
        <v>519244.71012934716</v>
      </c>
      <c r="R88">
        <v>583922.72703120543</v>
      </c>
      <c r="S88">
        <v>365428.73177891516</v>
      </c>
      <c r="T88">
        <v>278791.93772000138</v>
      </c>
      <c r="U88">
        <v>121239.11047899998</v>
      </c>
      <c r="V88">
        <v>290504.03405081766</v>
      </c>
      <c r="W88">
        <v>100723.09803949234</v>
      </c>
      <c r="X88">
        <v>60252.601643313494</v>
      </c>
      <c r="Y88">
        <v>231100.19760692041</v>
      </c>
      <c r="Z88">
        <v>64434.23255134272</v>
      </c>
      <c r="AA88">
        <v>209687.76867372525</v>
      </c>
      <c r="AB88">
        <v>3763296.6472932175</v>
      </c>
      <c r="AC88">
        <v>10077816.529231686</v>
      </c>
      <c r="AD88">
        <v>2479308.0322200856</v>
      </c>
      <c r="AE88">
        <v>4785380.9073136318</v>
      </c>
      <c r="AF88">
        <v>5464893.6433617789</v>
      </c>
      <c r="AG88">
        <v>7561986.2999999989</v>
      </c>
      <c r="AH88">
        <v>5084077.9092835793</v>
      </c>
      <c r="AI88">
        <v>20606392.577282805</v>
      </c>
    </row>
    <row r="89" spans="1:35">
      <c r="A89" s="3"/>
    </row>
    <row r="90" spans="1:35">
      <c r="A90" s="3"/>
    </row>
    <row r="91" spans="1:35">
      <c r="A91" s="3"/>
    </row>
    <row r="92" spans="1:35">
      <c r="A92" s="3"/>
    </row>
    <row r="93" spans="1:35">
      <c r="A93" s="3"/>
    </row>
    <row r="94" spans="1:35">
      <c r="A94" s="3"/>
    </row>
    <row r="95" spans="1:35">
      <c r="A95" s="3"/>
    </row>
    <row r="96" spans="1:35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theme="0" tint="-0.499984740745262"/>
  </sheetPr>
  <dimension ref="A1:P8062"/>
  <sheetViews>
    <sheetView workbookViewId="0">
      <pane xSplit="1" ySplit="1" topLeftCell="B8000" activePane="bottomRight" state="frozen"/>
      <selection pane="topRight" activeCell="B1" sqref="B1"/>
      <selection pane="bottomLeft" activeCell="A2" sqref="A2"/>
      <selection pane="bottomRight" activeCell="C8037" sqref="C8007:C8037"/>
    </sheetView>
  </sheetViews>
  <sheetFormatPr baseColWidth="10" defaultColWidth="8.83203125" defaultRowHeight="15"/>
  <cols>
    <col min="1" max="2" width="11" customWidth="1" collapsed="1"/>
    <col min="3" max="3" width="8.83203125" collapsed="1"/>
    <col min="4" max="4" width="10.5" customWidth="1" collapsed="1"/>
    <col min="7" max="8" width="8.83203125" collapsed="1"/>
    <col min="11" max="11" width="11" customWidth="1" collapsed="1"/>
    <col min="12" max="13" width="8.83203125" collapsed="1"/>
    <col min="15" max="15" width="10.6640625" customWidth="1" collapsed="1"/>
    <col min="16" max="16" width="8.83203125" collapsed="1"/>
  </cols>
  <sheetData>
    <row r="1" spans="1:15">
      <c r="B1" t="s">
        <v>280</v>
      </c>
      <c r="C1" t="s">
        <v>268</v>
      </c>
      <c r="D1" t="s">
        <v>269</v>
      </c>
      <c r="E1" t="s">
        <v>265</v>
      </c>
      <c r="F1" t="s">
        <v>297</v>
      </c>
    </row>
    <row r="2" spans="1:15">
      <c r="A2" s="3">
        <v>36526</v>
      </c>
      <c r="B2" s="3">
        <v>36526</v>
      </c>
      <c r="C2">
        <v>138.55000000000001</v>
      </c>
      <c r="D2">
        <v>1.0062</v>
      </c>
      <c r="E2">
        <v>25.08</v>
      </c>
      <c r="F2">
        <v>86.3</v>
      </c>
      <c r="K2" s="3"/>
      <c r="O2" s="3"/>
    </row>
    <row r="3" spans="1:15">
      <c r="A3" s="3">
        <v>36527</v>
      </c>
      <c r="B3" s="3">
        <v>36527</v>
      </c>
      <c r="C3">
        <v>138.55000000000001</v>
      </c>
      <c r="D3">
        <v>1.0062</v>
      </c>
      <c r="E3">
        <v>25.08</v>
      </c>
      <c r="F3">
        <v>86.3</v>
      </c>
      <c r="K3" s="3"/>
      <c r="O3" s="3"/>
    </row>
    <row r="4" spans="1:15">
      <c r="A4" s="3">
        <v>36528</v>
      </c>
      <c r="B4" s="3">
        <v>36528</v>
      </c>
      <c r="C4">
        <v>138.18</v>
      </c>
      <c r="D4">
        <v>1.0243</v>
      </c>
      <c r="E4">
        <v>25.08</v>
      </c>
      <c r="F4">
        <v>86.3</v>
      </c>
      <c r="K4" s="3"/>
      <c r="O4" s="3"/>
    </row>
    <row r="5" spans="1:15">
      <c r="A5" s="3">
        <v>36529</v>
      </c>
      <c r="B5" s="3">
        <v>36529</v>
      </c>
      <c r="C5">
        <v>138.6</v>
      </c>
      <c r="D5">
        <v>1.0296000000000001</v>
      </c>
      <c r="E5">
        <v>24.39</v>
      </c>
      <c r="F5">
        <v>84.8</v>
      </c>
      <c r="K5" s="3"/>
      <c r="O5" s="3"/>
    </row>
    <row r="6" spans="1:15">
      <c r="A6" s="3">
        <v>36530</v>
      </c>
      <c r="B6" s="3">
        <v>36530</v>
      </c>
      <c r="C6">
        <v>138.69999999999999</v>
      </c>
      <c r="D6">
        <v>1.0321</v>
      </c>
      <c r="E6">
        <v>23.73</v>
      </c>
      <c r="F6">
        <v>85.65</v>
      </c>
      <c r="K6" s="3"/>
      <c r="O6" s="3"/>
    </row>
    <row r="7" spans="1:15">
      <c r="A7" s="3">
        <v>36531</v>
      </c>
      <c r="B7" s="3">
        <v>36531</v>
      </c>
      <c r="C7">
        <v>138.63</v>
      </c>
      <c r="D7">
        <v>1.0327999999999999</v>
      </c>
      <c r="E7">
        <v>23.62</v>
      </c>
      <c r="F7">
        <v>85.3</v>
      </c>
      <c r="K7" s="3"/>
      <c r="O7" s="3"/>
    </row>
    <row r="8" spans="1:15">
      <c r="A8" s="3">
        <v>36532</v>
      </c>
      <c r="B8" s="3">
        <v>36532</v>
      </c>
      <c r="C8">
        <v>138.76</v>
      </c>
      <c r="D8">
        <v>1.0295000000000001</v>
      </c>
      <c r="E8">
        <v>23.09</v>
      </c>
      <c r="F8">
        <v>85.4</v>
      </c>
      <c r="K8" s="3"/>
      <c r="O8" s="3"/>
    </row>
    <row r="9" spans="1:15">
      <c r="A9" s="3">
        <v>36533</v>
      </c>
      <c r="B9" s="3">
        <v>36533</v>
      </c>
      <c r="C9">
        <v>138.76</v>
      </c>
      <c r="D9">
        <v>1.0295000000000001</v>
      </c>
      <c r="E9">
        <v>23.09</v>
      </c>
      <c r="F9">
        <v>85.4</v>
      </c>
      <c r="K9" s="3"/>
      <c r="O9" s="3"/>
    </row>
    <row r="10" spans="1:15">
      <c r="A10" s="3">
        <v>36534</v>
      </c>
      <c r="B10" s="3">
        <v>36534</v>
      </c>
      <c r="C10">
        <v>138.76</v>
      </c>
      <c r="D10">
        <v>1.0295000000000001</v>
      </c>
      <c r="E10">
        <v>23.09</v>
      </c>
      <c r="F10">
        <v>85.4</v>
      </c>
      <c r="K10" s="3"/>
      <c r="O10" s="3"/>
    </row>
    <row r="11" spans="1:15">
      <c r="A11" s="3">
        <v>36535</v>
      </c>
      <c r="B11" s="3">
        <v>36535</v>
      </c>
      <c r="C11">
        <v>139</v>
      </c>
      <c r="D11">
        <v>1.0256000000000001</v>
      </c>
      <c r="E11">
        <v>23.73</v>
      </c>
      <c r="F11">
        <v>84.65</v>
      </c>
      <c r="K11" s="3"/>
      <c r="O11" s="3"/>
    </row>
    <row r="12" spans="1:15">
      <c r="A12" s="3">
        <v>36536</v>
      </c>
      <c r="B12" s="3">
        <v>36536</v>
      </c>
      <c r="C12">
        <v>139.02000000000001</v>
      </c>
      <c r="D12">
        <v>1.0336000000000001</v>
      </c>
      <c r="E12">
        <v>24.62</v>
      </c>
      <c r="F12">
        <v>84.35</v>
      </c>
      <c r="K12" s="3"/>
      <c r="O12" s="3"/>
    </row>
    <row r="13" spans="1:15">
      <c r="A13" s="3">
        <v>36537</v>
      </c>
      <c r="B13" s="3">
        <v>36537</v>
      </c>
      <c r="C13">
        <v>139.22</v>
      </c>
      <c r="D13">
        <v>1.0308999999999999</v>
      </c>
      <c r="E13">
        <v>24.81</v>
      </c>
      <c r="F13">
        <v>86.6</v>
      </c>
      <c r="K13" s="3"/>
      <c r="O13" s="3"/>
    </row>
    <row r="14" spans="1:15">
      <c r="A14" s="3">
        <v>36538</v>
      </c>
      <c r="B14" s="3">
        <v>36538</v>
      </c>
      <c r="C14">
        <v>139.36000000000001</v>
      </c>
      <c r="D14">
        <v>1.0258</v>
      </c>
      <c r="E14">
        <v>24.98</v>
      </c>
      <c r="F14">
        <v>85.65</v>
      </c>
      <c r="K14" s="3"/>
      <c r="O14" s="3"/>
    </row>
    <row r="15" spans="1:15">
      <c r="A15" s="3">
        <v>36539</v>
      </c>
      <c r="B15" s="3">
        <v>36539</v>
      </c>
      <c r="C15">
        <v>139.36000000000001</v>
      </c>
      <c r="D15">
        <v>1.0122</v>
      </c>
      <c r="E15">
        <v>25.47</v>
      </c>
      <c r="F15">
        <v>86.25</v>
      </c>
      <c r="K15" s="3"/>
      <c r="O15" s="3"/>
    </row>
    <row r="16" spans="1:15">
      <c r="A16" s="3">
        <v>36540</v>
      </c>
      <c r="B16" s="3">
        <v>36540</v>
      </c>
      <c r="C16">
        <v>139.36000000000001</v>
      </c>
      <c r="D16">
        <v>1.0122</v>
      </c>
      <c r="E16">
        <v>25.47</v>
      </c>
      <c r="F16">
        <v>86.25</v>
      </c>
      <c r="K16" s="3"/>
      <c r="O16" s="3"/>
    </row>
    <row r="17" spans="1:15">
      <c r="A17" s="3">
        <v>36541</v>
      </c>
      <c r="B17" s="3">
        <v>36541</v>
      </c>
      <c r="C17">
        <v>139.36000000000001</v>
      </c>
      <c r="D17">
        <v>1.0122</v>
      </c>
      <c r="E17">
        <v>25.47</v>
      </c>
      <c r="F17">
        <v>86.25</v>
      </c>
      <c r="K17" s="3"/>
      <c r="O17" s="3"/>
    </row>
    <row r="18" spans="1:15">
      <c r="A18" s="3">
        <v>36542</v>
      </c>
      <c r="B18" s="3">
        <v>36542</v>
      </c>
      <c r="C18">
        <v>139.63</v>
      </c>
      <c r="D18">
        <v>1.0122</v>
      </c>
      <c r="E18">
        <v>25.65</v>
      </c>
      <c r="F18">
        <v>86.25</v>
      </c>
      <c r="K18" s="3"/>
      <c r="O18" s="3"/>
    </row>
    <row r="19" spans="1:15">
      <c r="A19" s="3">
        <v>36543</v>
      </c>
      <c r="B19" s="3">
        <v>36543</v>
      </c>
      <c r="C19">
        <v>139.6</v>
      </c>
      <c r="D19">
        <v>1.0137</v>
      </c>
      <c r="E19">
        <v>26.05</v>
      </c>
      <c r="F19">
        <v>86.6</v>
      </c>
      <c r="K19" s="3"/>
      <c r="O19" s="3"/>
    </row>
    <row r="20" spans="1:15">
      <c r="A20" s="3">
        <v>36544</v>
      </c>
      <c r="B20" s="3">
        <v>36544</v>
      </c>
      <c r="C20">
        <v>139.41999999999999</v>
      </c>
      <c r="D20">
        <v>1.0133000000000001</v>
      </c>
      <c r="E20">
        <v>25.84</v>
      </c>
      <c r="F20">
        <v>88.25</v>
      </c>
      <c r="K20" s="3"/>
      <c r="O20" s="3"/>
    </row>
    <row r="21" spans="1:15">
      <c r="A21" s="3">
        <v>36545</v>
      </c>
      <c r="B21" s="3">
        <v>36545</v>
      </c>
      <c r="C21">
        <v>139.49</v>
      </c>
      <c r="D21">
        <v>1.0167999999999999</v>
      </c>
      <c r="E21">
        <v>26.1</v>
      </c>
      <c r="F21">
        <v>87.3</v>
      </c>
      <c r="K21" s="3"/>
      <c r="O21" s="3"/>
    </row>
    <row r="22" spans="1:15">
      <c r="A22" s="3">
        <v>36546</v>
      </c>
      <c r="B22" s="3">
        <v>36546</v>
      </c>
      <c r="C22">
        <v>139.47</v>
      </c>
      <c r="D22">
        <v>1.0098</v>
      </c>
      <c r="E22">
        <v>26.35</v>
      </c>
      <c r="F22">
        <v>87.3</v>
      </c>
      <c r="K22" s="3"/>
      <c r="O22" s="3"/>
    </row>
    <row r="23" spans="1:15">
      <c r="A23" s="3">
        <v>36547</v>
      </c>
      <c r="B23" s="3">
        <v>36547</v>
      </c>
      <c r="C23">
        <v>139.47</v>
      </c>
      <c r="D23">
        <v>1.0098</v>
      </c>
      <c r="E23">
        <v>26.35</v>
      </c>
      <c r="F23">
        <v>87.3</v>
      </c>
      <c r="K23" s="3"/>
      <c r="O23" s="3"/>
    </row>
    <row r="24" spans="1:15">
      <c r="A24" s="3">
        <v>36548</v>
      </c>
      <c r="B24" s="3">
        <v>36548</v>
      </c>
      <c r="C24">
        <v>139.47</v>
      </c>
      <c r="D24">
        <v>1.0098</v>
      </c>
      <c r="E24">
        <v>26.35</v>
      </c>
      <c r="F24">
        <v>87.3</v>
      </c>
      <c r="K24" s="3"/>
      <c r="O24" s="3"/>
    </row>
    <row r="25" spans="1:15">
      <c r="A25" s="3">
        <v>36549</v>
      </c>
      <c r="B25" s="3">
        <v>36549</v>
      </c>
      <c r="C25">
        <v>139.43</v>
      </c>
      <c r="D25">
        <v>1.0072000000000001</v>
      </c>
      <c r="E25">
        <v>26.06</v>
      </c>
      <c r="F25">
        <v>85.65</v>
      </c>
      <c r="K25" s="3"/>
      <c r="O25" s="3"/>
    </row>
    <row r="26" spans="1:15">
      <c r="A26" s="3">
        <v>36550</v>
      </c>
      <c r="B26" s="3">
        <v>36550</v>
      </c>
      <c r="C26">
        <v>139.4</v>
      </c>
      <c r="D26">
        <v>1.0008999999999999</v>
      </c>
      <c r="E26">
        <v>26.54</v>
      </c>
      <c r="F26">
        <v>84.25</v>
      </c>
      <c r="K26" s="3"/>
      <c r="O26" s="3"/>
    </row>
    <row r="27" spans="1:15">
      <c r="A27" s="3">
        <v>36551</v>
      </c>
      <c r="B27" s="3">
        <v>36551</v>
      </c>
      <c r="C27">
        <v>139.41999999999999</v>
      </c>
      <c r="D27">
        <v>1.0019</v>
      </c>
      <c r="E27">
        <v>26.13</v>
      </c>
      <c r="F27">
        <v>84.15</v>
      </c>
      <c r="K27" s="3"/>
      <c r="O27" s="3"/>
    </row>
    <row r="28" spans="1:15">
      <c r="A28" s="3">
        <v>36552</v>
      </c>
      <c r="B28" s="3">
        <v>36552</v>
      </c>
      <c r="C28">
        <v>139.38999999999999</v>
      </c>
      <c r="D28">
        <v>0.98819999999999997</v>
      </c>
      <c r="E28">
        <v>25.62</v>
      </c>
      <c r="F28">
        <v>84.45</v>
      </c>
      <c r="K28" s="3"/>
      <c r="O28" s="3"/>
    </row>
    <row r="29" spans="1:15">
      <c r="A29" s="3">
        <v>36553</v>
      </c>
      <c r="B29" s="3">
        <v>36553</v>
      </c>
      <c r="C29">
        <v>139.41999999999999</v>
      </c>
      <c r="D29">
        <v>0.97470000000000001</v>
      </c>
      <c r="E29">
        <v>25.68</v>
      </c>
      <c r="F29">
        <v>83.5</v>
      </c>
      <c r="K29" s="3"/>
      <c r="O29" s="3"/>
    </row>
    <row r="30" spans="1:15">
      <c r="A30" s="3">
        <v>36554</v>
      </c>
      <c r="B30" s="3">
        <v>36554</v>
      </c>
      <c r="C30">
        <v>139.41999999999999</v>
      </c>
      <c r="D30">
        <v>0.97470000000000001</v>
      </c>
      <c r="E30">
        <v>25.68</v>
      </c>
      <c r="F30">
        <v>83.5</v>
      </c>
      <c r="K30" s="3"/>
      <c r="O30" s="3"/>
    </row>
    <row r="31" spans="1:15">
      <c r="A31" s="3">
        <v>36555</v>
      </c>
      <c r="B31" s="3">
        <v>36555</v>
      </c>
      <c r="C31">
        <v>139.41999999999999</v>
      </c>
      <c r="D31">
        <v>0.97470000000000001</v>
      </c>
      <c r="E31">
        <v>25.68</v>
      </c>
      <c r="F31">
        <v>83.5</v>
      </c>
      <c r="K31" s="3"/>
      <c r="O31" s="3"/>
    </row>
    <row r="32" spans="1:15">
      <c r="A32" s="3">
        <v>36556</v>
      </c>
      <c r="B32" s="3">
        <v>36556</v>
      </c>
      <c r="C32">
        <v>139.36000000000001</v>
      </c>
      <c r="D32">
        <v>0.97070000000000001</v>
      </c>
      <c r="E32">
        <v>25.97</v>
      </c>
      <c r="F32">
        <v>84.95</v>
      </c>
      <c r="K32" s="3"/>
      <c r="O32" s="3"/>
    </row>
    <row r="33" spans="1:15">
      <c r="A33" s="3">
        <v>36557</v>
      </c>
      <c r="B33" s="3">
        <v>36557</v>
      </c>
      <c r="C33">
        <v>139.31</v>
      </c>
      <c r="D33">
        <v>0.97109999999999996</v>
      </c>
      <c r="E33">
        <v>26.39</v>
      </c>
      <c r="F33">
        <v>84.3</v>
      </c>
      <c r="K33" s="3"/>
      <c r="O33" s="3"/>
    </row>
    <row r="34" spans="1:15">
      <c r="A34" s="3">
        <v>36558</v>
      </c>
      <c r="B34" s="3">
        <v>36558</v>
      </c>
      <c r="C34">
        <v>139.34</v>
      </c>
      <c r="D34">
        <v>0.97650000000000003</v>
      </c>
      <c r="E34">
        <v>25.93</v>
      </c>
      <c r="F34">
        <v>82.25</v>
      </c>
      <c r="K34" s="3"/>
      <c r="O34" s="3"/>
    </row>
    <row r="35" spans="1:15">
      <c r="A35" s="3">
        <v>36559</v>
      </c>
      <c r="B35" s="3">
        <v>36559</v>
      </c>
      <c r="C35">
        <v>139.4</v>
      </c>
      <c r="D35">
        <v>0.98939999999999995</v>
      </c>
      <c r="E35">
        <v>26.66</v>
      </c>
      <c r="F35">
        <v>82.6</v>
      </c>
      <c r="K35" s="3"/>
      <c r="O35" s="3"/>
    </row>
    <row r="36" spans="1:15">
      <c r="A36" s="3">
        <v>36560</v>
      </c>
      <c r="B36" s="3">
        <v>36560</v>
      </c>
      <c r="C36">
        <v>139.5</v>
      </c>
      <c r="D36">
        <v>0.98319999999999996</v>
      </c>
      <c r="E36">
        <v>27.07</v>
      </c>
      <c r="F36">
        <v>82.75</v>
      </c>
      <c r="K36" s="3"/>
      <c r="O36" s="3"/>
    </row>
    <row r="37" spans="1:15">
      <c r="A37" s="3">
        <v>36561</v>
      </c>
      <c r="B37" s="3">
        <v>36561</v>
      </c>
      <c r="C37">
        <v>139.5</v>
      </c>
      <c r="D37">
        <v>0.98319999999999996</v>
      </c>
      <c r="E37">
        <v>27.07</v>
      </c>
      <c r="F37">
        <v>82.75</v>
      </c>
      <c r="K37" s="3"/>
      <c r="O37" s="3"/>
    </row>
    <row r="38" spans="1:15">
      <c r="A38" s="3">
        <v>36562</v>
      </c>
      <c r="B38" s="3">
        <v>36562</v>
      </c>
      <c r="C38">
        <v>139.5</v>
      </c>
      <c r="D38">
        <v>0.98319999999999996</v>
      </c>
      <c r="E38">
        <v>27.07</v>
      </c>
      <c r="F38">
        <v>82.75</v>
      </c>
      <c r="K38" s="3"/>
      <c r="O38" s="3"/>
    </row>
    <row r="39" spans="1:15">
      <c r="A39" s="3">
        <v>36563</v>
      </c>
      <c r="B39" s="3">
        <v>36563</v>
      </c>
      <c r="C39">
        <v>139.61000000000001</v>
      </c>
      <c r="D39">
        <v>0.98150000000000004</v>
      </c>
      <c r="E39">
        <v>26.88</v>
      </c>
      <c r="F39">
        <v>82.7</v>
      </c>
      <c r="K39" s="3"/>
      <c r="O39" s="3"/>
    </row>
    <row r="40" spans="1:15">
      <c r="A40" s="3">
        <v>36564</v>
      </c>
      <c r="B40" s="3">
        <v>36564</v>
      </c>
      <c r="C40">
        <v>139.74</v>
      </c>
      <c r="D40">
        <v>0.98550000000000004</v>
      </c>
      <c r="E40">
        <v>26.37</v>
      </c>
      <c r="F40">
        <v>82</v>
      </c>
      <c r="K40" s="3"/>
      <c r="O40" s="3"/>
    </row>
    <row r="41" spans="1:15">
      <c r="A41" s="3">
        <v>36565</v>
      </c>
      <c r="B41" s="3">
        <v>36565</v>
      </c>
      <c r="C41">
        <v>139.91999999999999</v>
      </c>
      <c r="D41">
        <v>0.99419999999999997</v>
      </c>
      <c r="E41">
        <v>26.92</v>
      </c>
      <c r="F41">
        <v>82.2</v>
      </c>
      <c r="K41" s="3"/>
      <c r="O41" s="3"/>
    </row>
    <row r="42" spans="1:15">
      <c r="A42" s="3">
        <v>36566</v>
      </c>
      <c r="B42" s="3">
        <v>36566</v>
      </c>
      <c r="C42">
        <v>139.85</v>
      </c>
      <c r="D42">
        <v>0.98540000000000005</v>
      </c>
      <c r="E42">
        <v>27.48</v>
      </c>
      <c r="F42">
        <v>84.95</v>
      </c>
      <c r="K42" s="3"/>
      <c r="O42" s="3"/>
    </row>
    <row r="43" spans="1:15">
      <c r="A43" s="3">
        <v>36567</v>
      </c>
      <c r="B43" s="3">
        <v>36567</v>
      </c>
      <c r="C43">
        <v>139.79</v>
      </c>
      <c r="D43">
        <v>0.98750000000000004</v>
      </c>
      <c r="E43">
        <v>27.82</v>
      </c>
      <c r="F43">
        <v>84.5</v>
      </c>
      <c r="K43" s="3"/>
      <c r="O43" s="3"/>
    </row>
    <row r="44" spans="1:15">
      <c r="A44" s="3">
        <v>36568</v>
      </c>
      <c r="B44" s="3">
        <v>36568</v>
      </c>
      <c r="C44">
        <v>139.79</v>
      </c>
      <c r="D44">
        <v>0.98750000000000004</v>
      </c>
      <c r="E44">
        <v>27.82</v>
      </c>
      <c r="F44">
        <v>84.5</v>
      </c>
      <c r="K44" s="3"/>
      <c r="O44" s="3"/>
    </row>
    <row r="45" spans="1:15">
      <c r="A45" s="3">
        <v>36569</v>
      </c>
      <c r="B45" s="3">
        <v>36569</v>
      </c>
      <c r="C45">
        <v>139.79</v>
      </c>
      <c r="D45">
        <v>0.98750000000000004</v>
      </c>
      <c r="E45">
        <v>27.82</v>
      </c>
      <c r="F45">
        <v>84.5</v>
      </c>
      <c r="K45" s="3"/>
      <c r="O45" s="3"/>
    </row>
    <row r="46" spans="1:15">
      <c r="A46" s="3">
        <v>36570</v>
      </c>
      <c r="B46" s="3">
        <v>36570</v>
      </c>
      <c r="C46">
        <v>139.83000000000001</v>
      </c>
      <c r="D46">
        <v>0.97829999999999995</v>
      </c>
      <c r="E46">
        <v>28.76</v>
      </c>
      <c r="F46">
        <v>84.4</v>
      </c>
      <c r="K46" s="3"/>
      <c r="O46" s="3"/>
    </row>
    <row r="47" spans="1:15">
      <c r="A47" s="3">
        <v>36571</v>
      </c>
      <c r="B47" s="3">
        <v>36571</v>
      </c>
      <c r="C47">
        <v>139.87</v>
      </c>
      <c r="D47">
        <v>0.98150000000000004</v>
      </c>
      <c r="E47">
        <v>27.13</v>
      </c>
      <c r="F47">
        <v>82.7</v>
      </c>
      <c r="K47" s="3"/>
      <c r="O47" s="3"/>
    </row>
    <row r="48" spans="1:15">
      <c r="A48" s="3">
        <v>36572</v>
      </c>
      <c r="B48" s="3">
        <v>36572</v>
      </c>
      <c r="C48">
        <v>139.82</v>
      </c>
      <c r="D48">
        <v>0.98629999999999995</v>
      </c>
      <c r="E48">
        <v>27.37</v>
      </c>
      <c r="F48">
        <v>82.8</v>
      </c>
      <c r="K48" s="3"/>
      <c r="O48" s="3"/>
    </row>
    <row r="49" spans="1:15">
      <c r="A49" s="3">
        <v>36573</v>
      </c>
      <c r="B49" s="3">
        <v>36573</v>
      </c>
      <c r="C49">
        <v>139.83000000000001</v>
      </c>
      <c r="D49">
        <v>0.98780000000000001</v>
      </c>
      <c r="E49">
        <v>26.67</v>
      </c>
      <c r="F49">
        <v>83.6</v>
      </c>
      <c r="K49" s="3"/>
      <c r="O49" s="3"/>
    </row>
    <row r="50" spans="1:15">
      <c r="A50" s="3">
        <v>36574</v>
      </c>
      <c r="B50" s="3">
        <v>36574</v>
      </c>
      <c r="C50">
        <v>140.07</v>
      </c>
      <c r="D50">
        <v>0.9839</v>
      </c>
      <c r="E50">
        <v>26.22</v>
      </c>
      <c r="F50">
        <v>83.2</v>
      </c>
      <c r="K50" s="3"/>
      <c r="O50" s="3"/>
    </row>
    <row r="51" spans="1:15">
      <c r="A51" s="3">
        <v>36575</v>
      </c>
      <c r="B51" s="3">
        <v>36575</v>
      </c>
      <c r="C51">
        <v>140.07</v>
      </c>
      <c r="D51">
        <v>0.9839</v>
      </c>
      <c r="E51">
        <v>26.22</v>
      </c>
      <c r="F51">
        <v>83.2</v>
      </c>
      <c r="K51" s="3"/>
      <c r="O51" s="3"/>
    </row>
    <row r="52" spans="1:15">
      <c r="A52" s="3">
        <v>36576</v>
      </c>
      <c r="B52" s="3">
        <v>36576</v>
      </c>
      <c r="C52">
        <v>140.07</v>
      </c>
      <c r="D52">
        <v>0.9839</v>
      </c>
      <c r="E52">
        <v>26.22</v>
      </c>
      <c r="F52">
        <v>83.2</v>
      </c>
      <c r="K52" s="3"/>
      <c r="O52" s="3"/>
    </row>
    <row r="53" spans="1:15">
      <c r="A53" s="3">
        <v>36577</v>
      </c>
      <c r="B53" s="3">
        <v>36577</v>
      </c>
      <c r="C53">
        <v>140.13999999999999</v>
      </c>
      <c r="D53">
        <v>0.98770000000000002</v>
      </c>
      <c r="E53">
        <v>25.93</v>
      </c>
      <c r="F53">
        <v>83.2</v>
      </c>
      <c r="K53" s="3"/>
      <c r="O53" s="3"/>
    </row>
    <row r="54" spans="1:15">
      <c r="A54" s="3">
        <v>36578</v>
      </c>
      <c r="B54" s="3">
        <v>36578</v>
      </c>
      <c r="C54">
        <v>140.1</v>
      </c>
      <c r="D54">
        <v>1.0038</v>
      </c>
      <c r="E54">
        <v>26.58</v>
      </c>
      <c r="F54">
        <v>82.75</v>
      </c>
      <c r="K54" s="3"/>
      <c r="O54" s="3"/>
    </row>
    <row r="55" spans="1:15">
      <c r="A55" s="3">
        <v>36579</v>
      </c>
      <c r="B55" s="3">
        <v>36579</v>
      </c>
      <c r="C55">
        <v>140.09</v>
      </c>
      <c r="D55">
        <v>1.0036</v>
      </c>
      <c r="E55">
        <v>27.06</v>
      </c>
      <c r="F55">
        <v>83.9</v>
      </c>
      <c r="K55" s="3"/>
      <c r="O55" s="3"/>
    </row>
    <row r="56" spans="1:15">
      <c r="A56" s="3">
        <v>36580</v>
      </c>
      <c r="B56" s="3">
        <v>36580</v>
      </c>
      <c r="C56">
        <v>140.11000000000001</v>
      </c>
      <c r="D56">
        <v>0.99199999999999999</v>
      </c>
      <c r="E56">
        <v>27.37</v>
      </c>
      <c r="F56">
        <v>83.4</v>
      </c>
      <c r="K56" s="3"/>
      <c r="O56" s="3"/>
    </row>
    <row r="57" spans="1:15">
      <c r="A57" s="3">
        <v>36581</v>
      </c>
      <c r="B57" s="3">
        <v>36581</v>
      </c>
      <c r="C57">
        <v>140.19999999999999</v>
      </c>
      <c r="D57">
        <v>0.97489999999999999</v>
      </c>
      <c r="E57">
        <v>27.48</v>
      </c>
      <c r="F57">
        <v>81.5</v>
      </c>
      <c r="K57" s="3"/>
      <c r="O57" s="3"/>
    </row>
    <row r="58" spans="1:15">
      <c r="A58" s="3">
        <v>36582</v>
      </c>
      <c r="B58" s="3">
        <v>36582</v>
      </c>
      <c r="C58">
        <v>140.19999999999999</v>
      </c>
      <c r="D58">
        <v>0.97489999999999999</v>
      </c>
      <c r="E58">
        <v>27.48</v>
      </c>
      <c r="F58">
        <v>81.5</v>
      </c>
      <c r="K58" s="3"/>
      <c r="O58" s="3"/>
    </row>
    <row r="59" spans="1:15">
      <c r="A59" s="3">
        <v>36583</v>
      </c>
      <c r="B59" s="3">
        <v>36583</v>
      </c>
      <c r="C59">
        <v>140.19999999999999</v>
      </c>
      <c r="D59">
        <v>0.97489999999999999</v>
      </c>
      <c r="E59">
        <v>27.48</v>
      </c>
      <c r="F59">
        <v>81.5</v>
      </c>
      <c r="K59" s="3"/>
      <c r="O59" s="3"/>
    </row>
    <row r="60" spans="1:15">
      <c r="A60" s="3">
        <v>36584</v>
      </c>
      <c r="B60" s="3">
        <v>36584</v>
      </c>
      <c r="C60">
        <v>140.33000000000001</v>
      </c>
      <c r="D60">
        <v>0.97089999999999999</v>
      </c>
      <c r="E60">
        <v>27.41</v>
      </c>
      <c r="F60">
        <v>78.099999999999994</v>
      </c>
      <c r="K60" s="3"/>
      <c r="O60" s="3"/>
    </row>
    <row r="61" spans="1:15">
      <c r="A61" s="3">
        <v>36585</v>
      </c>
      <c r="B61" s="3">
        <v>36585</v>
      </c>
      <c r="C61">
        <v>140.63</v>
      </c>
      <c r="D61">
        <v>0.96419999999999995</v>
      </c>
      <c r="E61">
        <v>28.09</v>
      </c>
      <c r="F61">
        <v>78.7</v>
      </c>
      <c r="K61" s="3"/>
      <c r="O61" s="3"/>
    </row>
    <row r="62" spans="1:15">
      <c r="A62" s="3">
        <v>36586</v>
      </c>
      <c r="B62" s="3">
        <v>36586</v>
      </c>
      <c r="C62">
        <v>140.80000000000001</v>
      </c>
      <c r="D62">
        <v>0.97270000000000001</v>
      </c>
      <c r="E62">
        <v>29.06</v>
      </c>
      <c r="F62">
        <v>79.150000000000006</v>
      </c>
      <c r="K62" s="3"/>
      <c r="O62" s="3"/>
    </row>
    <row r="63" spans="1:15">
      <c r="A63" s="3">
        <v>36587</v>
      </c>
      <c r="B63" s="3">
        <v>36587</v>
      </c>
      <c r="C63">
        <v>140.5</v>
      </c>
      <c r="D63">
        <v>0.96560000000000001</v>
      </c>
      <c r="E63">
        <v>29.22</v>
      </c>
      <c r="F63">
        <v>78.599999999999994</v>
      </c>
      <c r="K63" s="3"/>
      <c r="O63" s="3"/>
    </row>
    <row r="64" spans="1:15">
      <c r="A64" s="3">
        <v>36588</v>
      </c>
      <c r="B64" s="3">
        <v>36588</v>
      </c>
      <c r="C64">
        <v>140.5</v>
      </c>
      <c r="D64">
        <v>0.95860000000000001</v>
      </c>
      <c r="E64">
        <v>28.99</v>
      </c>
      <c r="F64">
        <v>79.150000000000006</v>
      </c>
      <c r="K64" s="3"/>
      <c r="O64" s="3"/>
    </row>
    <row r="65" spans="1:15">
      <c r="A65" s="3">
        <v>36589</v>
      </c>
      <c r="B65" s="3">
        <v>36589</v>
      </c>
      <c r="C65">
        <v>140.5</v>
      </c>
      <c r="D65">
        <v>0.95860000000000001</v>
      </c>
      <c r="E65">
        <v>28.99</v>
      </c>
      <c r="F65">
        <v>79.150000000000006</v>
      </c>
      <c r="K65" s="3"/>
      <c r="O65" s="3"/>
    </row>
    <row r="66" spans="1:15">
      <c r="A66" s="3">
        <v>36590</v>
      </c>
      <c r="B66" s="3">
        <v>36590</v>
      </c>
      <c r="C66">
        <v>140.5</v>
      </c>
      <c r="D66">
        <v>0.95860000000000001</v>
      </c>
      <c r="E66">
        <v>28.99</v>
      </c>
      <c r="F66">
        <v>79.150000000000006</v>
      </c>
      <c r="K66" s="3"/>
      <c r="O66" s="3"/>
    </row>
    <row r="67" spans="1:15">
      <c r="A67" s="3">
        <v>36591</v>
      </c>
      <c r="B67" s="3">
        <v>36591</v>
      </c>
      <c r="C67">
        <v>141.08000000000001</v>
      </c>
      <c r="D67">
        <v>0.95860000000000001</v>
      </c>
      <c r="E67">
        <v>29.63</v>
      </c>
      <c r="F67">
        <v>79.349999999999994</v>
      </c>
      <c r="K67" s="3"/>
      <c r="O67" s="3"/>
    </row>
    <row r="68" spans="1:15">
      <c r="A68" s="3">
        <v>36592</v>
      </c>
      <c r="B68" s="3">
        <v>36592</v>
      </c>
      <c r="C68">
        <v>141.11000000000001</v>
      </c>
      <c r="D68">
        <v>0.95840000000000003</v>
      </c>
      <c r="E68">
        <v>31.9</v>
      </c>
      <c r="F68">
        <v>78.400000000000006</v>
      </c>
      <c r="K68" s="3"/>
      <c r="O68" s="3"/>
    </row>
    <row r="69" spans="1:15">
      <c r="A69" s="3">
        <v>36593</v>
      </c>
      <c r="B69" s="3">
        <v>36593</v>
      </c>
      <c r="C69">
        <v>141.1</v>
      </c>
      <c r="D69">
        <v>0.96099999999999997</v>
      </c>
      <c r="E69">
        <v>28.8</v>
      </c>
      <c r="F69">
        <v>77.849999999999994</v>
      </c>
      <c r="K69" s="3"/>
      <c r="O69" s="3"/>
    </row>
    <row r="70" spans="1:15">
      <c r="A70" s="3">
        <v>36594</v>
      </c>
      <c r="B70" s="3">
        <v>36594</v>
      </c>
      <c r="C70">
        <v>141.25</v>
      </c>
      <c r="D70">
        <v>0.96689999999999998</v>
      </c>
      <c r="E70">
        <v>29.29</v>
      </c>
      <c r="F70">
        <v>78.849999999999994</v>
      </c>
      <c r="K70" s="3"/>
      <c r="O70" s="3"/>
    </row>
    <row r="71" spans="1:15">
      <c r="A71" s="3">
        <v>36595</v>
      </c>
      <c r="B71" s="3">
        <v>36595</v>
      </c>
      <c r="C71">
        <v>141.09</v>
      </c>
      <c r="D71">
        <v>0.9637</v>
      </c>
      <c r="E71">
        <v>28.94</v>
      </c>
      <c r="F71">
        <v>78.150000000000006</v>
      </c>
      <c r="K71" s="3"/>
      <c r="O71" s="3"/>
    </row>
    <row r="72" spans="1:15">
      <c r="A72" s="3">
        <v>36596</v>
      </c>
      <c r="B72" s="3">
        <v>36596</v>
      </c>
      <c r="C72">
        <v>141.09</v>
      </c>
      <c r="D72">
        <v>0.9637</v>
      </c>
      <c r="E72">
        <v>28.94</v>
      </c>
      <c r="F72">
        <v>78.150000000000006</v>
      </c>
      <c r="K72" s="3"/>
      <c r="O72" s="3"/>
    </row>
    <row r="73" spans="1:15">
      <c r="A73" s="3">
        <v>36597</v>
      </c>
      <c r="B73" s="3">
        <v>36597</v>
      </c>
      <c r="C73">
        <v>141.09</v>
      </c>
      <c r="D73">
        <v>0.9637</v>
      </c>
      <c r="E73">
        <v>28.94</v>
      </c>
      <c r="F73">
        <v>78.150000000000006</v>
      </c>
      <c r="K73" s="3"/>
      <c r="O73" s="3"/>
    </row>
    <row r="74" spans="1:15">
      <c r="A74" s="3">
        <v>36598</v>
      </c>
      <c r="B74" s="3">
        <v>36598</v>
      </c>
      <c r="C74">
        <v>141.35</v>
      </c>
      <c r="D74">
        <v>0.96419999999999995</v>
      </c>
      <c r="E74">
        <v>28.89</v>
      </c>
      <c r="F74">
        <v>78</v>
      </c>
      <c r="K74" s="3"/>
      <c r="O74" s="3"/>
    </row>
    <row r="75" spans="1:15">
      <c r="A75" s="3">
        <v>36599</v>
      </c>
      <c r="B75" s="3">
        <v>36599</v>
      </c>
      <c r="C75">
        <v>141.36000000000001</v>
      </c>
      <c r="D75">
        <v>0.96860000000000002</v>
      </c>
      <c r="E75">
        <v>28.34</v>
      </c>
      <c r="F75">
        <v>79.349999999999994</v>
      </c>
      <c r="K75" s="3"/>
      <c r="O75" s="3"/>
    </row>
    <row r="76" spans="1:15">
      <c r="A76" s="3">
        <v>36600</v>
      </c>
      <c r="B76" s="3">
        <v>36600</v>
      </c>
      <c r="C76">
        <v>141.4</v>
      </c>
      <c r="D76">
        <v>0.96689999999999998</v>
      </c>
      <c r="E76">
        <v>27.53</v>
      </c>
      <c r="F76">
        <v>80.150000000000006</v>
      </c>
      <c r="K76" s="3"/>
      <c r="O76" s="3"/>
    </row>
    <row r="77" spans="1:15">
      <c r="A77" s="3">
        <v>36601</v>
      </c>
      <c r="B77" s="3">
        <v>36601</v>
      </c>
      <c r="C77">
        <v>141.58000000000001</v>
      </c>
      <c r="D77">
        <v>0.96960000000000002</v>
      </c>
      <c r="E77">
        <v>27.41</v>
      </c>
      <c r="F77">
        <v>81.05</v>
      </c>
      <c r="K77" s="3"/>
      <c r="O77" s="3"/>
    </row>
    <row r="78" spans="1:15">
      <c r="A78" s="3">
        <v>36602</v>
      </c>
      <c r="B78" s="3">
        <v>36602</v>
      </c>
      <c r="C78">
        <v>141.66999999999999</v>
      </c>
      <c r="D78">
        <v>0.97209999999999996</v>
      </c>
      <c r="E78">
        <v>26.56</v>
      </c>
      <c r="F78">
        <v>80.55</v>
      </c>
      <c r="K78" s="3"/>
      <c r="O78" s="3"/>
    </row>
    <row r="79" spans="1:15">
      <c r="A79" s="3">
        <v>36603</v>
      </c>
      <c r="B79" s="3">
        <v>36603</v>
      </c>
      <c r="C79">
        <v>141.66999999999999</v>
      </c>
      <c r="D79">
        <v>0.97209999999999996</v>
      </c>
      <c r="E79">
        <v>26.56</v>
      </c>
      <c r="F79">
        <v>80.55</v>
      </c>
      <c r="K79" s="3"/>
      <c r="O79" s="3"/>
    </row>
    <row r="80" spans="1:15">
      <c r="A80" s="3">
        <v>36604</v>
      </c>
      <c r="B80" s="3">
        <v>36604</v>
      </c>
      <c r="C80">
        <v>141.66999999999999</v>
      </c>
      <c r="D80">
        <v>0.97209999999999996</v>
      </c>
      <c r="E80">
        <v>26.56</v>
      </c>
      <c r="F80">
        <v>80.55</v>
      </c>
      <c r="K80" s="3"/>
      <c r="O80" s="3"/>
    </row>
    <row r="81" spans="1:15">
      <c r="A81" s="3">
        <v>36605</v>
      </c>
      <c r="B81" s="3">
        <v>36605</v>
      </c>
      <c r="C81">
        <v>141.53</v>
      </c>
      <c r="D81">
        <v>0.9728</v>
      </c>
      <c r="E81">
        <v>25.21</v>
      </c>
      <c r="F81">
        <v>79.900000000000006</v>
      </c>
      <c r="K81" s="3"/>
      <c r="O81" s="3"/>
    </row>
    <row r="82" spans="1:15">
      <c r="A82" s="3">
        <v>36606</v>
      </c>
      <c r="B82" s="3">
        <v>36606</v>
      </c>
      <c r="C82">
        <v>141.4</v>
      </c>
      <c r="D82">
        <v>0.96150000000000002</v>
      </c>
      <c r="E82">
        <v>25.72</v>
      </c>
      <c r="F82">
        <v>81</v>
      </c>
      <c r="K82" s="3"/>
      <c r="O82" s="3"/>
    </row>
    <row r="83" spans="1:15">
      <c r="A83" s="3">
        <v>36607</v>
      </c>
      <c r="B83" s="3">
        <v>36607</v>
      </c>
      <c r="C83">
        <v>141.4</v>
      </c>
      <c r="D83">
        <v>0.96099999999999997</v>
      </c>
      <c r="E83">
        <v>25.4</v>
      </c>
      <c r="F83">
        <v>80.900000000000006</v>
      </c>
      <c r="K83" s="3"/>
      <c r="O83" s="3"/>
    </row>
    <row r="84" spans="1:15">
      <c r="A84" s="3">
        <v>36608</v>
      </c>
      <c r="B84" s="3">
        <v>36608</v>
      </c>
      <c r="C84">
        <v>141.63</v>
      </c>
      <c r="D84">
        <v>0.97150000000000003</v>
      </c>
      <c r="E84">
        <v>25.48</v>
      </c>
      <c r="F84">
        <v>81.099999999999994</v>
      </c>
      <c r="K84" s="3"/>
      <c r="O84" s="3"/>
    </row>
    <row r="85" spans="1:15">
      <c r="A85" s="3">
        <v>36609</v>
      </c>
      <c r="B85" s="3">
        <v>36609</v>
      </c>
      <c r="C85">
        <v>141.72999999999999</v>
      </c>
      <c r="D85">
        <v>0.97789999999999999</v>
      </c>
      <c r="E85">
        <v>25.91</v>
      </c>
      <c r="F85">
        <v>80.45</v>
      </c>
      <c r="K85" s="3"/>
      <c r="O85" s="3"/>
    </row>
    <row r="86" spans="1:15">
      <c r="A86" s="3">
        <v>36610</v>
      </c>
      <c r="B86" s="3">
        <v>36610</v>
      </c>
      <c r="C86">
        <v>141.72999999999999</v>
      </c>
      <c r="D86">
        <v>0.97789999999999999</v>
      </c>
      <c r="E86">
        <v>25.91</v>
      </c>
      <c r="F86">
        <v>80.45</v>
      </c>
      <c r="K86" s="3"/>
      <c r="O86" s="3"/>
    </row>
    <row r="87" spans="1:15">
      <c r="A87" s="3">
        <v>36611</v>
      </c>
      <c r="B87" s="3">
        <v>36611</v>
      </c>
      <c r="C87">
        <v>141.72999999999999</v>
      </c>
      <c r="D87">
        <v>0.97789999999999999</v>
      </c>
      <c r="E87">
        <v>25.91</v>
      </c>
      <c r="F87">
        <v>80.45</v>
      </c>
      <c r="K87" s="3"/>
      <c r="O87" s="3"/>
    </row>
    <row r="88" spans="1:15">
      <c r="A88" s="3">
        <v>36612</v>
      </c>
      <c r="B88" s="3">
        <v>36612</v>
      </c>
      <c r="C88">
        <v>141.6</v>
      </c>
      <c r="D88">
        <v>0.96719999999999995</v>
      </c>
      <c r="E88">
        <v>25.68</v>
      </c>
      <c r="F88">
        <v>79.5</v>
      </c>
      <c r="K88" s="3"/>
      <c r="O88" s="3"/>
    </row>
    <row r="89" spans="1:15">
      <c r="A89" s="3">
        <v>36613</v>
      </c>
      <c r="B89" s="3">
        <v>36613</v>
      </c>
      <c r="C89">
        <v>141.6</v>
      </c>
      <c r="D89">
        <v>0.96050000000000002</v>
      </c>
      <c r="E89">
        <v>25.51</v>
      </c>
      <c r="F89">
        <v>79.8</v>
      </c>
      <c r="K89" s="3"/>
      <c r="O89" s="3"/>
    </row>
    <row r="90" spans="1:15">
      <c r="A90" s="3">
        <v>36614</v>
      </c>
      <c r="B90" s="3">
        <v>36614</v>
      </c>
      <c r="C90">
        <v>141.94999999999999</v>
      </c>
      <c r="D90">
        <v>0.95140000000000002</v>
      </c>
      <c r="E90">
        <v>24.4</v>
      </c>
      <c r="F90">
        <v>80.05</v>
      </c>
      <c r="K90" s="3"/>
      <c r="O90" s="3"/>
    </row>
    <row r="91" spans="1:15">
      <c r="A91" s="3">
        <v>36615</v>
      </c>
      <c r="B91" s="3">
        <v>36615</v>
      </c>
      <c r="C91">
        <v>141.88999999999999</v>
      </c>
      <c r="D91">
        <v>0.96130000000000004</v>
      </c>
      <c r="E91">
        <v>24.63</v>
      </c>
      <c r="F91">
        <v>80.75</v>
      </c>
      <c r="K91" s="3"/>
      <c r="O91" s="3"/>
    </row>
    <row r="92" spans="1:15">
      <c r="A92" s="3">
        <v>36616</v>
      </c>
      <c r="B92" s="3">
        <v>36616</v>
      </c>
      <c r="C92">
        <v>142.06</v>
      </c>
      <c r="D92">
        <v>0.95550000000000002</v>
      </c>
      <c r="E92">
        <v>24.77</v>
      </c>
      <c r="F92">
        <v>80.5</v>
      </c>
      <c r="K92" s="3"/>
      <c r="O92" s="3"/>
    </row>
    <row r="93" spans="1:15">
      <c r="A93" s="3">
        <v>36617</v>
      </c>
      <c r="B93" s="3">
        <v>36617</v>
      </c>
      <c r="C93">
        <v>142.06</v>
      </c>
      <c r="D93">
        <v>0.95550000000000002</v>
      </c>
      <c r="E93">
        <v>24.77</v>
      </c>
      <c r="F93">
        <v>80.5</v>
      </c>
      <c r="K93" s="3"/>
      <c r="O93" s="3"/>
    </row>
    <row r="94" spans="1:15">
      <c r="A94" s="3">
        <v>36618</v>
      </c>
      <c r="B94" s="3">
        <v>36618</v>
      </c>
      <c r="C94">
        <v>142.06</v>
      </c>
      <c r="D94">
        <v>0.95550000000000002</v>
      </c>
      <c r="E94">
        <v>24.77</v>
      </c>
      <c r="F94">
        <v>80.5</v>
      </c>
      <c r="K94" s="3"/>
      <c r="O94" s="3"/>
    </row>
    <row r="95" spans="1:15">
      <c r="A95" s="3">
        <v>36619</v>
      </c>
      <c r="B95" s="3">
        <v>36619</v>
      </c>
      <c r="C95">
        <v>141.94999999999999</v>
      </c>
      <c r="D95">
        <v>0.95530000000000004</v>
      </c>
      <c r="E95">
        <v>24.51</v>
      </c>
      <c r="F95">
        <v>80.25</v>
      </c>
      <c r="K95" s="3"/>
      <c r="O95" s="3"/>
    </row>
    <row r="96" spans="1:15">
      <c r="A96" s="3">
        <v>36620</v>
      </c>
      <c r="B96" s="3">
        <v>36620</v>
      </c>
      <c r="C96">
        <v>141.97999999999999</v>
      </c>
      <c r="D96">
        <v>0.95960000000000001</v>
      </c>
      <c r="E96">
        <v>23.65</v>
      </c>
      <c r="F96">
        <v>79.3</v>
      </c>
      <c r="K96" s="3"/>
      <c r="O96" s="3"/>
    </row>
    <row r="97" spans="1:15">
      <c r="A97" s="3">
        <v>36621</v>
      </c>
      <c r="B97" s="3">
        <v>36621</v>
      </c>
      <c r="C97">
        <v>142.08000000000001</v>
      </c>
      <c r="D97">
        <v>0.96250000000000002</v>
      </c>
      <c r="E97">
        <v>23.75</v>
      </c>
      <c r="F97">
        <v>79.099999999999994</v>
      </c>
      <c r="K97" s="3"/>
      <c r="O97" s="3"/>
    </row>
    <row r="98" spans="1:15">
      <c r="A98" s="3">
        <v>36622</v>
      </c>
      <c r="B98" s="3">
        <v>36622</v>
      </c>
      <c r="C98">
        <v>142.34</v>
      </c>
      <c r="D98">
        <v>0.95840000000000003</v>
      </c>
      <c r="E98">
        <v>23.45</v>
      </c>
      <c r="F98">
        <v>76.349999999999994</v>
      </c>
      <c r="K98" s="3"/>
      <c r="O98" s="3"/>
    </row>
    <row r="99" spans="1:15">
      <c r="A99" s="3">
        <v>36623</v>
      </c>
      <c r="B99" s="3">
        <v>36623</v>
      </c>
      <c r="C99">
        <v>142.63999999999999</v>
      </c>
      <c r="D99">
        <v>0.95530000000000004</v>
      </c>
      <c r="E99">
        <v>22.58</v>
      </c>
      <c r="F99">
        <v>76.849999999999994</v>
      </c>
      <c r="K99" s="3"/>
      <c r="O99" s="3"/>
    </row>
    <row r="100" spans="1:15">
      <c r="A100" s="3">
        <v>36624</v>
      </c>
      <c r="B100" s="3">
        <v>36624</v>
      </c>
      <c r="C100">
        <v>142.63999999999999</v>
      </c>
      <c r="D100">
        <v>0.95530000000000004</v>
      </c>
      <c r="E100">
        <v>22.58</v>
      </c>
      <c r="F100">
        <v>76.849999999999994</v>
      </c>
      <c r="K100" s="3"/>
      <c r="O100" s="3"/>
    </row>
    <row r="101" spans="1:15">
      <c r="A101" s="3">
        <v>36625</v>
      </c>
      <c r="B101" s="3">
        <v>36625</v>
      </c>
      <c r="C101">
        <v>142.63999999999999</v>
      </c>
      <c r="D101">
        <v>0.95530000000000004</v>
      </c>
      <c r="E101">
        <v>22.58</v>
      </c>
      <c r="F101">
        <v>76.849999999999994</v>
      </c>
      <c r="K101" s="3"/>
      <c r="O101" s="3"/>
    </row>
    <row r="102" spans="1:15">
      <c r="A102" s="3">
        <v>36626</v>
      </c>
      <c r="B102" s="3">
        <v>36626</v>
      </c>
      <c r="C102">
        <v>142.63</v>
      </c>
      <c r="D102">
        <v>0.9627</v>
      </c>
      <c r="E102">
        <v>21.3</v>
      </c>
      <c r="F102">
        <v>77.55</v>
      </c>
      <c r="K102" s="3"/>
      <c r="O102" s="3"/>
    </row>
    <row r="103" spans="1:15">
      <c r="A103" s="3">
        <v>36627</v>
      </c>
      <c r="B103" s="3">
        <v>36627</v>
      </c>
      <c r="C103">
        <v>142.44999999999999</v>
      </c>
      <c r="D103">
        <v>0.95920000000000005</v>
      </c>
      <c r="E103">
        <v>21.67</v>
      </c>
      <c r="F103">
        <v>78</v>
      </c>
      <c r="K103" s="3"/>
      <c r="O103" s="3"/>
    </row>
    <row r="104" spans="1:15">
      <c r="A104" s="3">
        <v>36628</v>
      </c>
      <c r="B104" s="3">
        <v>36628</v>
      </c>
      <c r="C104">
        <v>142.46</v>
      </c>
      <c r="D104">
        <v>0.95899999999999996</v>
      </c>
      <c r="E104">
        <v>23.12</v>
      </c>
      <c r="F104">
        <v>77.75</v>
      </c>
      <c r="K104" s="3"/>
      <c r="O104" s="3"/>
    </row>
    <row r="105" spans="1:15">
      <c r="A105" s="3">
        <v>36629</v>
      </c>
      <c r="B105" s="3">
        <v>36629</v>
      </c>
      <c r="C105">
        <v>142.34</v>
      </c>
      <c r="D105">
        <v>0.95240000000000002</v>
      </c>
      <c r="E105">
        <v>22.66</v>
      </c>
      <c r="F105">
        <v>77</v>
      </c>
      <c r="K105" s="3"/>
      <c r="O105" s="3"/>
    </row>
    <row r="106" spans="1:15">
      <c r="A106" s="3">
        <v>36630</v>
      </c>
      <c r="B106" s="3">
        <v>36630</v>
      </c>
      <c r="C106">
        <v>142.19</v>
      </c>
      <c r="D106">
        <v>0.96220000000000006</v>
      </c>
      <c r="E106">
        <v>22.41</v>
      </c>
      <c r="F106">
        <v>75.349999999999994</v>
      </c>
      <c r="K106" s="3"/>
      <c r="O106" s="3"/>
    </row>
    <row r="107" spans="1:15">
      <c r="A107" s="3">
        <v>36631</v>
      </c>
      <c r="B107" s="3">
        <v>36631</v>
      </c>
      <c r="C107">
        <v>142.19</v>
      </c>
      <c r="D107">
        <v>0.96220000000000006</v>
      </c>
      <c r="E107">
        <v>22.41</v>
      </c>
      <c r="F107">
        <v>75.349999999999994</v>
      </c>
      <c r="K107" s="3"/>
      <c r="O107" s="3"/>
    </row>
    <row r="108" spans="1:15">
      <c r="A108" s="3">
        <v>36632</v>
      </c>
      <c r="B108" s="3">
        <v>36632</v>
      </c>
      <c r="C108">
        <v>142.19</v>
      </c>
      <c r="D108">
        <v>0.96220000000000006</v>
      </c>
      <c r="E108">
        <v>22.41</v>
      </c>
      <c r="F108">
        <v>75.349999999999994</v>
      </c>
      <c r="K108" s="3"/>
      <c r="O108" s="3"/>
    </row>
    <row r="109" spans="1:15">
      <c r="A109" s="3">
        <v>36633</v>
      </c>
      <c r="B109" s="3">
        <v>36633</v>
      </c>
      <c r="C109">
        <v>142.25</v>
      </c>
      <c r="D109">
        <v>0.95269999999999999</v>
      </c>
      <c r="E109">
        <v>22.74</v>
      </c>
      <c r="F109">
        <v>74.349999999999994</v>
      </c>
      <c r="K109" s="3"/>
      <c r="O109" s="3"/>
    </row>
    <row r="110" spans="1:15">
      <c r="A110" s="3">
        <v>36634</v>
      </c>
      <c r="B110" s="3">
        <v>36634</v>
      </c>
      <c r="C110">
        <v>142.19999999999999</v>
      </c>
      <c r="D110">
        <v>0.94530000000000003</v>
      </c>
      <c r="E110">
        <v>23.05</v>
      </c>
      <c r="F110">
        <v>76.45</v>
      </c>
      <c r="K110" s="3"/>
      <c r="O110" s="3"/>
    </row>
    <row r="111" spans="1:15">
      <c r="A111" s="3">
        <v>36635</v>
      </c>
      <c r="B111" s="3">
        <v>36635</v>
      </c>
      <c r="C111">
        <v>142.1</v>
      </c>
      <c r="D111">
        <v>0.94020000000000004</v>
      </c>
      <c r="E111">
        <v>23.77</v>
      </c>
      <c r="F111">
        <v>76.900000000000006</v>
      </c>
      <c r="K111" s="3"/>
      <c r="O111" s="3"/>
    </row>
    <row r="112" spans="1:15">
      <c r="A112" s="3">
        <v>36636</v>
      </c>
      <c r="B112" s="3">
        <v>36636</v>
      </c>
      <c r="C112">
        <v>142.19999999999999</v>
      </c>
      <c r="D112">
        <v>0.93740000000000001</v>
      </c>
      <c r="E112">
        <v>23.83</v>
      </c>
      <c r="F112">
        <v>76.599999999999994</v>
      </c>
      <c r="K112" s="3"/>
      <c r="O112" s="3"/>
    </row>
    <row r="113" spans="1:15">
      <c r="A113" s="3">
        <v>36637</v>
      </c>
      <c r="B113" s="3">
        <v>36637</v>
      </c>
      <c r="C113">
        <v>142.19999999999999</v>
      </c>
      <c r="D113">
        <v>0.9385</v>
      </c>
      <c r="E113">
        <v>23.83</v>
      </c>
      <c r="F113">
        <v>76.599999999999994</v>
      </c>
      <c r="K113" s="3"/>
      <c r="O113" s="3"/>
    </row>
    <row r="114" spans="1:15">
      <c r="A114" s="3">
        <v>36638</v>
      </c>
      <c r="B114" s="3">
        <v>36638</v>
      </c>
      <c r="C114">
        <v>142.19999999999999</v>
      </c>
      <c r="D114">
        <v>0.9385</v>
      </c>
      <c r="E114">
        <v>23.83</v>
      </c>
      <c r="F114">
        <v>76.599999999999994</v>
      </c>
      <c r="K114" s="3"/>
      <c r="O114" s="3"/>
    </row>
    <row r="115" spans="1:15">
      <c r="A115" s="3">
        <v>36639</v>
      </c>
      <c r="B115" s="3">
        <v>36639</v>
      </c>
      <c r="C115">
        <v>142.19999999999999</v>
      </c>
      <c r="D115">
        <v>0.9385</v>
      </c>
      <c r="E115">
        <v>23.83</v>
      </c>
      <c r="F115">
        <v>76.599999999999994</v>
      </c>
      <c r="K115" s="3"/>
      <c r="O115" s="3"/>
    </row>
    <row r="116" spans="1:15">
      <c r="A116" s="3">
        <v>36640</v>
      </c>
      <c r="B116" s="3">
        <v>36640</v>
      </c>
      <c r="C116">
        <v>142.09</v>
      </c>
      <c r="D116">
        <v>0.93799999999999994</v>
      </c>
      <c r="E116">
        <v>23.83</v>
      </c>
      <c r="F116">
        <v>76.599999999999994</v>
      </c>
      <c r="K116" s="3"/>
      <c r="O116" s="3"/>
    </row>
    <row r="117" spans="1:15">
      <c r="A117" s="3">
        <v>36641</v>
      </c>
      <c r="B117" s="3">
        <v>36641</v>
      </c>
      <c r="C117">
        <v>142.1</v>
      </c>
      <c r="D117">
        <v>0.92079999999999995</v>
      </c>
      <c r="E117">
        <v>23.33</v>
      </c>
      <c r="F117">
        <v>78.95</v>
      </c>
      <c r="K117" s="3"/>
      <c r="O117" s="3"/>
    </row>
    <row r="118" spans="1:15">
      <c r="A118" s="3">
        <v>36642</v>
      </c>
      <c r="B118" s="3">
        <v>36642</v>
      </c>
      <c r="C118">
        <v>142</v>
      </c>
      <c r="D118">
        <v>0.92349999999999999</v>
      </c>
      <c r="E118">
        <v>22.98</v>
      </c>
      <c r="F118">
        <v>78.3</v>
      </c>
      <c r="K118" s="3"/>
      <c r="O118" s="3"/>
    </row>
    <row r="119" spans="1:15">
      <c r="A119" s="3">
        <v>36643</v>
      </c>
      <c r="B119" s="3">
        <v>36643</v>
      </c>
      <c r="C119">
        <v>142.01</v>
      </c>
      <c r="D119">
        <v>0.90990000000000004</v>
      </c>
      <c r="E119">
        <v>23.76</v>
      </c>
      <c r="F119">
        <v>78.8</v>
      </c>
      <c r="K119" s="3"/>
      <c r="O119" s="3"/>
    </row>
    <row r="120" spans="1:15">
      <c r="A120" s="3">
        <v>36644</v>
      </c>
      <c r="B120" s="3">
        <v>36644</v>
      </c>
      <c r="C120">
        <v>142.15</v>
      </c>
      <c r="D120">
        <v>0.91190000000000004</v>
      </c>
      <c r="E120">
        <v>23.89</v>
      </c>
      <c r="F120">
        <v>79</v>
      </c>
      <c r="K120" s="3"/>
      <c r="O120" s="3"/>
    </row>
    <row r="121" spans="1:15">
      <c r="A121" s="3">
        <v>36645</v>
      </c>
      <c r="B121" s="3">
        <v>36645</v>
      </c>
      <c r="C121">
        <v>142.15</v>
      </c>
      <c r="D121">
        <v>0.91190000000000004</v>
      </c>
      <c r="E121">
        <v>23.89</v>
      </c>
      <c r="F121">
        <v>79</v>
      </c>
      <c r="K121" s="3"/>
      <c r="O121" s="3"/>
    </row>
    <row r="122" spans="1:15">
      <c r="A122" s="3">
        <v>36646</v>
      </c>
      <c r="B122" s="3">
        <v>36646</v>
      </c>
      <c r="C122">
        <v>142.15</v>
      </c>
      <c r="D122">
        <v>0.91190000000000004</v>
      </c>
      <c r="E122">
        <v>23.89</v>
      </c>
      <c r="F122">
        <v>79</v>
      </c>
      <c r="K122" s="3"/>
      <c r="O122" s="3"/>
    </row>
    <row r="123" spans="1:15">
      <c r="A123" s="3">
        <v>36647</v>
      </c>
      <c r="B123" s="3">
        <v>36647</v>
      </c>
      <c r="C123">
        <v>142.15</v>
      </c>
      <c r="D123">
        <v>0.91579999999999995</v>
      </c>
      <c r="E123">
        <v>23.89</v>
      </c>
      <c r="F123">
        <v>79.5</v>
      </c>
      <c r="K123" s="3"/>
      <c r="O123" s="3"/>
    </row>
    <row r="124" spans="1:15">
      <c r="A124" s="3">
        <v>36648</v>
      </c>
      <c r="B124" s="3">
        <v>36648</v>
      </c>
      <c r="C124">
        <v>142.15</v>
      </c>
      <c r="D124">
        <v>0.91</v>
      </c>
      <c r="E124">
        <v>25.08</v>
      </c>
      <c r="F124">
        <v>81.75</v>
      </c>
      <c r="K124" s="3"/>
      <c r="O124" s="3"/>
    </row>
    <row r="125" spans="1:15">
      <c r="A125" s="3">
        <v>36649</v>
      </c>
      <c r="B125" s="3">
        <v>36649</v>
      </c>
      <c r="C125">
        <v>142.1</v>
      </c>
      <c r="D125">
        <v>0.89480000000000004</v>
      </c>
      <c r="E125">
        <v>25</v>
      </c>
      <c r="F125">
        <v>81.55</v>
      </c>
      <c r="K125" s="3"/>
      <c r="O125" s="3"/>
    </row>
    <row r="126" spans="1:15">
      <c r="A126" s="3">
        <v>36650</v>
      </c>
      <c r="B126" s="3">
        <v>36650</v>
      </c>
      <c r="C126">
        <v>142.04</v>
      </c>
      <c r="D126">
        <v>0.88949999999999996</v>
      </c>
      <c r="E126">
        <v>25.15</v>
      </c>
      <c r="F126">
        <v>82</v>
      </c>
      <c r="K126" s="3"/>
      <c r="O126" s="3"/>
    </row>
    <row r="127" spans="1:15">
      <c r="A127" s="3">
        <v>36651</v>
      </c>
      <c r="B127" s="3">
        <v>36651</v>
      </c>
      <c r="C127">
        <v>142.1</v>
      </c>
      <c r="D127">
        <v>0.89700000000000002</v>
      </c>
      <c r="E127">
        <v>25.29</v>
      </c>
      <c r="F127">
        <v>83.8</v>
      </c>
      <c r="K127" s="3"/>
      <c r="O127" s="3"/>
    </row>
    <row r="128" spans="1:15">
      <c r="A128" s="3">
        <v>36652</v>
      </c>
      <c r="B128" s="3">
        <v>36652</v>
      </c>
      <c r="C128">
        <v>142.1</v>
      </c>
      <c r="D128">
        <v>0.89700000000000002</v>
      </c>
      <c r="E128">
        <v>25.29</v>
      </c>
      <c r="F128">
        <v>83.8</v>
      </c>
      <c r="K128" s="3"/>
      <c r="O128" s="3"/>
    </row>
    <row r="129" spans="1:15">
      <c r="A129" s="3">
        <v>36653</v>
      </c>
      <c r="B129" s="3">
        <v>36653</v>
      </c>
      <c r="C129">
        <v>142.1</v>
      </c>
      <c r="D129">
        <v>0.89700000000000002</v>
      </c>
      <c r="E129">
        <v>25.29</v>
      </c>
      <c r="F129">
        <v>83.8</v>
      </c>
      <c r="K129" s="3"/>
      <c r="O129" s="3"/>
    </row>
    <row r="130" spans="1:15">
      <c r="A130" s="3">
        <v>36654</v>
      </c>
      <c r="B130" s="3">
        <v>36654</v>
      </c>
      <c r="C130">
        <v>142.1</v>
      </c>
      <c r="D130">
        <v>0.89770000000000005</v>
      </c>
      <c r="E130">
        <v>26.08</v>
      </c>
      <c r="F130">
        <v>83.35</v>
      </c>
      <c r="K130" s="3"/>
      <c r="O130" s="3"/>
    </row>
    <row r="131" spans="1:15">
      <c r="A131" s="3">
        <v>36655</v>
      </c>
      <c r="B131" s="3">
        <v>36655</v>
      </c>
      <c r="C131">
        <v>142.28</v>
      </c>
      <c r="D131">
        <v>0.90749999999999997</v>
      </c>
      <c r="E131">
        <v>26.82</v>
      </c>
      <c r="F131">
        <v>82.65</v>
      </c>
      <c r="K131" s="3"/>
      <c r="O131" s="3"/>
    </row>
    <row r="132" spans="1:15">
      <c r="A132" s="3">
        <v>36656</v>
      </c>
      <c r="B132" s="3">
        <v>36656</v>
      </c>
      <c r="C132">
        <v>142.58000000000001</v>
      </c>
      <c r="D132">
        <v>0.90680000000000005</v>
      </c>
      <c r="E132">
        <v>26.42</v>
      </c>
      <c r="F132">
        <v>82.45</v>
      </c>
      <c r="K132" s="3"/>
      <c r="O132" s="3"/>
    </row>
    <row r="133" spans="1:15">
      <c r="A133" s="3">
        <v>36657</v>
      </c>
      <c r="B133" s="3">
        <v>36657</v>
      </c>
      <c r="C133">
        <v>142.25</v>
      </c>
      <c r="D133">
        <v>0.90159999999999996</v>
      </c>
      <c r="E133">
        <v>27.45</v>
      </c>
      <c r="F133">
        <v>82.6</v>
      </c>
      <c r="K133" s="3"/>
      <c r="O133" s="3"/>
    </row>
    <row r="134" spans="1:15">
      <c r="A134" s="3">
        <v>36658</v>
      </c>
      <c r="B134" s="3">
        <v>36658</v>
      </c>
      <c r="C134">
        <v>142.25</v>
      </c>
      <c r="D134">
        <v>0.91969999999999996</v>
      </c>
      <c r="E134">
        <v>28.05</v>
      </c>
      <c r="F134">
        <v>84</v>
      </c>
      <c r="K134" s="3"/>
      <c r="O134" s="3"/>
    </row>
    <row r="135" spans="1:15">
      <c r="A135" s="3">
        <v>36659</v>
      </c>
      <c r="B135" s="3">
        <v>36659</v>
      </c>
      <c r="C135">
        <v>142.25</v>
      </c>
      <c r="D135">
        <v>0.91969999999999996</v>
      </c>
      <c r="E135">
        <v>28.05</v>
      </c>
      <c r="F135">
        <v>84</v>
      </c>
      <c r="K135" s="3"/>
      <c r="O135" s="3"/>
    </row>
    <row r="136" spans="1:15">
      <c r="A136" s="3">
        <v>36660</v>
      </c>
      <c r="B136" s="3">
        <v>36660</v>
      </c>
      <c r="C136">
        <v>142.25</v>
      </c>
      <c r="D136">
        <v>0.91969999999999996</v>
      </c>
      <c r="E136">
        <v>28.05</v>
      </c>
      <c r="F136">
        <v>84</v>
      </c>
      <c r="K136" s="3"/>
      <c r="O136" s="3"/>
    </row>
    <row r="137" spans="1:15">
      <c r="A137" s="3">
        <v>36661</v>
      </c>
      <c r="B137" s="3">
        <v>36661</v>
      </c>
      <c r="C137">
        <v>142.4</v>
      </c>
      <c r="D137">
        <v>0.91120000000000001</v>
      </c>
      <c r="E137">
        <v>28.33</v>
      </c>
      <c r="F137">
        <v>83.55</v>
      </c>
      <c r="K137" s="3"/>
      <c r="O137" s="3"/>
    </row>
    <row r="138" spans="1:15">
      <c r="A138" s="3">
        <v>36662</v>
      </c>
      <c r="B138" s="3">
        <v>36662</v>
      </c>
      <c r="C138">
        <v>142.35</v>
      </c>
      <c r="D138">
        <v>0.90029999999999999</v>
      </c>
      <c r="E138">
        <v>28.78</v>
      </c>
      <c r="F138">
        <v>84.6</v>
      </c>
      <c r="K138" s="3"/>
      <c r="O138" s="3"/>
    </row>
    <row r="139" spans="1:15">
      <c r="A139" s="3">
        <v>36663</v>
      </c>
      <c r="B139" s="3">
        <v>36663</v>
      </c>
      <c r="C139">
        <v>142.4</v>
      </c>
      <c r="D139">
        <v>0.89590000000000003</v>
      </c>
      <c r="E139">
        <v>27.89</v>
      </c>
      <c r="F139">
        <v>83.9</v>
      </c>
      <c r="K139" s="3"/>
      <c r="O139" s="3"/>
    </row>
    <row r="140" spans="1:15">
      <c r="A140" s="3">
        <v>36664</v>
      </c>
      <c r="B140" s="3">
        <v>36664</v>
      </c>
      <c r="C140">
        <v>142.41999999999999</v>
      </c>
      <c r="D140">
        <v>0.89459999999999995</v>
      </c>
      <c r="E140">
        <v>28.92</v>
      </c>
      <c r="F140">
        <v>84.2</v>
      </c>
      <c r="K140" s="3"/>
      <c r="O140" s="3"/>
    </row>
    <row r="141" spans="1:15">
      <c r="A141" s="3">
        <v>36665</v>
      </c>
      <c r="B141" s="3">
        <v>36665</v>
      </c>
      <c r="C141">
        <v>142.34</v>
      </c>
      <c r="D141">
        <v>0.89749999999999996</v>
      </c>
      <c r="E141">
        <v>28.59</v>
      </c>
      <c r="F141">
        <v>84</v>
      </c>
      <c r="K141" s="3"/>
      <c r="O141" s="3"/>
    </row>
    <row r="142" spans="1:15">
      <c r="A142" s="3">
        <v>36666</v>
      </c>
      <c r="B142" s="3">
        <v>36666</v>
      </c>
      <c r="C142">
        <v>142.34</v>
      </c>
      <c r="D142">
        <v>0.89749999999999996</v>
      </c>
      <c r="E142">
        <v>28.59</v>
      </c>
      <c r="F142">
        <v>84</v>
      </c>
      <c r="K142" s="3"/>
      <c r="O142" s="3"/>
    </row>
    <row r="143" spans="1:15">
      <c r="A143" s="3">
        <v>36667</v>
      </c>
      <c r="B143" s="3">
        <v>36667</v>
      </c>
      <c r="C143">
        <v>142.34</v>
      </c>
      <c r="D143">
        <v>0.89749999999999996</v>
      </c>
      <c r="E143">
        <v>28.59</v>
      </c>
      <c r="F143">
        <v>84</v>
      </c>
      <c r="K143" s="3"/>
      <c r="O143" s="3"/>
    </row>
    <row r="144" spans="1:15">
      <c r="A144" s="3">
        <v>36668</v>
      </c>
      <c r="B144" s="3">
        <v>36668</v>
      </c>
      <c r="C144">
        <v>142.29</v>
      </c>
      <c r="D144">
        <v>0.90310000000000001</v>
      </c>
      <c r="E144">
        <v>27.43</v>
      </c>
      <c r="F144">
        <v>82.85</v>
      </c>
      <c r="K144" s="3"/>
      <c r="O144" s="3"/>
    </row>
    <row r="145" spans="1:15">
      <c r="A145" s="3">
        <v>36669</v>
      </c>
      <c r="B145" s="3">
        <v>36669</v>
      </c>
      <c r="C145">
        <v>142.30000000000001</v>
      </c>
      <c r="D145">
        <v>0.90710000000000002</v>
      </c>
      <c r="E145">
        <v>27.5</v>
      </c>
      <c r="F145">
        <v>83.1</v>
      </c>
      <c r="K145" s="3"/>
      <c r="O145" s="3"/>
    </row>
    <row r="146" spans="1:15">
      <c r="A146" s="3">
        <v>36670</v>
      </c>
      <c r="B146" s="3">
        <v>36670</v>
      </c>
      <c r="C146">
        <v>142.4</v>
      </c>
      <c r="D146">
        <v>0.90439999999999998</v>
      </c>
      <c r="E146">
        <v>28.61</v>
      </c>
      <c r="F146">
        <v>83.6</v>
      </c>
      <c r="K146" s="3"/>
      <c r="O146" s="3"/>
    </row>
    <row r="147" spans="1:15">
      <c r="A147" s="3">
        <v>36671</v>
      </c>
      <c r="B147" s="3">
        <v>36671</v>
      </c>
      <c r="C147">
        <v>142.34</v>
      </c>
      <c r="D147">
        <v>0.91149999999999998</v>
      </c>
      <c r="E147">
        <v>29.19</v>
      </c>
      <c r="F147">
        <v>83.1</v>
      </c>
      <c r="K147" s="3"/>
      <c r="O147" s="3"/>
    </row>
    <row r="148" spans="1:15">
      <c r="A148" s="3">
        <v>36672</v>
      </c>
      <c r="B148" s="3">
        <v>36672</v>
      </c>
      <c r="C148">
        <v>142.30000000000001</v>
      </c>
      <c r="D148">
        <v>0.93089999999999995</v>
      </c>
      <c r="E148">
        <v>29.22</v>
      </c>
      <c r="F148">
        <v>83.05</v>
      </c>
      <c r="K148" s="3"/>
      <c r="O148" s="3"/>
    </row>
    <row r="149" spans="1:15">
      <c r="A149" s="3">
        <v>36673</v>
      </c>
      <c r="B149" s="3">
        <v>36673</v>
      </c>
      <c r="C149">
        <v>142.30000000000001</v>
      </c>
      <c r="D149">
        <v>0.93089999999999995</v>
      </c>
      <c r="E149">
        <v>29.22</v>
      </c>
      <c r="F149">
        <v>83.05</v>
      </c>
      <c r="K149" s="3"/>
      <c r="O149" s="3"/>
    </row>
    <row r="150" spans="1:15">
      <c r="A150" s="3">
        <v>36674</v>
      </c>
      <c r="B150" s="3">
        <v>36674</v>
      </c>
      <c r="C150">
        <v>142.30000000000001</v>
      </c>
      <c r="D150">
        <v>0.93089999999999995</v>
      </c>
      <c r="E150">
        <v>29.22</v>
      </c>
      <c r="F150">
        <v>83.05</v>
      </c>
      <c r="K150" s="3"/>
      <c r="O150" s="3"/>
    </row>
    <row r="151" spans="1:15">
      <c r="A151" s="3">
        <v>36675</v>
      </c>
      <c r="B151" s="3">
        <v>36675</v>
      </c>
      <c r="C151">
        <v>142.35</v>
      </c>
      <c r="D151">
        <v>0.92659999999999998</v>
      </c>
      <c r="E151">
        <v>29.22</v>
      </c>
      <c r="F151">
        <v>83.05</v>
      </c>
      <c r="K151" s="3"/>
      <c r="O151" s="3"/>
    </row>
    <row r="152" spans="1:15">
      <c r="A152" s="3">
        <v>36676</v>
      </c>
      <c r="B152" s="3">
        <v>36676</v>
      </c>
      <c r="C152">
        <v>142.35</v>
      </c>
      <c r="D152">
        <v>0.93010000000000004</v>
      </c>
      <c r="E152">
        <v>28.96</v>
      </c>
      <c r="F152">
        <v>81.150000000000006</v>
      </c>
      <c r="K152" s="3"/>
      <c r="O152" s="3"/>
    </row>
    <row r="153" spans="1:15">
      <c r="A153" s="3">
        <v>36677</v>
      </c>
      <c r="B153" s="3">
        <v>36677</v>
      </c>
      <c r="C153">
        <v>142.35</v>
      </c>
      <c r="D153">
        <v>0.93799999999999994</v>
      </c>
      <c r="E153">
        <v>28.31</v>
      </c>
      <c r="F153">
        <v>81.45</v>
      </c>
      <c r="K153" s="3"/>
      <c r="O153" s="3"/>
    </row>
    <row r="154" spans="1:15">
      <c r="A154" s="3">
        <v>36678</v>
      </c>
      <c r="B154" s="3">
        <v>36678</v>
      </c>
      <c r="C154">
        <v>142.35</v>
      </c>
      <c r="D154">
        <v>0.93120000000000003</v>
      </c>
      <c r="E154">
        <v>29.19</v>
      </c>
      <c r="F154">
        <v>81.150000000000006</v>
      </c>
      <c r="K154" s="3"/>
      <c r="O154" s="3"/>
    </row>
    <row r="155" spans="1:15">
      <c r="A155" s="3">
        <v>36679</v>
      </c>
      <c r="B155" s="3">
        <v>36679</v>
      </c>
      <c r="C155">
        <v>142.57</v>
      </c>
      <c r="D155">
        <v>0.94630000000000003</v>
      </c>
      <c r="E155">
        <v>29.05</v>
      </c>
      <c r="F155">
        <v>79.3</v>
      </c>
      <c r="K155" s="3"/>
      <c r="O155" s="3"/>
    </row>
    <row r="156" spans="1:15">
      <c r="A156" s="3">
        <v>36680</v>
      </c>
      <c r="B156" s="3">
        <v>36680</v>
      </c>
      <c r="C156">
        <v>142.57</v>
      </c>
      <c r="D156">
        <v>0.94630000000000003</v>
      </c>
      <c r="E156">
        <v>29.05</v>
      </c>
      <c r="F156">
        <v>79.3</v>
      </c>
      <c r="K156" s="3"/>
      <c r="O156" s="3"/>
    </row>
    <row r="157" spans="1:15">
      <c r="A157" s="3">
        <v>36681</v>
      </c>
      <c r="B157" s="3">
        <v>36681</v>
      </c>
      <c r="C157">
        <v>142.57</v>
      </c>
      <c r="D157">
        <v>0.94630000000000003</v>
      </c>
      <c r="E157">
        <v>29.05</v>
      </c>
      <c r="F157">
        <v>79.3</v>
      </c>
      <c r="K157" s="3"/>
      <c r="O157" s="3"/>
    </row>
    <row r="158" spans="1:15">
      <c r="A158" s="3">
        <v>36682</v>
      </c>
      <c r="B158" s="3">
        <v>36682</v>
      </c>
      <c r="C158">
        <v>142.72999999999999</v>
      </c>
      <c r="D158">
        <v>0.94789999999999996</v>
      </c>
      <c r="E158">
        <v>28.37</v>
      </c>
      <c r="F158">
        <v>80.2</v>
      </c>
      <c r="K158" s="3"/>
      <c r="O158" s="3"/>
    </row>
    <row r="159" spans="1:15">
      <c r="A159" s="3">
        <v>36683</v>
      </c>
      <c r="B159" s="3">
        <v>36683</v>
      </c>
      <c r="C159">
        <v>142.76</v>
      </c>
      <c r="D159">
        <v>0.95479999999999998</v>
      </c>
      <c r="E159">
        <v>28.59</v>
      </c>
      <c r="F159">
        <v>80.45</v>
      </c>
      <c r="K159" s="3"/>
      <c r="O159" s="3"/>
    </row>
    <row r="160" spans="1:15">
      <c r="A160" s="3">
        <v>36684</v>
      </c>
      <c r="B160" s="3">
        <v>36684</v>
      </c>
      <c r="C160">
        <v>142.65</v>
      </c>
      <c r="D160">
        <v>0.96220000000000006</v>
      </c>
      <c r="E160">
        <v>29.22</v>
      </c>
      <c r="F160">
        <v>79.45</v>
      </c>
      <c r="K160" s="3"/>
      <c r="O160" s="3"/>
    </row>
    <row r="161" spans="1:15">
      <c r="A161" s="3">
        <v>36685</v>
      </c>
      <c r="B161" s="3">
        <v>36685</v>
      </c>
      <c r="C161">
        <v>142.44999999999999</v>
      </c>
      <c r="D161">
        <v>0.95599999999999996</v>
      </c>
      <c r="E161">
        <v>29.07</v>
      </c>
      <c r="F161">
        <v>79.75</v>
      </c>
      <c r="K161" s="3"/>
      <c r="O161" s="3"/>
    </row>
    <row r="162" spans="1:15">
      <c r="A162" s="3">
        <v>36686</v>
      </c>
      <c r="B162" s="3">
        <v>36686</v>
      </c>
      <c r="C162">
        <v>142.44999999999999</v>
      </c>
      <c r="D162">
        <v>0.9536</v>
      </c>
      <c r="E162">
        <v>29.58</v>
      </c>
      <c r="F162">
        <v>79.8</v>
      </c>
      <c r="K162" s="3"/>
      <c r="O162" s="3"/>
    </row>
    <row r="163" spans="1:15">
      <c r="A163" s="3">
        <v>36687</v>
      </c>
      <c r="B163" s="3">
        <v>36687</v>
      </c>
      <c r="C163">
        <v>142.44999999999999</v>
      </c>
      <c r="D163">
        <v>0.9536</v>
      </c>
      <c r="E163">
        <v>29.58</v>
      </c>
      <c r="F163">
        <v>79.8</v>
      </c>
      <c r="K163" s="3"/>
      <c r="O163" s="3"/>
    </row>
    <row r="164" spans="1:15">
      <c r="A164" s="3">
        <v>36688</v>
      </c>
      <c r="B164" s="3">
        <v>36688</v>
      </c>
      <c r="C164">
        <v>142.44999999999999</v>
      </c>
      <c r="D164">
        <v>0.9536</v>
      </c>
      <c r="E164">
        <v>29.58</v>
      </c>
      <c r="F164">
        <v>79.8</v>
      </c>
      <c r="K164" s="3"/>
      <c r="O164" s="3"/>
    </row>
    <row r="165" spans="1:15">
      <c r="A165" s="3">
        <v>36689</v>
      </c>
      <c r="B165" s="3">
        <v>36689</v>
      </c>
      <c r="C165">
        <v>142.65</v>
      </c>
      <c r="D165">
        <v>0.95379999999999998</v>
      </c>
      <c r="E165">
        <v>31.21</v>
      </c>
      <c r="F165">
        <v>79.45</v>
      </c>
      <c r="K165" s="3"/>
      <c r="O165" s="3"/>
    </row>
    <row r="166" spans="1:15">
      <c r="A166" s="3">
        <v>36690</v>
      </c>
      <c r="B166" s="3">
        <v>36690</v>
      </c>
      <c r="C166">
        <v>142.81</v>
      </c>
      <c r="D166">
        <v>0.95960000000000001</v>
      </c>
      <c r="E166">
        <v>31.49</v>
      </c>
      <c r="F166">
        <v>80.150000000000006</v>
      </c>
      <c r="K166" s="3"/>
      <c r="O166" s="3"/>
    </row>
    <row r="167" spans="1:15">
      <c r="A167" s="3">
        <v>36691</v>
      </c>
      <c r="B167" s="3">
        <v>36691</v>
      </c>
      <c r="C167">
        <v>142.5</v>
      </c>
      <c r="D167">
        <v>0.95789999999999997</v>
      </c>
      <c r="E167">
        <v>31.02</v>
      </c>
      <c r="F167">
        <v>80.900000000000006</v>
      </c>
      <c r="K167" s="3"/>
      <c r="O167" s="3"/>
    </row>
    <row r="168" spans="1:15">
      <c r="A168" s="3">
        <v>36692</v>
      </c>
      <c r="B168" s="3">
        <v>36692</v>
      </c>
      <c r="C168">
        <v>142.5</v>
      </c>
      <c r="D168">
        <v>0.95469999999999999</v>
      </c>
      <c r="E168">
        <v>31.26</v>
      </c>
      <c r="F168">
        <v>81.8</v>
      </c>
      <c r="K168" s="3"/>
      <c r="O168" s="3"/>
    </row>
    <row r="169" spans="1:15">
      <c r="A169" s="3">
        <v>36693</v>
      </c>
      <c r="B169" s="3">
        <v>36693</v>
      </c>
      <c r="C169">
        <v>142.5</v>
      </c>
      <c r="D169">
        <v>0.96499999999999997</v>
      </c>
      <c r="E169">
        <v>28.35</v>
      </c>
      <c r="F169">
        <v>82.4</v>
      </c>
      <c r="K169" s="3"/>
      <c r="O169" s="3"/>
    </row>
    <row r="170" spans="1:15">
      <c r="A170" s="3">
        <v>36694</v>
      </c>
      <c r="B170" s="3">
        <v>36694</v>
      </c>
      <c r="C170">
        <v>142.5</v>
      </c>
      <c r="D170">
        <v>0.96499999999999997</v>
      </c>
      <c r="E170">
        <v>28.35</v>
      </c>
      <c r="F170">
        <v>82.4</v>
      </c>
      <c r="K170" s="3"/>
      <c r="O170" s="3"/>
    </row>
    <row r="171" spans="1:15">
      <c r="A171" s="3">
        <v>36695</v>
      </c>
      <c r="B171" s="3">
        <v>36695</v>
      </c>
      <c r="C171">
        <v>142.5</v>
      </c>
      <c r="D171">
        <v>0.96499999999999997</v>
      </c>
      <c r="E171">
        <v>28.35</v>
      </c>
      <c r="F171">
        <v>82.4</v>
      </c>
      <c r="K171" s="3"/>
      <c r="O171" s="3"/>
    </row>
    <row r="172" spans="1:15">
      <c r="A172" s="3">
        <v>36696</v>
      </c>
      <c r="B172" s="3">
        <v>36696</v>
      </c>
      <c r="C172">
        <v>142.47999999999999</v>
      </c>
      <c r="D172">
        <v>0.95669999999999999</v>
      </c>
      <c r="E172">
        <v>27.98</v>
      </c>
      <c r="F172">
        <v>82.8</v>
      </c>
      <c r="K172" s="3"/>
      <c r="O172" s="3"/>
    </row>
    <row r="173" spans="1:15">
      <c r="A173" s="3">
        <v>36697</v>
      </c>
      <c r="B173" s="3">
        <v>36697</v>
      </c>
      <c r="C173">
        <v>142.5</v>
      </c>
      <c r="D173">
        <v>0.95479999999999998</v>
      </c>
      <c r="E173">
        <v>29.02</v>
      </c>
      <c r="F173">
        <v>81.3</v>
      </c>
      <c r="K173" s="3"/>
      <c r="O173" s="3"/>
    </row>
    <row r="174" spans="1:15">
      <c r="A174" s="3">
        <v>36698</v>
      </c>
      <c r="B174" s="3">
        <v>36698</v>
      </c>
      <c r="C174">
        <v>142.54</v>
      </c>
      <c r="D174">
        <v>0.94420000000000004</v>
      </c>
      <c r="E174">
        <v>29.33</v>
      </c>
      <c r="F174">
        <v>82.45</v>
      </c>
      <c r="K174" s="3"/>
      <c r="O174" s="3"/>
    </row>
    <row r="175" spans="1:15">
      <c r="A175" s="3">
        <v>36699</v>
      </c>
      <c r="B175" s="3">
        <v>36699</v>
      </c>
      <c r="C175">
        <v>142.5</v>
      </c>
      <c r="D175">
        <v>0.9355</v>
      </c>
      <c r="E175">
        <v>30.15</v>
      </c>
      <c r="F175">
        <v>81.75</v>
      </c>
      <c r="K175" s="3"/>
      <c r="O175" s="3"/>
    </row>
    <row r="176" spans="1:15">
      <c r="A176" s="3">
        <v>36700</v>
      </c>
      <c r="B176" s="3">
        <v>36700</v>
      </c>
      <c r="C176">
        <v>142.82</v>
      </c>
      <c r="D176">
        <v>0.93589999999999995</v>
      </c>
      <c r="E176">
        <v>30.39</v>
      </c>
      <c r="F176">
        <v>81.05</v>
      </c>
      <c r="K176" s="3"/>
      <c r="O176" s="3"/>
    </row>
    <row r="177" spans="1:15">
      <c r="A177" s="3">
        <v>36701</v>
      </c>
      <c r="B177" s="3">
        <v>36701</v>
      </c>
      <c r="C177">
        <v>142.82</v>
      </c>
      <c r="D177">
        <v>0.93589999999999995</v>
      </c>
      <c r="E177">
        <v>30.39</v>
      </c>
      <c r="F177">
        <v>81.05</v>
      </c>
      <c r="K177" s="3"/>
      <c r="O177" s="3"/>
    </row>
    <row r="178" spans="1:15">
      <c r="A178" s="3">
        <v>36702</v>
      </c>
      <c r="B178" s="3">
        <v>36702</v>
      </c>
      <c r="C178">
        <v>142.82</v>
      </c>
      <c r="D178">
        <v>0.93589999999999995</v>
      </c>
      <c r="E178">
        <v>30.39</v>
      </c>
      <c r="F178">
        <v>81.05</v>
      </c>
      <c r="K178" s="3"/>
      <c r="O178" s="3"/>
    </row>
    <row r="179" spans="1:15">
      <c r="A179" s="3">
        <v>36703</v>
      </c>
      <c r="B179" s="3">
        <v>36703</v>
      </c>
      <c r="C179">
        <v>142.83000000000001</v>
      </c>
      <c r="D179">
        <v>0.93689999999999996</v>
      </c>
      <c r="E179">
        <v>29.75</v>
      </c>
      <c r="F179">
        <v>82.3</v>
      </c>
      <c r="K179" s="3"/>
      <c r="O179" s="3"/>
    </row>
    <row r="180" spans="1:15">
      <c r="A180" s="3">
        <v>36704</v>
      </c>
      <c r="B180" s="3">
        <v>36704</v>
      </c>
      <c r="C180">
        <v>142.66</v>
      </c>
      <c r="D180">
        <v>0.94589999999999996</v>
      </c>
      <c r="E180">
        <v>30.24</v>
      </c>
      <c r="F180">
        <v>81.75</v>
      </c>
      <c r="K180" s="3"/>
      <c r="O180" s="3"/>
    </row>
    <row r="181" spans="1:15">
      <c r="A181" s="3">
        <v>36705</v>
      </c>
      <c r="B181" s="3">
        <v>36705</v>
      </c>
      <c r="C181">
        <v>142.6</v>
      </c>
      <c r="D181">
        <v>0.94010000000000005</v>
      </c>
      <c r="E181">
        <v>30.11</v>
      </c>
      <c r="F181">
        <v>81.849999999999994</v>
      </c>
      <c r="K181" s="3"/>
      <c r="O181" s="3"/>
    </row>
    <row r="182" spans="1:15">
      <c r="A182" s="3">
        <v>36706</v>
      </c>
      <c r="B182" s="3">
        <v>36706</v>
      </c>
      <c r="C182">
        <v>142.80000000000001</v>
      </c>
      <c r="D182">
        <v>0.95199999999999996</v>
      </c>
      <c r="E182">
        <v>30.8</v>
      </c>
      <c r="F182">
        <v>80.8</v>
      </c>
      <c r="K182" s="3"/>
      <c r="O182" s="3"/>
    </row>
    <row r="183" spans="1:15">
      <c r="A183" s="3">
        <v>36707</v>
      </c>
      <c r="B183" s="3">
        <v>36707</v>
      </c>
      <c r="C183">
        <v>142.6</v>
      </c>
      <c r="D183">
        <v>0.95250000000000001</v>
      </c>
      <c r="E183">
        <v>30.57</v>
      </c>
      <c r="F183">
        <v>81.55</v>
      </c>
      <c r="K183" s="3"/>
      <c r="O183" s="3"/>
    </row>
    <row r="184" spans="1:15">
      <c r="A184" s="3">
        <v>36708</v>
      </c>
      <c r="B184" s="3">
        <v>36708</v>
      </c>
      <c r="C184">
        <v>142.6</v>
      </c>
      <c r="D184">
        <v>0.95250000000000001</v>
      </c>
      <c r="E184">
        <v>30.57</v>
      </c>
      <c r="F184">
        <v>81.55</v>
      </c>
      <c r="K184" s="3"/>
      <c r="O184" s="3"/>
    </row>
    <row r="185" spans="1:15">
      <c r="A185" s="3">
        <v>36709</v>
      </c>
      <c r="B185" s="3">
        <v>36709</v>
      </c>
      <c r="C185">
        <v>142.6</v>
      </c>
      <c r="D185">
        <v>0.95250000000000001</v>
      </c>
      <c r="E185">
        <v>30.57</v>
      </c>
      <c r="F185">
        <v>81.55</v>
      </c>
      <c r="K185" s="3"/>
      <c r="O185" s="3"/>
    </row>
    <row r="186" spans="1:15">
      <c r="A186" s="3">
        <v>36710</v>
      </c>
      <c r="B186" s="3">
        <v>36710</v>
      </c>
      <c r="C186">
        <v>143.03</v>
      </c>
      <c r="D186">
        <v>0.95020000000000004</v>
      </c>
      <c r="E186">
        <v>31.1</v>
      </c>
      <c r="F186">
        <v>81.55</v>
      </c>
      <c r="K186" s="3"/>
      <c r="O186" s="3"/>
    </row>
    <row r="187" spans="1:15">
      <c r="A187" s="3">
        <v>36711</v>
      </c>
      <c r="B187" s="3">
        <v>36711</v>
      </c>
      <c r="C187">
        <v>143</v>
      </c>
      <c r="D187">
        <v>0.95130000000000003</v>
      </c>
      <c r="E187">
        <v>29.58</v>
      </c>
      <c r="F187">
        <v>81.55</v>
      </c>
      <c r="K187" s="3"/>
      <c r="O187" s="3"/>
    </row>
    <row r="188" spans="1:15">
      <c r="A188" s="3">
        <v>36712</v>
      </c>
      <c r="B188" s="3">
        <v>36712</v>
      </c>
      <c r="C188">
        <v>142.96</v>
      </c>
      <c r="D188">
        <v>0.95250000000000001</v>
      </c>
      <c r="E188">
        <v>29.38</v>
      </c>
      <c r="F188">
        <v>81.349999999999994</v>
      </c>
      <c r="K188" s="3"/>
      <c r="O188" s="3"/>
    </row>
    <row r="189" spans="1:15">
      <c r="A189" s="3">
        <v>36713</v>
      </c>
      <c r="B189" s="3">
        <v>36713</v>
      </c>
      <c r="C189">
        <v>142.87</v>
      </c>
      <c r="D189">
        <v>0.95069999999999999</v>
      </c>
      <c r="E189">
        <v>29.67</v>
      </c>
      <c r="F189">
        <v>80.349999999999994</v>
      </c>
      <c r="K189" s="3"/>
      <c r="O189" s="3"/>
    </row>
    <row r="190" spans="1:15">
      <c r="A190" s="3">
        <v>36714</v>
      </c>
      <c r="B190" s="3">
        <v>36714</v>
      </c>
      <c r="C190">
        <v>142.85</v>
      </c>
      <c r="D190">
        <v>0.94840000000000002</v>
      </c>
      <c r="E190">
        <v>29.7</v>
      </c>
      <c r="F190">
        <v>80.599999999999994</v>
      </c>
      <c r="K190" s="3"/>
      <c r="O190" s="3"/>
    </row>
    <row r="191" spans="1:15">
      <c r="A191" s="3">
        <v>36715</v>
      </c>
      <c r="B191" s="3">
        <v>36715</v>
      </c>
      <c r="C191">
        <v>142.85</v>
      </c>
      <c r="D191">
        <v>0.94840000000000002</v>
      </c>
      <c r="E191">
        <v>29.7</v>
      </c>
      <c r="F191">
        <v>80.599999999999994</v>
      </c>
      <c r="K191" s="3"/>
      <c r="O191" s="3"/>
    </row>
    <row r="192" spans="1:15">
      <c r="A192" s="3">
        <v>36716</v>
      </c>
      <c r="B192" s="3">
        <v>36716</v>
      </c>
      <c r="C192">
        <v>142.85</v>
      </c>
      <c r="D192">
        <v>0.94840000000000002</v>
      </c>
      <c r="E192">
        <v>29.7</v>
      </c>
      <c r="F192">
        <v>80.599999999999994</v>
      </c>
      <c r="K192" s="3"/>
      <c r="O192" s="3"/>
    </row>
    <row r="193" spans="1:15">
      <c r="A193" s="3">
        <v>36717</v>
      </c>
      <c r="B193" s="3">
        <v>36717</v>
      </c>
      <c r="C193">
        <v>142.75</v>
      </c>
      <c r="D193">
        <v>0.95530000000000004</v>
      </c>
      <c r="E193">
        <v>28.85</v>
      </c>
      <c r="F193">
        <v>81.349999999999994</v>
      </c>
      <c r="K193" s="3"/>
      <c r="O193" s="3"/>
    </row>
    <row r="194" spans="1:15">
      <c r="A194" s="3">
        <v>36718</v>
      </c>
      <c r="B194" s="3">
        <v>36718</v>
      </c>
      <c r="C194">
        <v>142.69999999999999</v>
      </c>
      <c r="D194">
        <v>0.95269999999999999</v>
      </c>
      <c r="E194">
        <v>29.22</v>
      </c>
      <c r="F194">
        <v>81.8</v>
      </c>
      <c r="K194" s="3"/>
      <c r="O194" s="3"/>
    </row>
    <row r="195" spans="1:15">
      <c r="A195" s="3">
        <v>36719</v>
      </c>
      <c r="B195" s="3">
        <v>36719</v>
      </c>
      <c r="C195">
        <v>142.75</v>
      </c>
      <c r="D195">
        <v>0.94240000000000002</v>
      </c>
      <c r="E195">
        <v>29.67</v>
      </c>
      <c r="F195">
        <v>82.4</v>
      </c>
      <c r="K195" s="3"/>
      <c r="O195" s="3"/>
    </row>
    <row r="196" spans="1:15">
      <c r="A196" s="3">
        <v>36720</v>
      </c>
      <c r="B196" s="3">
        <v>36720</v>
      </c>
      <c r="C196">
        <v>142.69999999999999</v>
      </c>
      <c r="D196">
        <v>0.93720000000000003</v>
      </c>
      <c r="E196">
        <v>30.26</v>
      </c>
      <c r="F196">
        <v>82.35</v>
      </c>
      <c r="K196" s="3"/>
      <c r="O196" s="3"/>
    </row>
    <row r="197" spans="1:15">
      <c r="A197" s="3">
        <v>36721</v>
      </c>
      <c r="B197" s="3">
        <v>36721</v>
      </c>
      <c r="C197">
        <v>142.69999999999999</v>
      </c>
      <c r="D197">
        <v>0.9385</v>
      </c>
      <c r="E197">
        <v>29.88</v>
      </c>
      <c r="F197">
        <v>82.3</v>
      </c>
      <c r="K197" s="3"/>
      <c r="O197" s="3"/>
    </row>
    <row r="198" spans="1:15">
      <c r="A198" s="3">
        <v>36722</v>
      </c>
      <c r="B198" s="3">
        <v>36722</v>
      </c>
      <c r="C198">
        <v>142.69999999999999</v>
      </c>
      <c r="D198">
        <v>0.9385</v>
      </c>
      <c r="E198">
        <v>29.88</v>
      </c>
      <c r="F198">
        <v>82.3</v>
      </c>
      <c r="K198" s="3"/>
      <c r="O198" s="3"/>
    </row>
    <row r="199" spans="1:15">
      <c r="A199" s="3">
        <v>36723</v>
      </c>
      <c r="B199" s="3">
        <v>36723</v>
      </c>
      <c r="C199">
        <v>142.69999999999999</v>
      </c>
      <c r="D199">
        <v>0.9385</v>
      </c>
      <c r="E199">
        <v>29.88</v>
      </c>
      <c r="F199">
        <v>82.3</v>
      </c>
      <c r="K199" s="3"/>
      <c r="O199" s="3"/>
    </row>
    <row r="200" spans="1:15">
      <c r="A200" s="3">
        <v>36724</v>
      </c>
      <c r="B200" s="3">
        <v>36724</v>
      </c>
      <c r="C200">
        <v>142.69999999999999</v>
      </c>
      <c r="D200">
        <v>0.93659999999999999</v>
      </c>
      <c r="E200">
        <v>28.56</v>
      </c>
      <c r="F200">
        <v>84.05</v>
      </c>
      <c r="K200" s="3"/>
      <c r="O200" s="3"/>
    </row>
    <row r="201" spans="1:15">
      <c r="A201" s="3">
        <v>36725</v>
      </c>
      <c r="B201" s="3">
        <v>36725</v>
      </c>
      <c r="C201">
        <v>142.75</v>
      </c>
      <c r="D201">
        <v>0.92479999999999996</v>
      </c>
      <c r="E201">
        <v>29.32</v>
      </c>
      <c r="F201">
        <v>84.1</v>
      </c>
      <c r="K201" s="3"/>
      <c r="O201" s="3"/>
    </row>
    <row r="202" spans="1:15">
      <c r="A202" s="3">
        <v>36726</v>
      </c>
      <c r="B202" s="3">
        <v>36726</v>
      </c>
      <c r="C202">
        <v>142.69999999999999</v>
      </c>
      <c r="D202">
        <v>0.92459999999999998</v>
      </c>
      <c r="E202">
        <v>28.88</v>
      </c>
      <c r="F202">
        <v>84.2</v>
      </c>
      <c r="K202" s="3"/>
      <c r="O202" s="3"/>
    </row>
    <row r="203" spans="1:15">
      <c r="A203" s="3">
        <v>36727</v>
      </c>
      <c r="B203" s="3">
        <v>36727</v>
      </c>
      <c r="C203">
        <v>142.78</v>
      </c>
      <c r="D203">
        <v>0.93310000000000004</v>
      </c>
      <c r="E203">
        <v>28.27</v>
      </c>
      <c r="F203">
        <v>84.35</v>
      </c>
      <c r="K203" s="3"/>
      <c r="O203" s="3"/>
    </row>
    <row r="204" spans="1:15">
      <c r="A204" s="3">
        <v>36728</v>
      </c>
      <c r="B204" s="3">
        <v>36728</v>
      </c>
      <c r="C204">
        <v>142.71</v>
      </c>
      <c r="D204">
        <v>0.93689999999999996</v>
      </c>
      <c r="E204">
        <v>27.52</v>
      </c>
      <c r="F204">
        <v>86.3</v>
      </c>
      <c r="K204" s="3"/>
      <c r="O204" s="3"/>
    </row>
    <row r="205" spans="1:15">
      <c r="A205" s="3">
        <v>36729</v>
      </c>
      <c r="B205" s="3">
        <v>36729</v>
      </c>
      <c r="C205">
        <v>142.71</v>
      </c>
      <c r="D205">
        <v>0.93689999999999996</v>
      </c>
      <c r="E205">
        <v>27.52</v>
      </c>
      <c r="F205">
        <v>86.3</v>
      </c>
      <c r="K205" s="3"/>
      <c r="O205" s="3"/>
    </row>
    <row r="206" spans="1:15">
      <c r="A206" s="3">
        <v>36730</v>
      </c>
      <c r="B206" s="3">
        <v>36730</v>
      </c>
      <c r="C206">
        <v>142.71</v>
      </c>
      <c r="D206">
        <v>0.93689999999999996</v>
      </c>
      <c r="E206">
        <v>27.52</v>
      </c>
      <c r="F206">
        <v>86.3</v>
      </c>
      <c r="K206" s="3"/>
      <c r="O206" s="3"/>
    </row>
    <row r="207" spans="1:15">
      <c r="A207" s="3">
        <v>36731</v>
      </c>
      <c r="B207" s="3">
        <v>36731</v>
      </c>
      <c r="C207">
        <v>142.69999999999999</v>
      </c>
      <c r="D207">
        <v>0.93369999999999997</v>
      </c>
      <c r="E207">
        <v>26.92</v>
      </c>
      <c r="F207">
        <v>86.4</v>
      </c>
      <c r="K207" s="3"/>
      <c r="O207" s="3"/>
    </row>
    <row r="208" spans="1:15">
      <c r="A208" s="3">
        <v>36732</v>
      </c>
      <c r="B208" s="3">
        <v>36732</v>
      </c>
      <c r="C208">
        <v>142.69999999999999</v>
      </c>
      <c r="D208">
        <v>0.9385</v>
      </c>
      <c r="E208">
        <v>26.94</v>
      </c>
      <c r="F208">
        <v>86.6</v>
      </c>
      <c r="K208" s="3"/>
      <c r="O208" s="3"/>
    </row>
    <row r="209" spans="1:15">
      <c r="A209" s="3">
        <v>36733</v>
      </c>
      <c r="B209" s="3">
        <v>36733</v>
      </c>
      <c r="C209">
        <v>142.69999999999999</v>
      </c>
      <c r="D209">
        <v>0.94279999999999997</v>
      </c>
      <c r="E209">
        <v>26.83</v>
      </c>
      <c r="F209">
        <v>85.7</v>
      </c>
      <c r="K209" s="3"/>
      <c r="O209" s="3"/>
    </row>
    <row r="210" spans="1:15">
      <c r="A210" s="3">
        <v>36734</v>
      </c>
      <c r="B210" s="3">
        <v>36734</v>
      </c>
      <c r="C210">
        <v>142.69999999999999</v>
      </c>
      <c r="D210">
        <v>0.93169999999999997</v>
      </c>
      <c r="E210">
        <v>27.15</v>
      </c>
      <c r="F210">
        <v>86.75</v>
      </c>
      <c r="K210" s="3"/>
      <c r="O210" s="3"/>
    </row>
    <row r="211" spans="1:15">
      <c r="A211" s="3">
        <v>36735</v>
      </c>
      <c r="B211" s="3">
        <v>36735</v>
      </c>
      <c r="C211">
        <v>142.75</v>
      </c>
      <c r="D211">
        <v>0.92300000000000004</v>
      </c>
      <c r="E211">
        <v>27.36</v>
      </c>
      <c r="F211">
        <v>86.85</v>
      </c>
      <c r="K211" s="3"/>
      <c r="O211" s="3"/>
    </row>
    <row r="212" spans="1:15">
      <c r="A212" s="3">
        <v>36736</v>
      </c>
      <c r="B212" s="3">
        <v>36736</v>
      </c>
      <c r="C212">
        <v>142.75</v>
      </c>
      <c r="D212">
        <v>0.92300000000000004</v>
      </c>
      <c r="E212">
        <v>27.36</v>
      </c>
      <c r="F212">
        <v>86.85</v>
      </c>
      <c r="K212" s="3"/>
      <c r="O212" s="3"/>
    </row>
    <row r="213" spans="1:15">
      <c r="A213" s="3">
        <v>36737</v>
      </c>
      <c r="B213" s="3">
        <v>36737</v>
      </c>
      <c r="C213">
        <v>142.75</v>
      </c>
      <c r="D213">
        <v>0.92300000000000004</v>
      </c>
      <c r="E213">
        <v>27.36</v>
      </c>
      <c r="F213">
        <v>86.85</v>
      </c>
      <c r="K213" s="3"/>
      <c r="O213" s="3"/>
    </row>
    <row r="214" spans="1:15">
      <c r="A214" s="3">
        <v>36738</v>
      </c>
      <c r="B214" s="3">
        <v>36738</v>
      </c>
      <c r="C214">
        <v>142.63999999999999</v>
      </c>
      <c r="D214">
        <v>0.92659999999999998</v>
      </c>
      <c r="E214">
        <v>26.93</v>
      </c>
      <c r="F214">
        <v>87.45</v>
      </c>
      <c r="K214" s="3"/>
      <c r="O214" s="3"/>
    </row>
    <row r="215" spans="1:15">
      <c r="A215" s="3">
        <v>36739</v>
      </c>
      <c r="B215" s="3">
        <v>36739</v>
      </c>
      <c r="C215">
        <v>142.59</v>
      </c>
      <c r="D215">
        <v>0.91469999999999996</v>
      </c>
      <c r="E215">
        <v>27.14</v>
      </c>
      <c r="F215">
        <v>87.35</v>
      </c>
      <c r="K215" s="3"/>
      <c r="O215" s="3"/>
    </row>
    <row r="216" spans="1:15">
      <c r="A216" s="3">
        <v>36740</v>
      </c>
      <c r="B216" s="3">
        <v>36740</v>
      </c>
      <c r="C216">
        <v>142.58000000000001</v>
      </c>
      <c r="D216">
        <v>0.91359999999999997</v>
      </c>
      <c r="E216">
        <v>27.59</v>
      </c>
      <c r="F216">
        <v>87</v>
      </c>
      <c r="K216" s="3"/>
      <c r="O216" s="3"/>
    </row>
    <row r="217" spans="1:15">
      <c r="A217" s="3">
        <v>36741</v>
      </c>
      <c r="B217" s="3">
        <v>36741</v>
      </c>
      <c r="C217">
        <v>142.69999999999999</v>
      </c>
      <c r="D217">
        <v>0.90610000000000002</v>
      </c>
      <c r="E217">
        <v>28.31</v>
      </c>
      <c r="F217">
        <v>86.9</v>
      </c>
      <c r="K217" s="3"/>
      <c r="O217" s="3"/>
    </row>
    <row r="218" spans="1:15">
      <c r="A218" s="3">
        <v>36742</v>
      </c>
      <c r="B218" s="3">
        <v>36742</v>
      </c>
      <c r="C218">
        <v>142.57</v>
      </c>
      <c r="D218">
        <v>0.9083</v>
      </c>
      <c r="E218">
        <v>29.37</v>
      </c>
      <c r="F218">
        <v>87.3</v>
      </c>
      <c r="K218" s="3"/>
      <c r="O218" s="3"/>
    </row>
    <row r="219" spans="1:15">
      <c r="A219" s="3">
        <v>36743</v>
      </c>
      <c r="B219" s="3">
        <v>36743</v>
      </c>
      <c r="C219">
        <v>142.57</v>
      </c>
      <c r="D219">
        <v>0.9083</v>
      </c>
      <c r="E219">
        <v>29.37</v>
      </c>
      <c r="F219">
        <v>87.3</v>
      </c>
      <c r="K219" s="3"/>
      <c r="O219" s="3"/>
    </row>
    <row r="220" spans="1:15">
      <c r="A220" s="3">
        <v>36744</v>
      </c>
      <c r="B220" s="3">
        <v>36744</v>
      </c>
      <c r="C220">
        <v>142.57</v>
      </c>
      <c r="D220">
        <v>0.9083</v>
      </c>
      <c r="E220">
        <v>29.37</v>
      </c>
      <c r="F220">
        <v>87.3</v>
      </c>
      <c r="K220" s="3"/>
      <c r="O220" s="3"/>
    </row>
    <row r="221" spans="1:15">
      <c r="A221" s="3">
        <v>36745</v>
      </c>
      <c r="B221" s="3">
        <v>36745</v>
      </c>
      <c r="C221">
        <v>142.5</v>
      </c>
      <c r="D221">
        <v>0.90710000000000002</v>
      </c>
      <c r="E221">
        <v>28.52</v>
      </c>
      <c r="F221">
        <v>87.1</v>
      </c>
      <c r="K221" s="3"/>
      <c r="O221" s="3"/>
    </row>
    <row r="222" spans="1:15">
      <c r="A222" s="3">
        <v>36746</v>
      </c>
      <c r="B222" s="3">
        <v>36746</v>
      </c>
      <c r="C222">
        <v>142.57</v>
      </c>
      <c r="D222">
        <v>0.9022</v>
      </c>
      <c r="E222">
        <v>28.9</v>
      </c>
      <c r="F222">
        <v>86.15</v>
      </c>
      <c r="K222" s="3"/>
      <c r="O222" s="3"/>
    </row>
    <row r="223" spans="1:15">
      <c r="A223" s="3">
        <v>36747</v>
      </c>
      <c r="B223" s="3">
        <v>36747</v>
      </c>
      <c r="C223">
        <v>142.63999999999999</v>
      </c>
      <c r="D223">
        <v>0.90059999999999996</v>
      </c>
      <c r="E223">
        <v>29.87</v>
      </c>
      <c r="F223">
        <v>87.35</v>
      </c>
      <c r="K223" s="3"/>
      <c r="O223" s="3"/>
    </row>
    <row r="224" spans="1:15">
      <c r="A224" s="3">
        <v>36748</v>
      </c>
      <c r="B224" s="3">
        <v>36748</v>
      </c>
      <c r="C224">
        <v>142.65</v>
      </c>
      <c r="D224">
        <v>0.9083</v>
      </c>
      <c r="E224">
        <v>30.88</v>
      </c>
      <c r="F224">
        <v>86.45</v>
      </c>
      <c r="K224" s="3"/>
      <c r="O224" s="3"/>
    </row>
    <row r="225" spans="1:15">
      <c r="A225" s="3">
        <v>36749</v>
      </c>
      <c r="B225" s="3">
        <v>36749</v>
      </c>
      <c r="C225">
        <v>142.72999999999999</v>
      </c>
      <c r="D225">
        <v>0.90259999999999996</v>
      </c>
      <c r="E225">
        <v>30.57</v>
      </c>
      <c r="F225">
        <v>85.95</v>
      </c>
      <c r="K225" s="3"/>
      <c r="O225" s="3"/>
    </row>
    <row r="226" spans="1:15">
      <c r="A226" s="3">
        <v>36750</v>
      </c>
      <c r="B226" s="3">
        <v>36750</v>
      </c>
      <c r="C226">
        <v>142.72999999999999</v>
      </c>
      <c r="D226">
        <v>0.90259999999999996</v>
      </c>
      <c r="E226">
        <v>30.57</v>
      </c>
      <c r="F226">
        <v>85.95</v>
      </c>
      <c r="K226" s="3"/>
      <c r="O226" s="3"/>
    </row>
    <row r="227" spans="1:15">
      <c r="A227" s="3">
        <v>36751</v>
      </c>
      <c r="B227" s="3">
        <v>36751</v>
      </c>
      <c r="C227">
        <v>142.72999999999999</v>
      </c>
      <c r="D227">
        <v>0.90259999999999996</v>
      </c>
      <c r="E227">
        <v>30.57</v>
      </c>
      <c r="F227">
        <v>85.95</v>
      </c>
      <c r="K227" s="3"/>
      <c r="O227" s="3"/>
    </row>
    <row r="228" spans="1:15">
      <c r="A228" s="3">
        <v>36752</v>
      </c>
      <c r="B228" s="3">
        <v>36752</v>
      </c>
      <c r="C228">
        <v>142.76</v>
      </c>
      <c r="D228">
        <v>0.90559999999999996</v>
      </c>
      <c r="E228">
        <v>31.48</v>
      </c>
      <c r="F228">
        <v>86.7</v>
      </c>
      <c r="K228" s="3"/>
      <c r="O228" s="3"/>
    </row>
    <row r="229" spans="1:15">
      <c r="A229" s="3">
        <v>36753</v>
      </c>
      <c r="B229" s="3">
        <v>36753</v>
      </c>
      <c r="C229">
        <v>142.82</v>
      </c>
      <c r="D229">
        <v>0.91349999999999998</v>
      </c>
      <c r="E229">
        <v>32.18</v>
      </c>
      <c r="F229">
        <v>87.05</v>
      </c>
      <c r="K229" s="3"/>
      <c r="O229" s="3"/>
    </row>
    <row r="230" spans="1:15">
      <c r="A230" s="3">
        <v>36754</v>
      </c>
      <c r="B230" s="3">
        <v>36754</v>
      </c>
      <c r="C230">
        <v>142.65</v>
      </c>
      <c r="D230">
        <v>0.91610000000000003</v>
      </c>
      <c r="E230">
        <v>32.53</v>
      </c>
      <c r="F230">
        <v>86.65</v>
      </c>
      <c r="K230" s="3"/>
      <c r="O230" s="3"/>
    </row>
    <row r="231" spans="1:15">
      <c r="A231" s="3">
        <v>36755</v>
      </c>
      <c r="B231" s="3">
        <v>36755</v>
      </c>
      <c r="C231">
        <v>142.69999999999999</v>
      </c>
      <c r="D231">
        <v>0.91620000000000001</v>
      </c>
      <c r="E231">
        <v>30.16</v>
      </c>
      <c r="F231">
        <v>86.9</v>
      </c>
      <c r="K231" s="3"/>
      <c r="O231" s="3"/>
    </row>
    <row r="232" spans="1:15">
      <c r="A232" s="3">
        <v>36756</v>
      </c>
      <c r="B232" s="3">
        <v>36756</v>
      </c>
      <c r="C232">
        <v>142.69</v>
      </c>
      <c r="D232">
        <v>0.90639999999999998</v>
      </c>
      <c r="E232">
        <v>30.44</v>
      </c>
      <c r="F232">
        <v>86.5</v>
      </c>
      <c r="K232" s="3"/>
      <c r="O232" s="3"/>
    </row>
    <row r="233" spans="1:15">
      <c r="A233" s="3">
        <v>36757</v>
      </c>
      <c r="B233" s="3">
        <v>36757</v>
      </c>
      <c r="C233">
        <v>142.69</v>
      </c>
      <c r="D233">
        <v>0.90639999999999998</v>
      </c>
      <c r="E233">
        <v>30.44</v>
      </c>
      <c r="F233">
        <v>86.5</v>
      </c>
      <c r="K233" s="3"/>
      <c r="O233" s="3"/>
    </row>
    <row r="234" spans="1:15">
      <c r="A234" s="3">
        <v>36758</v>
      </c>
      <c r="B234" s="3">
        <v>36758</v>
      </c>
      <c r="C234">
        <v>142.69</v>
      </c>
      <c r="D234">
        <v>0.90639999999999998</v>
      </c>
      <c r="E234">
        <v>30.44</v>
      </c>
      <c r="F234">
        <v>86.5</v>
      </c>
      <c r="K234" s="3"/>
      <c r="O234" s="3"/>
    </row>
    <row r="235" spans="1:15">
      <c r="A235" s="3">
        <v>36759</v>
      </c>
      <c r="B235" s="3">
        <v>36759</v>
      </c>
      <c r="C235">
        <v>142.65</v>
      </c>
      <c r="D235">
        <v>0.90169999999999995</v>
      </c>
      <c r="E235">
        <v>30.6</v>
      </c>
      <c r="F235">
        <v>85.4</v>
      </c>
      <c r="K235" s="3"/>
      <c r="O235" s="3"/>
    </row>
    <row r="236" spans="1:15">
      <c r="A236" s="3">
        <v>36760</v>
      </c>
      <c r="B236" s="3">
        <v>36760</v>
      </c>
      <c r="C236">
        <v>142.49</v>
      </c>
      <c r="D236">
        <v>0.89639999999999997</v>
      </c>
      <c r="E236">
        <v>29.93</v>
      </c>
      <c r="F236">
        <v>85.75</v>
      </c>
      <c r="K236" s="3"/>
      <c r="O236" s="3"/>
    </row>
    <row r="237" spans="1:15">
      <c r="A237" s="3">
        <v>36761</v>
      </c>
      <c r="B237" s="3">
        <v>36761</v>
      </c>
      <c r="C237">
        <v>142.65</v>
      </c>
      <c r="D237">
        <v>0.90169999999999995</v>
      </c>
      <c r="E237">
        <v>30.69</v>
      </c>
      <c r="F237">
        <v>85.65</v>
      </c>
      <c r="K237" s="3"/>
      <c r="O237" s="3"/>
    </row>
    <row r="238" spans="1:15">
      <c r="A238" s="3">
        <v>36762</v>
      </c>
      <c r="B238" s="3">
        <v>36762</v>
      </c>
      <c r="C238">
        <v>142.65</v>
      </c>
      <c r="D238">
        <v>0.90210000000000001</v>
      </c>
      <c r="E238">
        <v>30.35</v>
      </c>
      <c r="F238">
        <v>86.2</v>
      </c>
      <c r="K238" s="3"/>
      <c r="O238" s="3"/>
    </row>
    <row r="239" spans="1:15">
      <c r="A239" s="3">
        <v>36763</v>
      </c>
      <c r="B239" s="3">
        <v>36763</v>
      </c>
      <c r="C239">
        <v>142.59</v>
      </c>
      <c r="D239">
        <v>0.90210000000000001</v>
      </c>
      <c r="E239">
        <v>30.39</v>
      </c>
      <c r="F239">
        <v>86.25</v>
      </c>
      <c r="K239" s="3"/>
      <c r="O239" s="3"/>
    </row>
    <row r="240" spans="1:15">
      <c r="A240" s="3">
        <v>36764</v>
      </c>
      <c r="B240" s="3">
        <v>36764</v>
      </c>
      <c r="C240">
        <v>142.59</v>
      </c>
      <c r="D240">
        <v>0.90210000000000001</v>
      </c>
      <c r="E240">
        <v>30.39</v>
      </c>
      <c r="F240">
        <v>86.25</v>
      </c>
      <c r="K240" s="3"/>
      <c r="O240" s="3"/>
    </row>
    <row r="241" spans="1:15">
      <c r="A241" s="3">
        <v>36765</v>
      </c>
      <c r="B241" s="3">
        <v>36765</v>
      </c>
      <c r="C241">
        <v>142.59</v>
      </c>
      <c r="D241">
        <v>0.90210000000000001</v>
      </c>
      <c r="E241">
        <v>30.39</v>
      </c>
      <c r="F241">
        <v>86.25</v>
      </c>
      <c r="K241" s="3"/>
      <c r="O241" s="3"/>
    </row>
    <row r="242" spans="1:15">
      <c r="A242" s="3">
        <v>36766</v>
      </c>
      <c r="B242" s="3">
        <v>36766</v>
      </c>
      <c r="C242">
        <v>142.65</v>
      </c>
      <c r="D242">
        <v>0.9002</v>
      </c>
      <c r="E242">
        <v>30.39</v>
      </c>
      <c r="F242">
        <v>86</v>
      </c>
      <c r="K242" s="3"/>
      <c r="O242" s="3"/>
    </row>
    <row r="243" spans="1:15">
      <c r="A243" s="3">
        <v>36767</v>
      </c>
      <c r="B243" s="3">
        <v>36767</v>
      </c>
      <c r="C243">
        <v>142.65</v>
      </c>
      <c r="D243">
        <v>0.8921</v>
      </c>
      <c r="E243">
        <v>31.36</v>
      </c>
      <c r="F243">
        <v>87.9</v>
      </c>
      <c r="K243" s="3"/>
      <c r="O243" s="3"/>
    </row>
    <row r="244" spans="1:15">
      <c r="A244" s="3">
        <v>36768</v>
      </c>
      <c r="B244" s="3">
        <v>36768</v>
      </c>
      <c r="C244">
        <v>142.53</v>
      </c>
      <c r="D244">
        <v>0.89400000000000002</v>
      </c>
      <c r="E244">
        <v>31.98</v>
      </c>
      <c r="F244">
        <v>88.5</v>
      </c>
      <c r="K244" s="3"/>
      <c r="O244" s="3"/>
    </row>
    <row r="245" spans="1:15">
      <c r="A245" s="3">
        <v>36769</v>
      </c>
      <c r="B245" s="3">
        <v>36769</v>
      </c>
      <c r="C245">
        <v>142.65</v>
      </c>
      <c r="D245">
        <v>0.88780000000000003</v>
      </c>
      <c r="E245">
        <v>31.72</v>
      </c>
      <c r="F245">
        <v>88.5</v>
      </c>
      <c r="K245" s="3"/>
      <c r="O245" s="3"/>
    </row>
    <row r="246" spans="1:15">
      <c r="A246" s="3">
        <v>36770</v>
      </c>
      <c r="B246" s="3">
        <v>36770</v>
      </c>
      <c r="C246">
        <v>142.69</v>
      </c>
      <c r="D246">
        <v>0.89970000000000006</v>
      </c>
      <c r="E246">
        <v>31.85</v>
      </c>
      <c r="F246">
        <v>88.9</v>
      </c>
      <c r="K246" s="3"/>
      <c r="O246" s="3"/>
    </row>
    <row r="247" spans="1:15">
      <c r="A247" s="3">
        <v>36771</v>
      </c>
      <c r="B247" s="3">
        <v>36771</v>
      </c>
      <c r="C247">
        <v>142.69</v>
      </c>
      <c r="D247">
        <v>0.89970000000000006</v>
      </c>
      <c r="E247">
        <v>31.85</v>
      </c>
      <c r="F247">
        <v>88.9</v>
      </c>
      <c r="K247" s="3"/>
      <c r="O247" s="3"/>
    </row>
    <row r="248" spans="1:15">
      <c r="A248" s="3">
        <v>36772</v>
      </c>
      <c r="B248" s="3">
        <v>36772</v>
      </c>
      <c r="C248">
        <v>142.69</v>
      </c>
      <c r="D248">
        <v>0.89970000000000006</v>
      </c>
      <c r="E248">
        <v>31.85</v>
      </c>
      <c r="F248">
        <v>88.9</v>
      </c>
      <c r="K248" s="3"/>
      <c r="O248" s="3"/>
    </row>
    <row r="249" spans="1:15">
      <c r="A249" s="3">
        <v>36773</v>
      </c>
      <c r="B249" s="3">
        <v>36773</v>
      </c>
      <c r="C249">
        <v>142.72</v>
      </c>
      <c r="D249">
        <v>0.89780000000000004</v>
      </c>
      <c r="E249">
        <v>32.840000000000003</v>
      </c>
      <c r="F249">
        <v>88.9</v>
      </c>
      <c r="K249" s="3"/>
      <c r="O249" s="3"/>
    </row>
    <row r="250" spans="1:15">
      <c r="A250" s="3">
        <v>36774</v>
      </c>
      <c r="B250" s="3">
        <v>36774</v>
      </c>
      <c r="C250">
        <v>142.65</v>
      </c>
      <c r="D250">
        <v>0.89029999999999998</v>
      </c>
      <c r="E250">
        <v>32.979999999999997</v>
      </c>
      <c r="F250">
        <v>90.6</v>
      </c>
      <c r="K250" s="3"/>
      <c r="O250" s="3"/>
    </row>
    <row r="251" spans="1:15">
      <c r="A251" s="3">
        <v>36775</v>
      </c>
      <c r="B251" s="3">
        <v>36775</v>
      </c>
      <c r="C251">
        <v>142.81</v>
      </c>
      <c r="D251">
        <v>0.87019999999999997</v>
      </c>
      <c r="E251">
        <v>34.28</v>
      </c>
      <c r="F251">
        <v>90.15</v>
      </c>
      <c r="K251" s="3"/>
      <c r="O251" s="3"/>
    </row>
    <row r="252" spans="1:15">
      <c r="A252" s="3">
        <v>36776</v>
      </c>
      <c r="B252" s="3">
        <v>36776</v>
      </c>
      <c r="C252">
        <v>142.93</v>
      </c>
      <c r="D252">
        <v>0.87129999999999996</v>
      </c>
      <c r="E252">
        <v>34.549999999999997</v>
      </c>
      <c r="F252">
        <v>90.6</v>
      </c>
      <c r="K252" s="3"/>
      <c r="O252" s="3"/>
    </row>
    <row r="253" spans="1:15">
      <c r="A253" s="3">
        <v>36777</v>
      </c>
      <c r="B253" s="3">
        <v>36777</v>
      </c>
      <c r="C253">
        <v>142.94</v>
      </c>
      <c r="D253">
        <v>0.86719999999999997</v>
      </c>
      <c r="E253">
        <v>32.78</v>
      </c>
      <c r="F253">
        <v>91.2</v>
      </c>
      <c r="K253" s="3"/>
      <c r="O253" s="3"/>
    </row>
    <row r="254" spans="1:15">
      <c r="A254" s="3">
        <v>36778</v>
      </c>
      <c r="B254" s="3">
        <v>36778</v>
      </c>
      <c r="C254">
        <v>142.94</v>
      </c>
      <c r="D254">
        <v>0.86719999999999997</v>
      </c>
      <c r="E254">
        <v>32.78</v>
      </c>
      <c r="F254">
        <v>91.2</v>
      </c>
      <c r="K254" s="3"/>
      <c r="O254" s="3"/>
    </row>
    <row r="255" spans="1:15">
      <c r="A255" s="3">
        <v>36779</v>
      </c>
      <c r="B255" s="3">
        <v>36779</v>
      </c>
      <c r="C255">
        <v>142.94</v>
      </c>
      <c r="D255">
        <v>0.86719999999999997</v>
      </c>
      <c r="E255">
        <v>32.78</v>
      </c>
      <c r="F255">
        <v>91.2</v>
      </c>
      <c r="K255" s="3"/>
      <c r="O255" s="3"/>
    </row>
    <row r="256" spans="1:15">
      <c r="A256" s="3">
        <v>36780</v>
      </c>
      <c r="B256" s="3">
        <v>36780</v>
      </c>
      <c r="C256">
        <v>142.78</v>
      </c>
      <c r="D256">
        <v>0.85770000000000002</v>
      </c>
      <c r="E256">
        <v>33.619999999999997</v>
      </c>
      <c r="F256">
        <v>91.3</v>
      </c>
      <c r="K256" s="3"/>
      <c r="O256" s="3"/>
    </row>
    <row r="257" spans="1:15">
      <c r="A257" s="3">
        <v>36781</v>
      </c>
      <c r="B257" s="3">
        <v>36781</v>
      </c>
      <c r="C257">
        <v>142.69</v>
      </c>
      <c r="D257">
        <v>0.86399999999999999</v>
      </c>
      <c r="E257">
        <v>32.479999999999997</v>
      </c>
      <c r="F257">
        <v>92.85</v>
      </c>
      <c r="K257" s="3"/>
      <c r="O257" s="3"/>
    </row>
    <row r="258" spans="1:15">
      <c r="A258" s="3">
        <v>36782</v>
      </c>
      <c r="B258" s="3">
        <v>36782</v>
      </c>
      <c r="C258">
        <v>142.75</v>
      </c>
      <c r="D258">
        <v>0.85940000000000005</v>
      </c>
      <c r="E258">
        <v>31.53</v>
      </c>
      <c r="F258">
        <v>92.75</v>
      </c>
      <c r="K258" s="3"/>
      <c r="O258" s="3"/>
    </row>
    <row r="259" spans="1:15">
      <c r="A259" s="3">
        <v>36783</v>
      </c>
      <c r="B259" s="3">
        <v>36783</v>
      </c>
      <c r="C259">
        <v>142.68</v>
      </c>
      <c r="D259">
        <v>0.86439999999999995</v>
      </c>
      <c r="E259">
        <v>31.94</v>
      </c>
      <c r="F259">
        <v>92.55</v>
      </c>
      <c r="K259" s="3"/>
      <c r="O259" s="3"/>
    </row>
    <row r="260" spans="1:15">
      <c r="A260" s="3">
        <v>36784</v>
      </c>
      <c r="B260" s="3">
        <v>36784</v>
      </c>
      <c r="C260">
        <v>142.69999999999999</v>
      </c>
      <c r="D260">
        <v>0.85429999999999995</v>
      </c>
      <c r="E260">
        <v>33.979999999999997</v>
      </c>
      <c r="F260">
        <v>92</v>
      </c>
      <c r="K260" s="3"/>
      <c r="O260" s="3"/>
    </row>
    <row r="261" spans="1:15">
      <c r="A261" s="3">
        <v>36785</v>
      </c>
      <c r="B261" s="3">
        <v>36785</v>
      </c>
      <c r="C261">
        <v>142.69999999999999</v>
      </c>
      <c r="D261">
        <v>0.85429999999999995</v>
      </c>
      <c r="E261">
        <v>33.979999999999997</v>
      </c>
      <c r="F261">
        <v>92</v>
      </c>
      <c r="K261" s="3"/>
      <c r="O261" s="3"/>
    </row>
    <row r="262" spans="1:15">
      <c r="A262" s="3">
        <v>36786</v>
      </c>
      <c r="B262" s="3">
        <v>36786</v>
      </c>
      <c r="C262">
        <v>142.69999999999999</v>
      </c>
      <c r="D262">
        <v>0.85429999999999995</v>
      </c>
      <c r="E262">
        <v>33.979999999999997</v>
      </c>
      <c r="F262">
        <v>92</v>
      </c>
      <c r="K262" s="3"/>
      <c r="O262" s="3"/>
    </row>
    <row r="263" spans="1:15">
      <c r="A263" s="3">
        <v>36787</v>
      </c>
      <c r="B263" s="3">
        <v>36787</v>
      </c>
      <c r="C263">
        <v>142.75</v>
      </c>
      <c r="D263">
        <v>0.85370000000000001</v>
      </c>
      <c r="E263">
        <v>34.46</v>
      </c>
      <c r="F263">
        <v>91.85</v>
      </c>
      <c r="K263" s="3"/>
      <c r="O263" s="3"/>
    </row>
    <row r="264" spans="1:15">
      <c r="A264" s="3">
        <v>36788</v>
      </c>
      <c r="B264" s="3">
        <v>36788</v>
      </c>
      <c r="C264">
        <v>142.75</v>
      </c>
      <c r="D264">
        <v>0.85089999999999999</v>
      </c>
      <c r="E264">
        <v>33.630000000000003</v>
      </c>
      <c r="F264">
        <v>92.15</v>
      </c>
      <c r="K264" s="3"/>
      <c r="O264" s="3"/>
    </row>
    <row r="265" spans="1:15">
      <c r="A265" s="3">
        <v>36789</v>
      </c>
      <c r="B265" s="3">
        <v>36789</v>
      </c>
      <c r="C265">
        <v>142.58000000000001</v>
      </c>
      <c r="D265">
        <v>0.84930000000000005</v>
      </c>
      <c r="E265">
        <v>33.74</v>
      </c>
      <c r="F265">
        <v>90.15</v>
      </c>
      <c r="K265" s="3"/>
      <c r="O265" s="3"/>
    </row>
    <row r="266" spans="1:15">
      <c r="A266" s="3">
        <v>36790</v>
      </c>
      <c r="B266" s="3">
        <v>36790</v>
      </c>
      <c r="C266">
        <v>142.6</v>
      </c>
      <c r="D266">
        <v>0.8599</v>
      </c>
      <c r="E266">
        <v>32.729999999999997</v>
      </c>
      <c r="F266">
        <v>92.55</v>
      </c>
      <c r="K266" s="3"/>
      <c r="O266" s="3"/>
    </row>
    <row r="267" spans="1:15">
      <c r="A267" s="3">
        <v>36791</v>
      </c>
      <c r="B267" s="3">
        <v>36791</v>
      </c>
      <c r="C267">
        <v>142.75</v>
      </c>
      <c r="D267">
        <v>0.87660000000000005</v>
      </c>
      <c r="E267">
        <v>31.25</v>
      </c>
      <c r="F267">
        <v>91.95</v>
      </c>
      <c r="K267" s="3"/>
      <c r="O267" s="3"/>
    </row>
    <row r="268" spans="1:15">
      <c r="A268" s="3">
        <v>36792</v>
      </c>
      <c r="B268" s="3">
        <v>36792</v>
      </c>
      <c r="C268">
        <v>142.75</v>
      </c>
      <c r="D268">
        <v>0.87660000000000005</v>
      </c>
      <c r="E268">
        <v>31.25</v>
      </c>
      <c r="F268">
        <v>91.95</v>
      </c>
      <c r="K268" s="3"/>
      <c r="O268" s="3"/>
    </row>
    <row r="269" spans="1:15">
      <c r="A269" s="3">
        <v>36793</v>
      </c>
      <c r="B269" s="3">
        <v>36793</v>
      </c>
      <c r="C269">
        <v>142.75</v>
      </c>
      <c r="D269">
        <v>0.87660000000000005</v>
      </c>
      <c r="E269">
        <v>31.25</v>
      </c>
      <c r="F269">
        <v>91.95</v>
      </c>
      <c r="K269" s="3"/>
      <c r="O269" s="3"/>
    </row>
    <row r="270" spans="1:15">
      <c r="A270" s="3">
        <v>36794</v>
      </c>
      <c r="B270" s="3">
        <v>36794</v>
      </c>
      <c r="C270">
        <v>142.71</v>
      </c>
      <c r="D270">
        <v>0.87450000000000006</v>
      </c>
      <c r="E270">
        <v>30.24</v>
      </c>
      <c r="F270">
        <v>92.7</v>
      </c>
      <c r="K270" s="3"/>
      <c r="O270" s="3"/>
    </row>
    <row r="271" spans="1:15">
      <c r="A271" s="3">
        <v>36795</v>
      </c>
      <c r="B271" s="3">
        <v>36795</v>
      </c>
      <c r="C271">
        <v>142.63</v>
      </c>
      <c r="D271">
        <v>0.88280000000000003</v>
      </c>
      <c r="E271">
        <v>30.42</v>
      </c>
      <c r="F271">
        <v>91.65</v>
      </c>
      <c r="K271" s="3"/>
      <c r="O271" s="3"/>
    </row>
    <row r="272" spans="1:15">
      <c r="A272" s="3">
        <v>36796</v>
      </c>
      <c r="B272" s="3">
        <v>36796</v>
      </c>
      <c r="C272">
        <v>142.6</v>
      </c>
      <c r="D272">
        <v>0.88339999999999996</v>
      </c>
      <c r="E272">
        <v>30.54</v>
      </c>
      <c r="F272">
        <v>91.25</v>
      </c>
      <c r="K272" s="3"/>
      <c r="O272" s="3"/>
    </row>
    <row r="273" spans="1:15">
      <c r="A273" s="3">
        <v>36797</v>
      </c>
      <c r="B273" s="3">
        <v>36797</v>
      </c>
      <c r="C273">
        <v>142.75</v>
      </c>
      <c r="D273">
        <v>0.87909999999999999</v>
      </c>
      <c r="E273">
        <v>29.26</v>
      </c>
      <c r="F273">
        <v>91.9</v>
      </c>
      <c r="K273" s="3"/>
      <c r="O273" s="3"/>
    </row>
    <row r="274" spans="1:15">
      <c r="A274" s="3">
        <v>36798</v>
      </c>
      <c r="B274" s="3">
        <v>36798</v>
      </c>
      <c r="C274">
        <v>142.56</v>
      </c>
      <c r="D274">
        <v>0.88280000000000003</v>
      </c>
      <c r="E274">
        <v>29.84</v>
      </c>
      <c r="F274">
        <v>92.05</v>
      </c>
      <c r="K274" s="3"/>
      <c r="O274" s="3"/>
    </row>
    <row r="275" spans="1:15">
      <c r="A275" s="3">
        <v>36799</v>
      </c>
      <c r="B275" s="3">
        <v>36799</v>
      </c>
      <c r="C275">
        <v>142.56</v>
      </c>
      <c r="D275">
        <v>0.88280000000000003</v>
      </c>
      <c r="E275">
        <v>29.84</v>
      </c>
      <c r="F275">
        <v>92.05</v>
      </c>
      <c r="K275" s="3"/>
      <c r="O275" s="3"/>
    </row>
    <row r="276" spans="1:15">
      <c r="A276" s="3">
        <v>36800</v>
      </c>
      <c r="B276" s="3">
        <v>36800</v>
      </c>
      <c r="C276">
        <v>142.56</v>
      </c>
      <c r="D276">
        <v>0.88280000000000003</v>
      </c>
      <c r="E276">
        <v>29.84</v>
      </c>
      <c r="F276">
        <v>92.05</v>
      </c>
      <c r="K276" s="3"/>
      <c r="O276" s="3"/>
    </row>
    <row r="277" spans="1:15">
      <c r="A277" s="3">
        <v>36801</v>
      </c>
      <c r="B277" s="3">
        <v>36801</v>
      </c>
      <c r="C277">
        <v>142.5</v>
      </c>
      <c r="D277">
        <v>0.87729999999999997</v>
      </c>
      <c r="E277">
        <v>31.08</v>
      </c>
      <c r="F277">
        <v>89.9</v>
      </c>
      <c r="K277" s="3"/>
      <c r="O277" s="3"/>
    </row>
    <row r="278" spans="1:15">
      <c r="A278" s="3">
        <v>36802</v>
      </c>
      <c r="B278" s="3">
        <v>36802</v>
      </c>
      <c r="C278">
        <v>142.4</v>
      </c>
      <c r="D278">
        <v>0.87570000000000003</v>
      </c>
      <c r="E278">
        <v>31.05</v>
      </c>
      <c r="F278">
        <v>90.25</v>
      </c>
      <c r="K278" s="3"/>
      <c r="O278" s="3"/>
    </row>
    <row r="279" spans="1:15">
      <c r="A279" s="3">
        <v>36803</v>
      </c>
      <c r="B279" s="3">
        <v>36803</v>
      </c>
      <c r="C279">
        <v>142.4</v>
      </c>
      <c r="D279">
        <v>0.87460000000000004</v>
      </c>
      <c r="E279">
        <v>30.52</v>
      </c>
      <c r="F279">
        <v>89.9</v>
      </c>
      <c r="K279" s="3"/>
      <c r="O279" s="3"/>
    </row>
    <row r="280" spans="1:15">
      <c r="A280" s="3">
        <v>36804</v>
      </c>
      <c r="B280" s="3">
        <v>36804</v>
      </c>
      <c r="C280">
        <v>142.52000000000001</v>
      </c>
      <c r="D280">
        <v>0.86909999999999998</v>
      </c>
      <c r="E280">
        <v>29.89</v>
      </c>
      <c r="F280">
        <v>91.1</v>
      </c>
      <c r="K280" s="3"/>
      <c r="O280" s="3"/>
    </row>
    <row r="281" spans="1:15">
      <c r="A281" s="3">
        <v>36805</v>
      </c>
      <c r="B281" s="3">
        <v>36805</v>
      </c>
      <c r="C281">
        <v>142.51</v>
      </c>
      <c r="D281">
        <v>0.86839999999999995</v>
      </c>
      <c r="E281">
        <v>30.1</v>
      </c>
      <c r="F281">
        <v>90.6</v>
      </c>
      <c r="K281" s="3"/>
      <c r="O281" s="3"/>
    </row>
    <row r="282" spans="1:15">
      <c r="A282" s="3">
        <v>36806</v>
      </c>
      <c r="B282" s="3">
        <v>36806</v>
      </c>
      <c r="C282">
        <v>142.51</v>
      </c>
      <c r="D282">
        <v>0.86839999999999995</v>
      </c>
      <c r="E282">
        <v>30.1</v>
      </c>
      <c r="F282">
        <v>90.6</v>
      </c>
      <c r="K282" s="3"/>
      <c r="O282" s="3"/>
    </row>
    <row r="283" spans="1:15">
      <c r="A283" s="3">
        <v>36807</v>
      </c>
      <c r="B283" s="3">
        <v>36807</v>
      </c>
      <c r="C283">
        <v>142.51</v>
      </c>
      <c r="D283">
        <v>0.86839999999999995</v>
      </c>
      <c r="E283">
        <v>30.1</v>
      </c>
      <c r="F283">
        <v>90.6</v>
      </c>
      <c r="K283" s="3"/>
      <c r="O283" s="3"/>
    </row>
    <row r="284" spans="1:15">
      <c r="A284" s="3">
        <v>36808</v>
      </c>
      <c r="B284" s="3">
        <v>36808</v>
      </c>
      <c r="C284">
        <v>142.56</v>
      </c>
      <c r="D284">
        <v>0.86870000000000003</v>
      </c>
      <c r="E284">
        <v>30.76</v>
      </c>
      <c r="F284">
        <v>89.65</v>
      </c>
      <c r="K284" s="3"/>
      <c r="O284" s="3"/>
    </row>
    <row r="285" spans="1:15">
      <c r="A285" s="3">
        <v>36809</v>
      </c>
      <c r="B285" s="3">
        <v>36809</v>
      </c>
      <c r="C285">
        <v>142.6</v>
      </c>
      <c r="D285">
        <v>0.87160000000000004</v>
      </c>
      <c r="E285">
        <v>31.85</v>
      </c>
      <c r="F285">
        <v>90.55</v>
      </c>
      <c r="K285" s="3"/>
      <c r="O285" s="3"/>
    </row>
    <row r="286" spans="1:15">
      <c r="A286" s="3">
        <v>36810</v>
      </c>
      <c r="B286" s="3">
        <v>36810</v>
      </c>
      <c r="C286">
        <v>142.6</v>
      </c>
      <c r="D286">
        <v>0.86829999999999996</v>
      </c>
      <c r="E286">
        <v>31.79</v>
      </c>
      <c r="F286">
        <v>90.2</v>
      </c>
      <c r="K286" s="3"/>
      <c r="O286" s="3"/>
    </row>
    <row r="287" spans="1:15">
      <c r="A287" s="3">
        <v>36811</v>
      </c>
      <c r="B287" s="3">
        <v>36811</v>
      </c>
      <c r="C287">
        <v>142.66</v>
      </c>
      <c r="D287">
        <v>0.86299999999999999</v>
      </c>
      <c r="E287">
        <v>34.590000000000003</v>
      </c>
      <c r="F287">
        <v>88.2</v>
      </c>
      <c r="K287" s="3"/>
      <c r="O287" s="3"/>
    </row>
    <row r="288" spans="1:15">
      <c r="A288" s="3">
        <v>36812</v>
      </c>
      <c r="B288" s="3">
        <v>36812</v>
      </c>
      <c r="C288">
        <v>142.71</v>
      </c>
      <c r="D288">
        <v>0.85599999999999998</v>
      </c>
      <c r="E288">
        <v>32.520000000000003</v>
      </c>
      <c r="F288">
        <v>89.25</v>
      </c>
      <c r="K288" s="3"/>
      <c r="O288" s="3"/>
    </row>
    <row r="289" spans="1:15">
      <c r="A289" s="3">
        <v>36813</v>
      </c>
      <c r="B289" s="3">
        <v>36813</v>
      </c>
      <c r="C289">
        <v>142.71</v>
      </c>
      <c r="D289">
        <v>0.85599999999999998</v>
      </c>
      <c r="E289">
        <v>32.520000000000003</v>
      </c>
      <c r="F289">
        <v>89.25</v>
      </c>
      <c r="K289" s="3"/>
      <c r="O289" s="3"/>
    </row>
    <row r="290" spans="1:15">
      <c r="A290" s="3">
        <v>36814</v>
      </c>
      <c r="B290" s="3">
        <v>36814</v>
      </c>
      <c r="C290">
        <v>142.71</v>
      </c>
      <c r="D290">
        <v>0.85599999999999998</v>
      </c>
      <c r="E290">
        <v>32.520000000000003</v>
      </c>
      <c r="F290">
        <v>89.25</v>
      </c>
      <c r="K290" s="3"/>
      <c r="O290" s="3"/>
    </row>
    <row r="291" spans="1:15">
      <c r="A291" s="3">
        <v>36815</v>
      </c>
      <c r="B291" s="3">
        <v>36815</v>
      </c>
      <c r="C291">
        <v>142.72</v>
      </c>
      <c r="D291">
        <v>0.8498</v>
      </c>
      <c r="E291">
        <v>31.9</v>
      </c>
      <c r="F291">
        <v>89.4</v>
      </c>
      <c r="K291" s="3"/>
      <c r="O291" s="3"/>
    </row>
    <row r="292" spans="1:15">
      <c r="A292" s="3">
        <v>36816</v>
      </c>
      <c r="B292" s="3">
        <v>36816</v>
      </c>
      <c r="C292">
        <v>142.55000000000001</v>
      </c>
      <c r="D292">
        <v>0.85429999999999995</v>
      </c>
      <c r="E292">
        <v>31.13</v>
      </c>
      <c r="F292">
        <v>88.3</v>
      </c>
      <c r="K292" s="3"/>
      <c r="O292" s="3"/>
    </row>
    <row r="293" spans="1:15">
      <c r="A293" s="3">
        <v>36817</v>
      </c>
      <c r="B293" s="3">
        <v>36817</v>
      </c>
      <c r="C293">
        <v>142.65</v>
      </c>
      <c r="D293">
        <v>0.83889999999999998</v>
      </c>
      <c r="E293">
        <v>31.1</v>
      </c>
      <c r="F293">
        <v>87.2</v>
      </c>
      <c r="K293" s="3"/>
      <c r="O293" s="3"/>
    </row>
    <row r="294" spans="1:15">
      <c r="A294" s="3">
        <v>36818</v>
      </c>
      <c r="B294" s="3">
        <v>36818</v>
      </c>
      <c r="C294">
        <v>142.65</v>
      </c>
      <c r="D294">
        <v>0.84360000000000002</v>
      </c>
      <c r="E294">
        <v>30.74</v>
      </c>
      <c r="F294">
        <v>87.3</v>
      </c>
      <c r="K294" s="3"/>
      <c r="O294" s="3"/>
    </row>
    <row r="295" spans="1:15">
      <c r="A295" s="3">
        <v>36819</v>
      </c>
      <c r="B295" s="3">
        <v>36819</v>
      </c>
      <c r="C295">
        <v>142.68</v>
      </c>
      <c r="D295">
        <v>0.84209999999999996</v>
      </c>
      <c r="E295">
        <v>31.62</v>
      </c>
      <c r="F295">
        <v>86.2</v>
      </c>
      <c r="K295" s="3"/>
      <c r="O295" s="3"/>
    </row>
    <row r="296" spans="1:15">
      <c r="A296" s="3">
        <v>36820</v>
      </c>
      <c r="B296" s="3">
        <v>36820</v>
      </c>
      <c r="C296">
        <v>142.68</v>
      </c>
      <c r="D296">
        <v>0.84209999999999996</v>
      </c>
      <c r="E296">
        <v>31.62</v>
      </c>
      <c r="F296">
        <v>86.2</v>
      </c>
      <c r="K296" s="3"/>
      <c r="O296" s="3"/>
    </row>
    <row r="297" spans="1:15">
      <c r="A297" s="3">
        <v>36821</v>
      </c>
      <c r="B297" s="3">
        <v>36821</v>
      </c>
      <c r="C297">
        <v>142.68</v>
      </c>
      <c r="D297">
        <v>0.84209999999999996</v>
      </c>
      <c r="E297">
        <v>31.62</v>
      </c>
      <c r="F297">
        <v>86.2</v>
      </c>
      <c r="K297" s="3"/>
      <c r="O297" s="3"/>
    </row>
    <row r="298" spans="1:15">
      <c r="A298" s="3">
        <v>36822</v>
      </c>
      <c r="B298" s="3">
        <v>36822</v>
      </c>
      <c r="C298">
        <v>142.65</v>
      </c>
      <c r="D298">
        <v>0.83540000000000003</v>
      </c>
      <c r="E298">
        <v>32.090000000000003</v>
      </c>
      <c r="F298">
        <v>86.75</v>
      </c>
      <c r="K298" s="3"/>
      <c r="O298" s="3"/>
    </row>
    <row r="299" spans="1:15">
      <c r="A299" s="3">
        <v>36823</v>
      </c>
      <c r="B299" s="3">
        <v>36823</v>
      </c>
      <c r="C299">
        <v>142.68</v>
      </c>
      <c r="D299">
        <v>0.83589999999999998</v>
      </c>
      <c r="E299">
        <v>31.59</v>
      </c>
      <c r="F299">
        <v>86.55</v>
      </c>
      <c r="K299" s="3"/>
      <c r="O299" s="3"/>
    </row>
    <row r="300" spans="1:15">
      <c r="A300" s="3">
        <v>36824</v>
      </c>
      <c r="B300" s="3">
        <v>36824</v>
      </c>
      <c r="C300">
        <v>142.68</v>
      </c>
      <c r="D300">
        <v>0.82720000000000005</v>
      </c>
      <c r="E300">
        <v>31.36</v>
      </c>
      <c r="F300">
        <v>85.25</v>
      </c>
      <c r="K300" s="3"/>
      <c r="O300" s="3"/>
    </row>
    <row r="301" spans="1:15">
      <c r="A301" s="3">
        <v>36825</v>
      </c>
      <c r="B301" s="3">
        <v>36825</v>
      </c>
      <c r="C301">
        <v>142.62</v>
      </c>
      <c r="D301">
        <v>0.83030000000000004</v>
      </c>
      <c r="E301">
        <v>31.96</v>
      </c>
      <c r="F301">
        <v>83.15</v>
      </c>
      <c r="K301" s="3"/>
      <c r="O301" s="3"/>
    </row>
    <row r="302" spans="1:15">
      <c r="A302" s="3">
        <v>36826</v>
      </c>
      <c r="B302" s="3">
        <v>36826</v>
      </c>
      <c r="C302">
        <v>142.65</v>
      </c>
      <c r="D302">
        <v>0.83930000000000005</v>
      </c>
      <c r="E302">
        <v>30.95</v>
      </c>
      <c r="F302">
        <v>84.4</v>
      </c>
      <c r="K302" s="3"/>
      <c r="O302" s="3"/>
    </row>
    <row r="303" spans="1:15">
      <c r="A303" s="3">
        <v>36827</v>
      </c>
      <c r="B303" s="3">
        <v>36827</v>
      </c>
      <c r="C303">
        <v>142.65</v>
      </c>
      <c r="D303">
        <v>0.83930000000000005</v>
      </c>
      <c r="E303">
        <v>30.95</v>
      </c>
      <c r="F303">
        <v>84.4</v>
      </c>
      <c r="K303" s="3"/>
      <c r="O303" s="3"/>
    </row>
    <row r="304" spans="1:15">
      <c r="A304" s="3">
        <v>36828</v>
      </c>
      <c r="B304" s="3">
        <v>36828</v>
      </c>
      <c r="C304">
        <v>142.65</v>
      </c>
      <c r="D304">
        <v>0.83930000000000005</v>
      </c>
      <c r="E304">
        <v>30.95</v>
      </c>
      <c r="F304">
        <v>84.4</v>
      </c>
      <c r="K304" s="3"/>
      <c r="O304" s="3"/>
    </row>
    <row r="305" spans="1:15">
      <c r="A305" s="3">
        <v>36829</v>
      </c>
      <c r="B305" s="3">
        <v>36829</v>
      </c>
      <c r="C305">
        <v>142.55000000000001</v>
      </c>
      <c r="D305">
        <v>0.84109999999999996</v>
      </c>
      <c r="E305">
        <v>31.14</v>
      </c>
      <c r="F305">
        <v>84.45</v>
      </c>
      <c r="K305" s="3"/>
      <c r="O305" s="3"/>
    </row>
    <row r="306" spans="1:15">
      <c r="A306" s="3">
        <v>36830</v>
      </c>
      <c r="B306" s="3">
        <v>36830</v>
      </c>
      <c r="C306">
        <v>142.58000000000001</v>
      </c>
      <c r="D306">
        <v>0.84889999999999999</v>
      </c>
      <c r="E306">
        <v>30.76</v>
      </c>
      <c r="F306">
        <v>84.85</v>
      </c>
      <c r="K306" s="3"/>
      <c r="O306" s="3"/>
    </row>
    <row r="307" spans="1:15">
      <c r="A307" s="3">
        <v>36831</v>
      </c>
      <c r="B307" s="3">
        <v>36831</v>
      </c>
      <c r="C307">
        <v>142.63999999999999</v>
      </c>
      <c r="D307">
        <v>0.86119999999999997</v>
      </c>
      <c r="E307">
        <v>31.31</v>
      </c>
      <c r="F307">
        <v>83.6</v>
      </c>
      <c r="K307" s="3"/>
      <c r="O307" s="3"/>
    </row>
    <row r="308" spans="1:15">
      <c r="A308" s="3">
        <v>36832</v>
      </c>
      <c r="B308" s="3">
        <v>36832</v>
      </c>
      <c r="C308">
        <v>142.76</v>
      </c>
      <c r="D308">
        <v>0.85840000000000005</v>
      </c>
      <c r="E308">
        <v>30.78</v>
      </c>
      <c r="F308">
        <v>83.8</v>
      </c>
      <c r="K308" s="3"/>
      <c r="O308" s="3"/>
    </row>
    <row r="309" spans="1:15">
      <c r="A309" s="3">
        <v>36833</v>
      </c>
      <c r="B309" s="3">
        <v>36833</v>
      </c>
      <c r="C309">
        <v>142.85</v>
      </c>
      <c r="D309">
        <v>0.86660000000000004</v>
      </c>
      <c r="E309">
        <v>30.85</v>
      </c>
      <c r="F309">
        <v>83.85</v>
      </c>
      <c r="K309" s="3"/>
      <c r="O309" s="3"/>
    </row>
    <row r="310" spans="1:15">
      <c r="A310" s="3">
        <v>36834</v>
      </c>
      <c r="B310" s="3">
        <v>36834</v>
      </c>
      <c r="C310">
        <v>142.85</v>
      </c>
      <c r="D310">
        <v>0.86660000000000004</v>
      </c>
      <c r="E310">
        <v>30.85</v>
      </c>
      <c r="F310">
        <v>83.85</v>
      </c>
      <c r="K310" s="3"/>
      <c r="O310" s="3"/>
    </row>
    <row r="311" spans="1:15">
      <c r="A311" s="3">
        <v>36835</v>
      </c>
      <c r="B311" s="3">
        <v>36835</v>
      </c>
      <c r="C311">
        <v>142.85</v>
      </c>
      <c r="D311">
        <v>0.86660000000000004</v>
      </c>
      <c r="E311">
        <v>30.85</v>
      </c>
      <c r="F311">
        <v>83.85</v>
      </c>
      <c r="K311" s="3"/>
      <c r="O311" s="3"/>
    </row>
    <row r="312" spans="1:15">
      <c r="A312" s="3">
        <v>36836</v>
      </c>
      <c r="B312" s="3">
        <v>36836</v>
      </c>
      <c r="C312">
        <v>142.80000000000001</v>
      </c>
      <c r="D312">
        <v>0.86250000000000004</v>
      </c>
      <c r="E312">
        <v>31.29</v>
      </c>
      <c r="F312">
        <v>82.75</v>
      </c>
      <c r="K312" s="3"/>
      <c r="O312" s="3"/>
    </row>
    <row r="313" spans="1:15">
      <c r="A313" s="3">
        <v>36837</v>
      </c>
      <c r="B313" s="3">
        <v>36837</v>
      </c>
      <c r="C313">
        <v>142.65</v>
      </c>
      <c r="D313">
        <v>0.86</v>
      </c>
      <c r="E313">
        <v>31.68</v>
      </c>
      <c r="F313">
        <v>83.05</v>
      </c>
      <c r="K313" s="3"/>
      <c r="O313" s="3"/>
    </row>
    <row r="314" spans="1:15">
      <c r="A314" s="3">
        <v>36838</v>
      </c>
      <c r="B314" s="3">
        <v>36838</v>
      </c>
      <c r="C314">
        <v>142.69999999999999</v>
      </c>
      <c r="D314">
        <v>0.85550000000000004</v>
      </c>
      <c r="E314">
        <v>31.32</v>
      </c>
      <c r="F314">
        <v>83.6</v>
      </c>
      <c r="K314" s="3"/>
      <c r="O314" s="3"/>
    </row>
    <row r="315" spans="1:15">
      <c r="A315" s="3">
        <v>36839</v>
      </c>
      <c r="B315" s="3">
        <v>36839</v>
      </c>
      <c r="C315">
        <v>142.69999999999999</v>
      </c>
      <c r="D315">
        <v>0.86660000000000004</v>
      </c>
      <c r="E315">
        <v>32.159999999999997</v>
      </c>
      <c r="F315">
        <v>84.05</v>
      </c>
      <c r="K315" s="3"/>
      <c r="O315" s="3"/>
    </row>
    <row r="316" spans="1:15">
      <c r="A316" s="3">
        <v>36840</v>
      </c>
      <c r="B316" s="3">
        <v>36840</v>
      </c>
      <c r="C316">
        <v>142.69999999999999</v>
      </c>
      <c r="D316">
        <v>0.85960000000000003</v>
      </c>
      <c r="E316">
        <v>32.020000000000003</v>
      </c>
      <c r="F316">
        <v>83.85</v>
      </c>
      <c r="K316" s="3"/>
      <c r="O316" s="3"/>
    </row>
    <row r="317" spans="1:15">
      <c r="A317" s="3">
        <v>36841</v>
      </c>
      <c r="B317" s="3">
        <v>36841</v>
      </c>
      <c r="C317">
        <v>142.69999999999999</v>
      </c>
      <c r="D317">
        <v>0.85960000000000003</v>
      </c>
      <c r="E317">
        <v>32.020000000000003</v>
      </c>
      <c r="F317">
        <v>83.85</v>
      </c>
      <c r="K317" s="3"/>
      <c r="O317" s="3"/>
    </row>
    <row r="318" spans="1:15">
      <c r="A318" s="3">
        <v>36842</v>
      </c>
      <c r="B318" s="3">
        <v>36842</v>
      </c>
      <c r="C318">
        <v>142.69999999999999</v>
      </c>
      <c r="D318">
        <v>0.85960000000000003</v>
      </c>
      <c r="E318">
        <v>32.020000000000003</v>
      </c>
      <c r="F318">
        <v>83.85</v>
      </c>
      <c r="K318" s="3"/>
      <c r="O318" s="3"/>
    </row>
    <row r="319" spans="1:15">
      <c r="A319" s="3">
        <v>36843</v>
      </c>
      <c r="B319" s="3">
        <v>36843</v>
      </c>
      <c r="C319">
        <v>144</v>
      </c>
      <c r="D319">
        <v>0.85709999999999997</v>
      </c>
      <c r="E319">
        <v>32.94</v>
      </c>
      <c r="F319">
        <v>82.1</v>
      </c>
      <c r="K319" s="3"/>
      <c r="O319" s="3"/>
    </row>
    <row r="320" spans="1:15">
      <c r="A320" s="3">
        <v>36844</v>
      </c>
      <c r="B320" s="3">
        <v>36844</v>
      </c>
      <c r="C320">
        <v>144</v>
      </c>
      <c r="D320">
        <v>0.85760000000000003</v>
      </c>
      <c r="E320">
        <v>32.69</v>
      </c>
      <c r="F320">
        <v>82.75</v>
      </c>
      <c r="K320" s="3"/>
      <c r="O320" s="3"/>
    </row>
    <row r="321" spans="1:15">
      <c r="A321" s="3">
        <v>36845</v>
      </c>
      <c r="B321" s="3">
        <v>36845</v>
      </c>
      <c r="C321">
        <v>144.21</v>
      </c>
      <c r="D321">
        <v>0.85750000000000004</v>
      </c>
      <c r="E321">
        <v>33.9</v>
      </c>
      <c r="F321">
        <v>82.7</v>
      </c>
      <c r="K321" s="3"/>
      <c r="O321" s="3"/>
    </row>
    <row r="322" spans="1:15">
      <c r="A322" s="3">
        <v>36846</v>
      </c>
      <c r="B322" s="3">
        <v>36846</v>
      </c>
      <c r="C322">
        <v>144</v>
      </c>
      <c r="D322">
        <v>0.85319999999999996</v>
      </c>
      <c r="E322">
        <v>32.770000000000003</v>
      </c>
      <c r="F322">
        <v>82</v>
      </c>
      <c r="K322" s="3"/>
      <c r="O322" s="3"/>
    </row>
    <row r="323" spans="1:15">
      <c r="A323" s="3">
        <v>36847</v>
      </c>
      <c r="B323" s="3">
        <v>36847</v>
      </c>
      <c r="C323">
        <v>144</v>
      </c>
      <c r="D323">
        <v>0.8478</v>
      </c>
      <c r="E323">
        <v>33.08</v>
      </c>
      <c r="F323">
        <v>82.45</v>
      </c>
      <c r="K323" s="3"/>
      <c r="O323" s="3"/>
    </row>
    <row r="324" spans="1:15">
      <c r="A324" s="3">
        <v>36848</v>
      </c>
      <c r="B324" s="3">
        <v>36848</v>
      </c>
      <c r="C324">
        <v>144</v>
      </c>
      <c r="D324">
        <v>0.8478</v>
      </c>
      <c r="E324">
        <v>33.08</v>
      </c>
      <c r="F324">
        <v>82.45</v>
      </c>
      <c r="K324" s="3"/>
      <c r="O324" s="3"/>
    </row>
    <row r="325" spans="1:15">
      <c r="A325" s="3">
        <v>36849</v>
      </c>
      <c r="B325" s="3">
        <v>36849</v>
      </c>
      <c r="C325">
        <v>144</v>
      </c>
      <c r="D325">
        <v>0.8478</v>
      </c>
      <c r="E325">
        <v>33.08</v>
      </c>
      <c r="F325">
        <v>82.45</v>
      </c>
      <c r="K325" s="3"/>
      <c r="O325" s="3"/>
    </row>
    <row r="326" spans="1:15">
      <c r="A326" s="3">
        <v>36850</v>
      </c>
      <c r="B326" s="3">
        <v>36850</v>
      </c>
      <c r="C326">
        <v>143.84</v>
      </c>
      <c r="D326">
        <v>0.85140000000000005</v>
      </c>
      <c r="E326">
        <v>33.07</v>
      </c>
      <c r="F326">
        <v>82.5</v>
      </c>
      <c r="K326" s="3"/>
      <c r="O326" s="3"/>
    </row>
    <row r="327" spans="1:15">
      <c r="A327" s="3">
        <v>36851</v>
      </c>
      <c r="B327" s="3">
        <v>36851</v>
      </c>
      <c r="C327">
        <v>144.1</v>
      </c>
      <c r="D327">
        <v>0.84399999999999997</v>
      </c>
      <c r="E327">
        <v>33.1</v>
      </c>
      <c r="F327">
        <v>82.8</v>
      </c>
      <c r="K327" s="3"/>
      <c r="O327" s="3"/>
    </row>
    <row r="328" spans="1:15">
      <c r="A328" s="3">
        <v>36852</v>
      </c>
      <c r="B328" s="3">
        <v>36852</v>
      </c>
      <c r="C328">
        <v>143.94999999999999</v>
      </c>
      <c r="D328">
        <v>0.84570000000000001</v>
      </c>
      <c r="E328">
        <v>33.24</v>
      </c>
      <c r="F328">
        <v>82.1</v>
      </c>
      <c r="K328" s="3"/>
      <c r="O328" s="3"/>
    </row>
    <row r="329" spans="1:15">
      <c r="A329" s="3">
        <v>36853</v>
      </c>
      <c r="B329" s="3">
        <v>36853</v>
      </c>
      <c r="C329">
        <v>143.91999999999999</v>
      </c>
      <c r="D329">
        <v>0.83930000000000005</v>
      </c>
      <c r="E329">
        <v>33.28</v>
      </c>
      <c r="F329">
        <v>82.1</v>
      </c>
      <c r="K329" s="3"/>
      <c r="O329" s="3"/>
    </row>
    <row r="330" spans="1:15">
      <c r="A330" s="3">
        <v>36854</v>
      </c>
      <c r="B330" s="3">
        <v>36854</v>
      </c>
      <c r="C330">
        <v>144.15</v>
      </c>
      <c r="D330">
        <v>0.83799999999999997</v>
      </c>
      <c r="E330">
        <v>33.119999999999997</v>
      </c>
      <c r="F330">
        <v>82.1</v>
      </c>
      <c r="K330" s="3"/>
      <c r="O330" s="3"/>
    </row>
    <row r="331" spans="1:15">
      <c r="A331" s="3">
        <v>36855</v>
      </c>
      <c r="B331" s="3">
        <v>36855</v>
      </c>
      <c r="C331">
        <v>144.15</v>
      </c>
      <c r="D331">
        <v>0.83799999999999997</v>
      </c>
      <c r="E331">
        <v>33.119999999999997</v>
      </c>
      <c r="F331">
        <v>82.1</v>
      </c>
      <c r="K331" s="3"/>
      <c r="O331" s="3"/>
    </row>
    <row r="332" spans="1:15">
      <c r="A332" s="3">
        <v>36856</v>
      </c>
      <c r="B332" s="3">
        <v>36856</v>
      </c>
      <c r="C332">
        <v>144.15</v>
      </c>
      <c r="D332">
        <v>0.83799999999999997</v>
      </c>
      <c r="E332">
        <v>33.119999999999997</v>
      </c>
      <c r="F332">
        <v>82.1</v>
      </c>
      <c r="K332" s="3"/>
      <c r="O332" s="3"/>
    </row>
    <row r="333" spans="1:15">
      <c r="A333" s="3">
        <v>36857</v>
      </c>
      <c r="B333" s="3">
        <v>36857</v>
      </c>
      <c r="C333">
        <v>144.12</v>
      </c>
      <c r="D333">
        <v>0.85289999999999999</v>
      </c>
      <c r="E333">
        <v>33.06</v>
      </c>
      <c r="F333">
        <v>84.2</v>
      </c>
      <c r="K333" s="3"/>
      <c r="O333" s="3"/>
    </row>
    <row r="334" spans="1:15">
      <c r="A334" s="3">
        <v>36858</v>
      </c>
      <c r="B334" s="3">
        <v>36858</v>
      </c>
      <c r="C334">
        <v>144.1</v>
      </c>
      <c r="D334">
        <v>0.85589999999999999</v>
      </c>
      <c r="E334">
        <v>32.19</v>
      </c>
      <c r="F334">
        <v>85.2</v>
      </c>
      <c r="K334" s="3"/>
      <c r="O334" s="3"/>
    </row>
    <row r="335" spans="1:15">
      <c r="A335" s="3">
        <v>36859</v>
      </c>
      <c r="B335" s="3">
        <v>36859</v>
      </c>
      <c r="C335">
        <v>144.1</v>
      </c>
      <c r="D335">
        <v>0.85780000000000001</v>
      </c>
      <c r="E335">
        <v>32.68</v>
      </c>
      <c r="F335">
        <v>85.2</v>
      </c>
      <c r="K335" s="3"/>
      <c r="O335" s="3"/>
    </row>
    <row r="336" spans="1:15">
      <c r="A336" s="3">
        <v>36860</v>
      </c>
      <c r="B336" s="3">
        <v>36860</v>
      </c>
      <c r="C336">
        <v>144.1</v>
      </c>
      <c r="D336">
        <v>0.87290000000000001</v>
      </c>
      <c r="E336">
        <v>31.88</v>
      </c>
      <c r="F336">
        <v>84.1</v>
      </c>
      <c r="K336" s="3"/>
      <c r="O336" s="3"/>
    </row>
    <row r="337" spans="1:15">
      <c r="A337" s="3">
        <v>36861</v>
      </c>
      <c r="B337" s="3">
        <v>36861</v>
      </c>
      <c r="C337">
        <v>144.1</v>
      </c>
      <c r="D337">
        <v>0.87990000000000002</v>
      </c>
      <c r="E337">
        <v>30.17</v>
      </c>
      <c r="F337">
        <v>85.95</v>
      </c>
      <c r="K337" s="3"/>
      <c r="O337" s="3"/>
    </row>
    <row r="338" spans="1:15">
      <c r="A338" s="3">
        <v>36862</v>
      </c>
      <c r="B338" s="3">
        <v>36862</v>
      </c>
      <c r="C338">
        <v>144.1</v>
      </c>
      <c r="D338">
        <v>0.87990000000000002</v>
      </c>
      <c r="E338">
        <v>30.17</v>
      </c>
      <c r="F338">
        <v>85.95</v>
      </c>
      <c r="K338" s="3"/>
      <c r="O338" s="3"/>
    </row>
    <row r="339" spans="1:15">
      <c r="A339" s="3">
        <v>36863</v>
      </c>
      <c r="B339" s="3">
        <v>36863</v>
      </c>
      <c r="C339">
        <v>144.1</v>
      </c>
      <c r="D339">
        <v>0.87990000000000002</v>
      </c>
      <c r="E339">
        <v>30.17</v>
      </c>
      <c r="F339">
        <v>85.95</v>
      </c>
      <c r="K339" s="3"/>
      <c r="O339" s="3"/>
    </row>
    <row r="340" spans="1:15">
      <c r="A340" s="3">
        <v>36864</v>
      </c>
      <c r="B340" s="3">
        <v>36864</v>
      </c>
      <c r="C340">
        <v>144.15</v>
      </c>
      <c r="D340">
        <v>0.88570000000000004</v>
      </c>
      <c r="E340">
        <v>29.34</v>
      </c>
      <c r="F340">
        <v>86.05</v>
      </c>
      <c r="K340" s="3"/>
      <c r="O340" s="3"/>
    </row>
    <row r="341" spans="1:15">
      <c r="A341" s="3">
        <v>36865</v>
      </c>
      <c r="B341" s="3">
        <v>36865</v>
      </c>
      <c r="C341">
        <v>144.15</v>
      </c>
      <c r="D341">
        <v>0.87990000000000002</v>
      </c>
      <c r="E341">
        <v>27.79</v>
      </c>
      <c r="F341">
        <v>86.9</v>
      </c>
      <c r="K341" s="3"/>
      <c r="O341" s="3"/>
    </row>
    <row r="342" spans="1:15">
      <c r="A342" s="3">
        <v>36866</v>
      </c>
      <c r="B342" s="3">
        <v>36866</v>
      </c>
      <c r="C342">
        <v>144.15</v>
      </c>
      <c r="D342">
        <v>0.89200000000000002</v>
      </c>
      <c r="E342">
        <v>28.01</v>
      </c>
      <c r="F342">
        <v>87.7</v>
      </c>
      <c r="K342" s="3"/>
      <c r="O342" s="3"/>
    </row>
    <row r="343" spans="1:15">
      <c r="A343" s="3">
        <v>36867</v>
      </c>
      <c r="B343" s="3">
        <v>36867</v>
      </c>
      <c r="C343">
        <v>144.15</v>
      </c>
      <c r="D343">
        <v>0.88849999999999996</v>
      </c>
      <c r="E343">
        <v>27.47</v>
      </c>
      <c r="F343">
        <v>87.85</v>
      </c>
      <c r="K343" s="3"/>
      <c r="O343" s="3"/>
    </row>
    <row r="344" spans="1:15">
      <c r="A344" s="3">
        <v>36868</v>
      </c>
      <c r="B344" s="3">
        <v>36868</v>
      </c>
      <c r="C344">
        <v>144.15</v>
      </c>
      <c r="D344">
        <v>0.88880000000000003</v>
      </c>
      <c r="E344">
        <v>26.56</v>
      </c>
      <c r="F344">
        <v>88.75</v>
      </c>
      <c r="K344" s="3"/>
      <c r="O344" s="3"/>
    </row>
    <row r="345" spans="1:15">
      <c r="A345" s="3">
        <v>36869</v>
      </c>
      <c r="B345" s="3">
        <v>36869</v>
      </c>
      <c r="C345">
        <v>144.15</v>
      </c>
      <c r="D345">
        <v>0.88880000000000003</v>
      </c>
      <c r="E345">
        <v>26.56</v>
      </c>
      <c r="F345">
        <v>88.75</v>
      </c>
      <c r="K345" s="3"/>
      <c r="O345" s="3"/>
    </row>
    <row r="346" spans="1:15">
      <c r="A346" s="3">
        <v>36870</v>
      </c>
      <c r="B346" s="3">
        <v>36870</v>
      </c>
      <c r="C346">
        <v>144.15</v>
      </c>
      <c r="D346">
        <v>0.88880000000000003</v>
      </c>
      <c r="E346">
        <v>26.56</v>
      </c>
      <c r="F346">
        <v>88.75</v>
      </c>
      <c r="K346" s="3"/>
      <c r="O346" s="3"/>
    </row>
    <row r="347" spans="1:15">
      <c r="A347" s="3">
        <v>36871</v>
      </c>
      <c r="B347" s="3">
        <v>36871</v>
      </c>
      <c r="C347">
        <v>144.66</v>
      </c>
      <c r="D347">
        <v>0.87829999999999997</v>
      </c>
      <c r="E347">
        <v>27.54</v>
      </c>
      <c r="F347">
        <v>88.95</v>
      </c>
      <c r="K347" s="3"/>
      <c r="O347" s="3"/>
    </row>
    <row r="348" spans="1:15">
      <c r="A348" s="3">
        <v>36872</v>
      </c>
      <c r="B348" s="3">
        <v>36872</v>
      </c>
      <c r="C348">
        <v>144.66999999999999</v>
      </c>
      <c r="D348">
        <v>0.87939999999999996</v>
      </c>
      <c r="E348">
        <v>27.06</v>
      </c>
      <c r="F348">
        <v>88.35</v>
      </c>
      <c r="K348" s="3"/>
      <c r="O348" s="3"/>
    </row>
    <row r="349" spans="1:15">
      <c r="A349" s="3">
        <v>36873</v>
      </c>
      <c r="B349" s="3">
        <v>36873</v>
      </c>
      <c r="C349">
        <v>144.69</v>
      </c>
      <c r="D349">
        <v>0.877</v>
      </c>
      <c r="E349">
        <v>25.14</v>
      </c>
      <c r="F349">
        <v>88.05</v>
      </c>
      <c r="K349" s="3"/>
      <c r="O349" s="3"/>
    </row>
    <row r="350" spans="1:15">
      <c r="A350" s="3">
        <v>36874</v>
      </c>
      <c r="B350" s="3">
        <v>36874</v>
      </c>
      <c r="C350">
        <v>144.25</v>
      </c>
      <c r="D350">
        <v>0.89229999999999998</v>
      </c>
      <c r="E350">
        <v>25.36</v>
      </c>
      <c r="F350">
        <v>88.9</v>
      </c>
      <c r="K350" s="3"/>
      <c r="O350" s="3"/>
    </row>
    <row r="351" spans="1:15">
      <c r="A351" s="3">
        <v>36875</v>
      </c>
      <c r="B351" s="3">
        <v>36875</v>
      </c>
      <c r="C351">
        <v>144.25</v>
      </c>
      <c r="D351">
        <v>0.89659999999999995</v>
      </c>
      <c r="E351">
        <v>25.89</v>
      </c>
      <c r="F351">
        <v>87.25</v>
      </c>
      <c r="K351" s="3"/>
      <c r="O351" s="3"/>
    </row>
    <row r="352" spans="1:15">
      <c r="A352" s="3">
        <v>36876</v>
      </c>
      <c r="B352" s="3">
        <v>36876</v>
      </c>
      <c r="C352">
        <v>144.25</v>
      </c>
      <c r="D352">
        <v>0.89659999999999995</v>
      </c>
      <c r="E352">
        <v>25.89</v>
      </c>
      <c r="F352">
        <v>87.25</v>
      </c>
      <c r="K352" s="3"/>
      <c r="O352" s="3"/>
    </row>
    <row r="353" spans="1:15">
      <c r="A353" s="3">
        <v>36877</v>
      </c>
      <c r="B353" s="3">
        <v>36877</v>
      </c>
      <c r="C353">
        <v>144.25</v>
      </c>
      <c r="D353">
        <v>0.89659999999999995</v>
      </c>
      <c r="E353">
        <v>25.89</v>
      </c>
      <c r="F353">
        <v>87.25</v>
      </c>
      <c r="K353" s="3"/>
      <c r="O353" s="3"/>
    </row>
    <row r="354" spans="1:15">
      <c r="A354" s="3">
        <v>36878</v>
      </c>
      <c r="B354" s="3">
        <v>36878</v>
      </c>
      <c r="C354">
        <v>144.71</v>
      </c>
      <c r="D354">
        <v>0.89600000000000002</v>
      </c>
      <c r="E354">
        <v>26.24</v>
      </c>
      <c r="F354">
        <v>87.45</v>
      </c>
      <c r="K354" s="3"/>
      <c r="O354" s="3"/>
    </row>
    <row r="355" spans="1:15">
      <c r="A355" s="3">
        <v>36879</v>
      </c>
      <c r="B355" s="3">
        <v>36879</v>
      </c>
      <c r="C355">
        <v>144.4</v>
      </c>
      <c r="D355">
        <v>0.89529999999999998</v>
      </c>
      <c r="E355">
        <v>25</v>
      </c>
      <c r="F355">
        <v>87.4</v>
      </c>
      <c r="K355" s="3"/>
      <c r="O355" s="3"/>
    </row>
    <row r="356" spans="1:15">
      <c r="A356" s="3">
        <v>36880</v>
      </c>
      <c r="B356" s="3">
        <v>36880</v>
      </c>
      <c r="C356">
        <v>144.4</v>
      </c>
      <c r="D356">
        <v>0.9093</v>
      </c>
      <c r="E356">
        <v>22.97</v>
      </c>
      <c r="F356">
        <v>86.3</v>
      </c>
      <c r="K356" s="3"/>
      <c r="O356" s="3"/>
    </row>
    <row r="357" spans="1:15">
      <c r="A357" s="3">
        <v>36881</v>
      </c>
      <c r="B357" s="3">
        <v>36881</v>
      </c>
      <c r="C357">
        <v>144.4</v>
      </c>
      <c r="D357">
        <v>0.91659999999999997</v>
      </c>
      <c r="E357">
        <v>23.61</v>
      </c>
      <c r="F357">
        <v>85.6</v>
      </c>
      <c r="K357" s="3"/>
      <c r="O357" s="3"/>
    </row>
    <row r="358" spans="1:15">
      <c r="A358" s="3">
        <v>36882</v>
      </c>
      <c r="B358" s="3">
        <v>36882</v>
      </c>
      <c r="C358">
        <v>145.02000000000001</v>
      </c>
      <c r="D358">
        <v>0.92320000000000002</v>
      </c>
      <c r="E358">
        <v>23.66</v>
      </c>
      <c r="F358">
        <v>86</v>
      </c>
      <c r="K358" s="3"/>
      <c r="O358" s="3"/>
    </row>
    <row r="359" spans="1:15">
      <c r="A359" s="3">
        <v>36883</v>
      </c>
      <c r="B359" s="3">
        <v>36883</v>
      </c>
      <c r="C359">
        <v>145.02000000000001</v>
      </c>
      <c r="D359">
        <v>0.92320000000000002</v>
      </c>
      <c r="E359">
        <v>23.66</v>
      </c>
      <c r="F359">
        <v>86</v>
      </c>
      <c r="K359" s="3"/>
      <c r="O359" s="3"/>
    </row>
    <row r="360" spans="1:15">
      <c r="A360" s="3">
        <v>36884</v>
      </c>
      <c r="B360" s="3">
        <v>36884</v>
      </c>
      <c r="C360">
        <v>145.02000000000001</v>
      </c>
      <c r="D360">
        <v>0.92320000000000002</v>
      </c>
      <c r="E360">
        <v>23.66</v>
      </c>
      <c r="F360">
        <v>86</v>
      </c>
      <c r="K360" s="3"/>
      <c r="O360" s="3"/>
    </row>
    <row r="361" spans="1:15">
      <c r="A361" s="3">
        <v>36885</v>
      </c>
      <c r="B361" s="3">
        <v>36885</v>
      </c>
      <c r="C361">
        <v>145.02000000000001</v>
      </c>
      <c r="D361">
        <v>0.92569999999999997</v>
      </c>
      <c r="E361">
        <v>23.66</v>
      </c>
      <c r="F361">
        <v>86</v>
      </c>
      <c r="K361" s="3"/>
      <c r="O361" s="3"/>
    </row>
    <row r="362" spans="1:15">
      <c r="A362" s="3">
        <v>36886</v>
      </c>
      <c r="B362" s="3">
        <v>36886</v>
      </c>
      <c r="C362">
        <v>144.5</v>
      </c>
      <c r="D362">
        <v>0.93030000000000002</v>
      </c>
      <c r="E362">
        <v>23.66</v>
      </c>
      <c r="F362">
        <v>86.35</v>
      </c>
      <c r="K362" s="3"/>
      <c r="O362" s="3"/>
    </row>
    <row r="363" spans="1:15">
      <c r="A363" s="3">
        <v>36887</v>
      </c>
      <c r="B363" s="3">
        <v>36887</v>
      </c>
      <c r="C363">
        <v>145.11000000000001</v>
      </c>
      <c r="D363">
        <v>0.93120000000000003</v>
      </c>
      <c r="E363">
        <v>24.04</v>
      </c>
      <c r="F363">
        <v>84.75</v>
      </c>
      <c r="K363" s="3"/>
      <c r="O363" s="3"/>
    </row>
    <row r="364" spans="1:15">
      <c r="A364" s="3">
        <v>36888</v>
      </c>
      <c r="B364" s="3">
        <v>36888</v>
      </c>
      <c r="C364">
        <v>144.5</v>
      </c>
      <c r="D364">
        <v>0.92959999999999998</v>
      </c>
      <c r="E364">
        <v>23.71</v>
      </c>
      <c r="F364">
        <v>84.95</v>
      </c>
      <c r="K364" s="3"/>
      <c r="O364" s="3"/>
    </row>
    <row r="365" spans="1:15">
      <c r="A365" s="3">
        <v>36889</v>
      </c>
      <c r="B365" s="3">
        <v>36889</v>
      </c>
      <c r="C365">
        <v>144.5</v>
      </c>
      <c r="D365">
        <v>0.94269999999999998</v>
      </c>
      <c r="E365">
        <v>23.87</v>
      </c>
      <c r="F365">
        <v>84.3</v>
      </c>
      <c r="K365" s="3"/>
      <c r="O365" s="3"/>
    </row>
    <row r="366" spans="1:15">
      <c r="A366" s="3">
        <v>36890</v>
      </c>
      <c r="B366" s="3">
        <v>36890</v>
      </c>
      <c r="C366">
        <v>144.5</v>
      </c>
      <c r="D366">
        <v>0.94269999999999998</v>
      </c>
      <c r="E366">
        <v>23.87</v>
      </c>
      <c r="F366">
        <v>84.3</v>
      </c>
      <c r="K366" s="3"/>
      <c r="O366" s="3"/>
    </row>
    <row r="367" spans="1:15">
      <c r="A367" s="3">
        <v>36891</v>
      </c>
      <c r="B367" s="3">
        <v>36891</v>
      </c>
      <c r="C367">
        <v>144.5</v>
      </c>
      <c r="D367">
        <v>0.94269999999999998</v>
      </c>
      <c r="E367">
        <v>23.87</v>
      </c>
      <c r="F367">
        <v>84.3</v>
      </c>
      <c r="K367" s="3"/>
      <c r="O367" s="3"/>
    </row>
    <row r="368" spans="1:15">
      <c r="A368" s="3">
        <v>36892</v>
      </c>
      <c r="B368" s="3">
        <v>36892</v>
      </c>
      <c r="C368">
        <v>144.5</v>
      </c>
      <c r="D368">
        <v>0.94230000000000003</v>
      </c>
      <c r="E368">
        <v>23.87</v>
      </c>
      <c r="F368">
        <v>84.3</v>
      </c>
      <c r="K368" s="3"/>
      <c r="O368" s="3"/>
    </row>
    <row r="369" spans="1:15">
      <c r="A369" s="3">
        <v>36893</v>
      </c>
      <c r="B369" s="3">
        <v>36893</v>
      </c>
      <c r="C369">
        <v>145.56</v>
      </c>
      <c r="D369">
        <v>0.95169999999999999</v>
      </c>
      <c r="E369">
        <v>24.3</v>
      </c>
      <c r="F369">
        <v>81.150000000000006</v>
      </c>
      <c r="K369" s="3"/>
      <c r="O369" s="3"/>
    </row>
    <row r="370" spans="1:15">
      <c r="A370" s="3">
        <v>36894</v>
      </c>
      <c r="B370" s="3">
        <v>36894</v>
      </c>
      <c r="C370">
        <v>145.61000000000001</v>
      </c>
      <c r="D370">
        <v>0.92800000000000005</v>
      </c>
      <c r="E370">
        <v>25.03</v>
      </c>
      <c r="F370">
        <v>81.7</v>
      </c>
      <c r="K370" s="3"/>
      <c r="O370" s="3"/>
    </row>
    <row r="371" spans="1:15">
      <c r="A371" s="3">
        <v>36895</v>
      </c>
      <c r="B371" s="3">
        <v>36895</v>
      </c>
      <c r="C371">
        <v>145</v>
      </c>
      <c r="D371">
        <v>0.94950000000000001</v>
      </c>
      <c r="E371">
        <v>25.35</v>
      </c>
      <c r="F371">
        <v>81.099999999999994</v>
      </c>
      <c r="K371" s="3"/>
      <c r="O371" s="3"/>
    </row>
    <row r="372" spans="1:15">
      <c r="A372" s="3">
        <v>36896</v>
      </c>
      <c r="B372" s="3">
        <v>36896</v>
      </c>
      <c r="C372">
        <v>145</v>
      </c>
      <c r="D372">
        <v>0.95699999999999996</v>
      </c>
      <c r="E372">
        <v>25.18</v>
      </c>
      <c r="F372">
        <v>82.45</v>
      </c>
      <c r="K372" s="3"/>
      <c r="O372" s="3"/>
    </row>
    <row r="373" spans="1:15">
      <c r="A373" s="3">
        <v>36897</v>
      </c>
      <c r="B373" s="3">
        <v>36897</v>
      </c>
      <c r="C373">
        <v>145</v>
      </c>
      <c r="D373">
        <v>0.95699999999999996</v>
      </c>
      <c r="E373">
        <v>25.18</v>
      </c>
      <c r="F373">
        <v>82.45</v>
      </c>
      <c r="K373" s="3"/>
      <c r="O373" s="3"/>
    </row>
    <row r="374" spans="1:15">
      <c r="A374" s="3">
        <v>36898</v>
      </c>
      <c r="B374" s="3">
        <v>36898</v>
      </c>
      <c r="C374">
        <v>145</v>
      </c>
      <c r="D374">
        <v>0.95699999999999996</v>
      </c>
      <c r="E374">
        <v>25.18</v>
      </c>
      <c r="F374">
        <v>82.45</v>
      </c>
      <c r="K374" s="3"/>
      <c r="O374" s="3"/>
    </row>
    <row r="375" spans="1:15">
      <c r="A375" s="3">
        <v>36899</v>
      </c>
      <c r="B375" s="3">
        <v>36899</v>
      </c>
      <c r="C375">
        <v>145.44</v>
      </c>
      <c r="D375">
        <v>0.94669999999999999</v>
      </c>
      <c r="E375">
        <v>24.43</v>
      </c>
      <c r="F375">
        <v>82.85</v>
      </c>
      <c r="K375" s="3"/>
      <c r="O375" s="3"/>
    </row>
    <row r="376" spans="1:15">
      <c r="A376" s="3">
        <v>36900</v>
      </c>
      <c r="B376" s="3">
        <v>36900</v>
      </c>
      <c r="C376">
        <v>145.1</v>
      </c>
      <c r="D376">
        <v>0.94340000000000002</v>
      </c>
      <c r="E376">
        <v>24.59</v>
      </c>
      <c r="F376">
        <v>82.5</v>
      </c>
      <c r="K376" s="3"/>
      <c r="O376" s="3"/>
    </row>
    <row r="377" spans="1:15">
      <c r="A377" s="3">
        <v>36901</v>
      </c>
      <c r="B377" s="3">
        <v>36901</v>
      </c>
      <c r="C377">
        <v>145.1</v>
      </c>
      <c r="D377">
        <v>0.93700000000000006</v>
      </c>
      <c r="E377">
        <v>25.34</v>
      </c>
      <c r="F377">
        <v>82.6</v>
      </c>
      <c r="K377" s="3"/>
      <c r="O377" s="3"/>
    </row>
    <row r="378" spans="1:15">
      <c r="A378" s="3">
        <v>36902</v>
      </c>
      <c r="B378" s="3">
        <v>36902</v>
      </c>
      <c r="C378">
        <v>145.1</v>
      </c>
      <c r="D378">
        <v>0.95189999999999997</v>
      </c>
      <c r="E378">
        <v>25.61</v>
      </c>
      <c r="F378">
        <v>83.05</v>
      </c>
      <c r="K378" s="3"/>
      <c r="O378" s="3"/>
    </row>
    <row r="379" spans="1:15">
      <c r="A379" s="3">
        <v>36903</v>
      </c>
      <c r="B379" s="3">
        <v>36903</v>
      </c>
      <c r="C379">
        <v>145.1</v>
      </c>
      <c r="D379">
        <v>0.95130000000000003</v>
      </c>
      <c r="E379">
        <v>25.75</v>
      </c>
      <c r="F379">
        <v>84.15</v>
      </c>
      <c r="K379" s="3"/>
      <c r="O379" s="3"/>
    </row>
    <row r="380" spans="1:15">
      <c r="A380" s="3">
        <v>36904</v>
      </c>
      <c r="B380" s="3">
        <v>36904</v>
      </c>
      <c r="C380">
        <v>145.1</v>
      </c>
      <c r="D380">
        <v>0.95130000000000003</v>
      </c>
      <c r="E380">
        <v>25.75</v>
      </c>
      <c r="F380">
        <v>84.15</v>
      </c>
      <c r="K380" s="3"/>
      <c r="O380" s="3"/>
    </row>
    <row r="381" spans="1:15">
      <c r="A381" s="3">
        <v>36905</v>
      </c>
      <c r="B381" s="3">
        <v>36905</v>
      </c>
      <c r="C381">
        <v>145.1</v>
      </c>
      <c r="D381">
        <v>0.95130000000000003</v>
      </c>
      <c r="E381">
        <v>25.75</v>
      </c>
      <c r="F381">
        <v>84.15</v>
      </c>
      <c r="K381" s="3"/>
      <c r="O381" s="3"/>
    </row>
    <row r="382" spans="1:15">
      <c r="A382" s="3">
        <v>36906</v>
      </c>
      <c r="B382" s="3">
        <v>36906</v>
      </c>
      <c r="C382">
        <v>145.29</v>
      </c>
      <c r="D382">
        <v>0.94199999999999995</v>
      </c>
      <c r="E382">
        <v>26.18</v>
      </c>
      <c r="F382">
        <v>84.15</v>
      </c>
      <c r="K382" s="3"/>
      <c r="O382" s="3"/>
    </row>
    <row r="383" spans="1:15">
      <c r="A383" s="3">
        <v>36907</v>
      </c>
      <c r="B383" s="3">
        <v>36907</v>
      </c>
      <c r="C383">
        <v>145.03</v>
      </c>
      <c r="D383">
        <v>0.94269999999999998</v>
      </c>
      <c r="E383">
        <v>26.2</v>
      </c>
      <c r="F383">
        <v>82.3</v>
      </c>
      <c r="K383" s="3"/>
      <c r="O383" s="3"/>
    </row>
    <row r="384" spans="1:15">
      <c r="A384" s="3">
        <v>36908</v>
      </c>
      <c r="B384" s="3">
        <v>36908</v>
      </c>
      <c r="C384">
        <v>145.25</v>
      </c>
      <c r="D384">
        <v>0.93579999999999997</v>
      </c>
      <c r="E384">
        <v>24.79</v>
      </c>
      <c r="F384">
        <v>82.75</v>
      </c>
      <c r="K384" s="3"/>
      <c r="O384" s="3"/>
    </row>
    <row r="385" spans="1:15">
      <c r="A385" s="3">
        <v>36909</v>
      </c>
      <c r="B385" s="3">
        <v>36909</v>
      </c>
      <c r="C385">
        <v>145.13</v>
      </c>
      <c r="D385">
        <v>0.94299999999999995</v>
      </c>
      <c r="E385">
        <v>25.62</v>
      </c>
      <c r="F385">
        <v>86.15</v>
      </c>
      <c r="K385" s="3"/>
      <c r="O385" s="3"/>
    </row>
    <row r="386" spans="1:15">
      <c r="A386" s="3">
        <v>36910</v>
      </c>
      <c r="B386" s="3">
        <v>36910</v>
      </c>
      <c r="C386">
        <v>145.09</v>
      </c>
      <c r="D386">
        <v>0.93420000000000003</v>
      </c>
      <c r="E386">
        <v>27.04</v>
      </c>
      <c r="F386">
        <v>84.75</v>
      </c>
      <c r="K386" s="3"/>
      <c r="O386" s="3"/>
    </row>
    <row r="387" spans="1:15">
      <c r="A387" s="3">
        <v>36911</v>
      </c>
      <c r="B387" s="3">
        <v>36911</v>
      </c>
      <c r="C387">
        <v>145.09</v>
      </c>
      <c r="D387">
        <v>0.93420000000000003</v>
      </c>
      <c r="E387">
        <v>27.04</v>
      </c>
      <c r="F387">
        <v>84.75</v>
      </c>
      <c r="K387" s="3"/>
      <c r="O387" s="3"/>
    </row>
    <row r="388" spans="1:15">
      <c r="A388" s="3">
        <v>36912</v>
      </c>
      <c r="B388" s="3">
        <v>36912</v>
      </c>
      <c r="C388">
        <v>145.09</v>
      </c>
      <c r="D388">
        <v>0.93420000000000003</v>
      </c>
      <c r="E388">
        <v>27.04</v>
      </c>
      <c r="F388">
        <v>84.75</v>
      </c>
      <c r="K388" s="3"/>
      <c r="O388" s="3"/>
    </row>
    <row r="389" spans="1:15">
      <c r="A389" s="3">
        <v>36913</v>
      </c>
      <c r="B389" s="3">
        <v>36913</v>
      </c>
      <c r="C389">
        <v>145.09</v>
      </c>
      <c r="D389">
        <v>0.93869999999999998</v>
      </c>
      <c r="E389">
        <v>26.53</v>
      </c>
      <c r="F389">
        <v>84.75</v>
      </c>
      <c r="K389" s="3"/>
      <c r="O389" s="3"/>
    </row>
    <row r="390" spans="1:15">
      <c r="A390" s="3">
        <v>36914</v>
      </c>
      <c r="B390" s="3">
        <v>36914</v>
      </c>
      <c r="C390">
        <v>145.06</v>
      </c>
      <c r="D390">
        <v>0.93579999999999997</v>
      </c>
      <c r="E390">
        <v>26.67</v>
      </c>
      <c r="F390">
        <v>84.85</v>
      </c>
      <c r="K390" s="3"/>
      <c r="O390" s="3"/>
    </row>
    <row r="391" spans="1:15">
      <c r="A391" s="3">
        <v>36915</v>
      </c>
      <c r="B391" s="3">
        <v>36915</v>
      </c>
      <c r="C391">
        <v>145.06</v>
      </c>
      <c r="D391">
        <v>0.92359999999999998</v>
      </c>
      <c r="E391">
        <v>26.26</v>
      </c>
      <c r="F391">
        <v>83.5</v>
      </c>
      <c r="K391" s="3"/>
      <c r="O391" s="3"/>
    </row>
    <row r="392" spans="1:15">
      <c r="A392" s="3">
        <v>36916</v>
      </c>
      <c r="B392" s="3">
        <v>36916</v>
      </c>
      <c r="C392">
        <v>145.08000000000001</v>
      </c>
      <c r="D392">
        <v>0.9244</v>
      </c>
      <c r="E392">
        <v>26.46</v>
      </c>
      <c r="F392">
        <v>83.7</v>
      </c>
      <c r="K392" s="3"/>
      <c r="O392" s="3"/>
    </row>
    <row r="393" spans="1:15">
      <c r="A393" s="3">
        <v>36917</v>
      </c>
      <c r="B393" s="3">
        <v>36917</v>
      </c>
      <c r="C393">
        <v>145.08000000000001</v>
      </c>
      <c r="D393">
        <v>0.9244</v>
      </c>
      <c r="E393">
        <v>26.98</v>
      </c>
      <c r="F393">
        <v>84</v>
      </c>
      <c r="K393" s="3"/>
      <c r="O393" s="3"/>
    </row>
    <row r="394" spans="1:15">
      <c r="A394" s="3">
        <v>36918</v>
      </c>
      <c r="B394" s="3">
        <v>36918</v>
      </c>
      <c r="C394">
        <v>145.08000000000001</v>
      </c>
      <c r="D394">
        <v>0.9244</v>
      </c>
      <c r="E394">
        <v>26.98</v>
      </c>
      <c r="F394">
        <v>84</v>
      </c>
      <c r="K394" s="3"/>
      <c r="O394" s="3"/>
    </row>
    <row r="395" spans="1:15">
      <c r="A395" s="3">
        <v>36919</v>
      </c>
      <c r="B395" s="3">
        <v>36919</v>
      </c>
      <c r="C395">
        <v>145.08000000000001</v>
      </c>
      <c r="D395">
        <v>0.9244</v>
      </c>
      <c r="E395">
        <v>26.98</v>
      </c>
      <c r="F395">
        <v>84</v>
      </c>
      <c r="K395" s="3"/>
      <c r="O395" s="3"/>
    </row>
    <row r="396" spans="1:15">
      <c r="A396" s="3">
        <v>36920</v>
      </c>
      <c r="B396" s="3">
        <v>36920</v>
      </c>
      <c r="C396">
        <v>145.15</v>
      </c>
      <c r="D396">
        <v>0.91720000000000002</v>
      </c>
      <c r="E396">
        <v>26.6</v>
      </c>
      <c r="F396">
        <v>83.25</v>
      </c>
      <c r="K396" s="3"/>
      <c r="O396" s="3"/>
    </row>
    <row r="397" spans="1:15">
      <c r="A397" s="3">
        <v>36921</v>
      </c>
      <c r="B397" s="3">
        <v>36921</v>
      </c>
      <c r="C397">
        <v>145.11000000000001</v>
      </c>
      <c r="D397">
        <v>0.92679999999999996</v>
      </c>
      <c r="E397">
        <v>26.89</v>
      </c>
      <c r="F397">
        <v>84.1</v>
      </c>
      <c r="K397" s="3"/>
      <c r="O397" s="3"/>
    </row>
    <row r="398" spans="1:15">
      <c r="A398" s="3">
        <v>36922</v>
      </c>
      <c r="B398" s="3">
        <v>36922</v>
      </c>
      <c r="C398">
        <v>145.1</v>
      </c>
      <c r="D398">
        <v>0.93659999999999999</v>
      </c>
      <c r="E398">
        <v>26.66</v>
      </c>
      <c r="F398">
        <v>84.55</v>
      </c>
      <c r="K398" s="3"/>
      <c r="O398" s="3"/>
    </row>
    <row r="399" spans="1:15">
      <c r="A399" s="3">
        <v>36923</v>
      </c>
      <c r="B399" s="3">
        <v>36923</v>
      </c>
      <c r="C399">
        <v>145.19999999999999</v>
      </c>
      <c r="D399">
        <v>0.93879999999999997</v>
      </c>
      <c r="E399">
        <v>28.1</v>
      </c>
      <c r="F399">
        <v>84.7</v>
      </c>
      <c r="K399" s="3"/>
      <c r="O399" s="3"/>
    </row>
    <row r="400" spans="1:15">
      <c r="A400" s="3">
        <v>36924</v>
      </c>
      <c r="B400" s="3">
        <v>36924</v>
      </c>
      <c r="C400">
        <v>145.16999999999999</v>
      </c>
      <c r="D400">
        <v>0.93640000000000001</v>
      </c>
      <c r="E400">
        <v>29.19</v>
      </c>
      <c r="F400">
        <v>84.15</v>
      </c>
      <c r="K400" s="3"/>
      <c r="O400" s="3"/>
    </row>
    <row r="401" spans="1:15">
      <c r="A401" s="3">
        <v>36925</v>
      </c>
      <c r="B401" s="3">
        <v>36925</v>
      </c>
      <c r="C401">
        <v>145.16999999999999</v>
      </c>
      <c r="D401">
        <v>0.93640000000000001</v>
      </c>
      <c r="E401">
        <v>29.19</v>
      </c>
      <c r="F401">
        <v>84.15</v>
      </c>
      <c r="K401" s="3"/>
      <c r="O401" s="3"/>
    </row>
    <row r="402" spans="1:15">
      <c r="A402" s="3">
        <v>36926</v>
      </c>
      <c r="B402" s="3">
        <v>36926</v>
      </c>
      <c r="C402">
        <v>145.16999999999999</v>
      </c>
      <c r="D402">
        <v>0.93640000000000001</v>
      </c>
      <c r="E402">
        <v>29.19</v>
      </c>
      <c r="F402">
        <v>84.15</v>
      </c>
      <c r="K402" s="3"/>
      <c r="O402" s="3"/>
    </row>
    <row r="403" spans="1:15">
      <c r="A403" s="3">
        <v>36927</v>
      </c>
      <c r="B403" s="3">
        <v>36927</v>
      </c>
      <c r="C403">
        <v>145.25</v>
      </c>
      <c r="D403">
        <v>0.9375</v>
      </c>
      <c r="E403">
        <v>28.45</v>
      </c>
      <c r="F403">
        <v>82.5</v>
      </c>
      <c r="K403" s="3"/>
      <c r="O403" s="3"/>
    </row>
    <row r="404" spans="1:15">
      <c r="A404" s="3">
        <v>36928</v>
      </c>
      <c r="B404" s="3">
        <v>36928</v>
      </c>
      <c r="C404">
        <v>145.19999999999999</v>
      </c>
      <c r="D404">
        <v>0.93100000000000005</v>
      </c>
      <c r="E404">
        <v>28.7</v>
      </c>
      <c r="F404">
        <v>83.05</v>
      </c>
      <c r="K404" s="3"/>
      <c r="O404" s="3"/>
    </row>
    <row r="405" spans="1:15">
      <c r="A405" s="3">
        <v>36929</v>
      </c>
      <c r="B405" s="3">
        <v>36929</v>
      </c>
      <c r="C405">
        <v>145.15</v>
      </c>
      <c r="D405">
        <v>0.92849999999999999</v>
      </c>
      <c r="E405">
        <v>29.91</v>
      </c>
      <c r="F405">
        <v>82.85</v>
      </c>
      <c r="K405" s="3"/>
      <c r="O405" s="3"/>
    </row>
    <row r="406" spans="1:15">
      <c r="A406" s="3">
        <v>36930</v>
      </c>
      <c r="B406" s="3">
        <v>36930</v>
      </c>
      <c r="C406">
        <v>145.35</v>
      </c>
      <c r="D406">
        <v>0.91749999999999998</v>
      </c>
      <c r="E406">
        <v>29.84</v>
      </c>
      <c r="F406">
        <v>82.95</v>
      </c>
      <c r="K406" s="3"/>
      <c r="O406" s="3"/>
    </row>
    <row r="407" spans="1:15">
      <c r="A407" s="3">
        <v>36931</v>
      </c>
      <c r="B407" s="3">
        <v>36931</v>
      </c>
      <c r="C407">
        <v>145.41999999999999</v>
      </c>
      <c r="D407">
        <v>0.92420000000000002</v>
      </c>
      <c r="E407">
        <v>29.25</v>
      </c>
      <c r="F407">
        <v>82</v>
      </c>
      <c r="K407" s="3"/>
      <c r="O407" s="3"/>
    </row>
    <row r="408" spans="1:15">
      <c r="A408" s="3">
        <v>36932</v>
      </c>
      <c r="B408" s="3">
        <v>36932</v>
      </c>
      <c r="C408">
        <v>145.41999999999999</v>
      </c>
      <c r="D408">
        <v>0.92420000000000002</v>
      </c>
      <c r="E408">
        <v>29.25</v>
      </c>
      <c r="F408">
        <v>82</v>
      </c>
      <c r="K408" s="3"/>
      <c r="O408" s="3"/>
    </row>
    <row r="409" spans="1:15">
      <c r="A409" s="3">
        <v>36933</v>
      </c>
      <c r="B409" s="3">
        <v>36933</v>
      </c>
      <c r="C409">
        <v>145.41999999999999</v>
      </c>
      <c r="D409">
        <v>0.92420000000000002</v>
      </c>
      <c r="E409">
        <v>29.25</v>
      </c>
      <c r="F409">
        <v>82</v>
      </c>
      <c r="K409" s="3"/>
      <c r="O409" s="3"/>
    </row>
    <row r="410" spans="1:15">
      <c r="A410" s="3">
        <v>36934</v>
      </c>
      <c r="B410" s="3">
        <v>36934</v>
      </c>
      <c r="C410">
        <v>145.52000000000001</v>
      </c>
      <c r="D410">
        <v>0.93220000000000003</v>
      </c>
      <c r="E410">
        <v>29</v>
      </c>
      <c r="F410">
        <v>81.75</v>
      </c>
      <c r="K410" s="3"/>
      <c r="O410" s="3"/>
    </row>
    <row r="411" spans="1:15">
      <c r="A411" s="3">
        <v>36935</v>
      </c>
      <c r="B411" s="3">
        <v>36935</v>
      </c>
      <c r="C411">
        <v>145.25</v>
      </c>
      <c r="D411">
        <v>0.92079999999999995</v>
      </c>
      <c r="E411">
        <v>28.46</v>
      </c>
      <c r="F411">
        <v>82.45</v>
      </c>
      <c r="K411" s="3"/>
      <c r="O411" s="3"/>
    </row>
    <row r="412" spans="1:15">
      <c r="A412" s="3">
        <v>36936</v>
      </c>
      <c r="B412" s="3">
        <v>36936</v>
      </c>
      <c r="C412">
        <v>145.25</v>
      </c>
      <c r="D412">
        <v>0.91800000000000004</v>
      </c>
      <c r="E412">
        <v>27.28</v>
      </c>
      <c r="F412">
        <v>82.2</v>
      </c>
      <c r="K412" s="3"/>
      <c r="O412" s="3"/>
    </row>
    <row r="413" spans="1:15">
      <c r="A413" s="3">
        <v>36937</v>
      </c>
      <c r="B413" s="3">
        <v>36937</v>
      </c>
      <c r="C413">
        <v>145.25</v>
      </c>
      <c r="D413">
        <v>0.90529999999999999</v>
      </c>
      <c r="E413">
        <v>26.64</v>
      </c>
      <c r="F413">
        <v>82.8</v>
      </c>
      <c r="K413" s="3"/>
      <c r="O413" s="3"/>
    </row>
    <row r="414" spans="1:15">
      <c r="A414" s="3">
        <v>36938</v>
      </c>
      <c r="B414" s="3">
        <v>36938</v>
      </c>
      <c r="C414">
        <v>145.28</v>
      </c>
      <c r="D414">
        <v>0.91500000000000004</v>
      </c>
      <c r="E414">
        <v>26.89</v>
      </c>
      <c r="F414">
        <v>82.5</v>
      </c>
      <c r="K414" s="3"/>
      <c r="O414" s="3"/>
    </row>
    <row r="415" spans="1:15">
      <c r="A415" s="3">
        <v>36939</v>
      </c>
      <c r="B415" s="3">
        <v>36939</v>
      </c>
      <c r="C415">
        <v>145.28</v>
      </c>
      <c r="D415">
        <v>0.91500000000000004</v>
      </c>
      <c r="E415">
        <v>26.89</v>
      </c>
      <c r="F415">
        <v>82.5</v>
      </c>
      <c r="K415" s="3"/>
      <c r="O415" s="3"/>
    </row>
    <row r="416" spans="1:15">
      <c r="A416" s="3">
        <v>36940</v>
      </c>
      <c r="B416" s="3">
        <v>36940</v>
      </c>
      <c r="C416">
        <v>145.28</v>
      </c>
      <c r="D416">
        <v>0.91500000000000004</v>
      </c>
      <c r="E416">
        <v>26.89</v>
      </c>
      <c r="F416">
        <v>82.5</v>
      </c>
      <c r="K416" s="3"/>
      <c r="O416" s="3"/>
    </row>
    <row r="417" spans="1:15">
      <c r="A417" s="3">
        <v>36941</v>
      </c>
      <c r="B417" s="3">
        <v>36941</v>
      </c>
      <c r="C417">
        <v>145.34</v>
      </c>
      <c r="D417">
        <v>0.9214</v>
      </c>
      <c r="E417">
        <v>27.31</v>
      </c>
      <c r="F417">
        <v>82.5</v>
      </c>
      <c r="K417" s="3"/>
      <c r="O417" s="3"/>
    </row>
    <row r="418" spans="1:15">
      <c r="A418" s="3">
        <v>36942</v>
      </c>
      <c r="B418" s="3">
        <v>36942</v>
      </c>
      <c r="C418">
        <v>145.30000000000001</v>
      </c>
      <c r="D418">
        <v>0.91139999999999999</v>
      </c>
      <c r="E418">
        <v>26.62</v>
      </c>
      <c r="F418">
        <v>82.05</v>
      </c>
      <c r="K418" s="3"/>
      <c r="O418" s="3"/>
    </row>
    <row r="419" spans="1:15">
      <c r="A419" s="3">
        <v>36943</v>
      </c>
      <c r="B419" s="3">
        <v>36943</v>
      </c>
      <c r="C419">
        <v>145.30000000000001</v>
      </c>
      <c r="D419">
        <v>0.91010000000000002</v>
      </c>
      <c r="E419">
        <v>26.37</v>
      </c>
      <c r="F419">
        <v>80.05</v>
      </c>
      <c r="K419" s="3"/>
      <c r="O419" s="3"/>
    </row>
    <row r="420" spans="1:15">
      <c r="A420" s="3">
        <v>36944</v>
      </c>
      <c r="B420" s="3">
        <v>36944</v>
      </c>
      <c r="C420">
        <v>145.29</v>
      </c>
      <c r="D420">
        <v>0.90380000000000005</v>
      </c>
      <c r="E420">
        <v>26.46</v>
      </c>
      <c r="F420">
        <v>80.099999999999994</v>
      </c>
      <c r="K420" s="3"/>
      <c r="O420" s="3"/>
    </row>
    <row r="421" spans="1:15">
      <c r="A421" s="3">
        <v>36945</v>
      </c>
      <c r="B421" s="3">
        <v>36945</v>
      </c>
      <c r="C421">
        <v>145.31</v>
      </c>
      <c r="D421">
        <v>0.91759999999999997</v>
      </c>
      <c r="E421">
        <v>26.52</v>
      </c>
      <c r="F421">
        <v>79.599999999999994</v>
      </c>
      <c r="K421" s="3"/>
      <c r="O421" s="3"/>
    </row>
    <row r="422" spans="1:15">
      <c r="A422" s="3">
        <v>36946</v>
      </c>
      <c r="B422" s="3">
        <v>36946</v>
      </c>
      <c r="C422">
        <v>145.31</v>
      </c>
      <c r="D422">
        <v>0.91759999999999997</v>
      </c>
      <c r="E422">
        <v>26.52</v>
      </c>
      <c r="F422">
        <v>79.599999999999994</v>
      </c>
      <c r="K422" s="3"/>
      <c r="O422" s="3"/>
    </row>
    <row r="423" spans="1:15">
      <c r="A423" s="3">
        <v>36947</v>
      </c>
      <c r="B423" s="3">
        <v>36947</v>
      </c>
      <c r="C423">
        <v>145.31</v>
      </c>
      <c r="D423">
        <v>0.91759999999999997</v>
      </c>
      <c r="E423">
        <v>26.52</v>
      </c>
      <c r="F423">
        <v>79.599999999999994</v>
      </c>
      <c r="K423" s="3"/>
      <c r="O423" s="3"/>
    </row>
    <row r="424" spans="1:15">
      <c r="A424" s="3">
        <v>36948</v>
      </c>
      <c r="B424" s="3">
        <v>36948</v>
      </c>
      <c r="C424">
        <v>145.30000000000001</v>
      </c>
      <c r="D424">
        <v>0.91100000000000003</v>
      </c>
      <c r="E424">
        <v>26.11</v>
      </c>
      <c r="F424">
        <v>80.45</v>
      </c>
      <c r="K424" s="3"/>
      <c r="O424" s="3"/>
    </row>
    <row r="425" spans="1:15">
      <c r="A425" s="3">
        <v>36949</v>
      </c>
      <c r="B425" s="3">
        <v>36949</v>
      </c>
      <c r="C425">
        <v>145.30000000000001</v>
      </c>
      <c r="D425">
        <v>0.91759999999999997</v>
      </c>
      <c r="E425">
        <v>26.02</v>
      </c>
      <c r="F425">
        <v>80.099999999999994</v>
      </c>
      <c r="K425" s="3"/>
      <c r="O425" s="3"/>
    </row>
    <row r="426" spans="1:15">
      <c r="A426" s="3">
        <v>36950</v>
      </c>
      <c r="B426" s="3">
        <v>36950</v>
      </c>
      <c r="C426">
        <v>145.28</v>
      </c>
      <c r="D426">
        <v>0.92359999999999998</v>
      </c>
      <c r="E426">
        <v>25.57</v>
      </c>
      <c r="F426">
        <v>81</v>
      </c>
      <c r="K426" s="3"/>
      <c r="O426" s="3"/>
    </row>
    <row r="427" spans="1:15">
      <c r="A427" s="3">
        <v>36951</v>
      </c>
      <c r="B427" s="3">
        <v>36951</v>
      </c>
      <c r="C427">
        <v>145.34</v>
      </c>
      <c r="D427">
        <v>0.9304</v>
      </c>
      <c r="E427">
        <v>25.85</v>
      </c>
      <c r="F427">
        <v>82.1</v>
      </c>
      <c r="K427" s="3"/>
      <c r="O427" s="3"/>
    </row>
    <row r="428" spans="1:15">
      <c r="A428" s="3">
        <v>36952</v>
      </c>
      <c r="B428" s="3">
        <v>36952</v>
      </c>
      <c r="C428">
        <v>145.30000000000001</v>
      </c>
      <c r="D428">
        <v>0.93579999999999997</v>
      </c>
      <c r="E428">
        <v>26</v>
      </c>
      <c r="F428">
        <v>82.45</v>
      </c>
      <c r="K428" s="3"/>
      <c r="O428" s="3"/>
    </row>
    <row r="429" spans="1:15">
      <c r="A429" s="3">
        <v>36953</v>
      </c>
      <c r="B429" s="3">
        <v>36953</v>
      </c>
      <c r="C429">
        <v>145.30000000000001</v>
      </c>
      <c r="D429">
        <v>0.93579999999999997</v>
      </c>
      <c r="E429">
        <v>26</v>
      </c>
      <c r="F429">
        <v>82.45</v>
      </c>
      <c r="K429" s="3"/>
      <c r="O429" s="3"/>
    </row>
    <row r="430" spans="1:15">
      <c r="A430" s="3">
        <v>36954</v>
      </c>
      <c r="B430" s="3">
        <v>36954</v>
      </c>
      <c r="C430">
        <v>145.30000000000001</v>
      </c>
      <c r="D430">
        <v>0.93579999999999997</v>
      </c>
      <c r="E430">
        <v>26</v>
      </c>
      <c r="F430">
        <v>82.45</v>
      </c>
      <c r="K430" s="3"/>
      <c r="O430" s="3"/>
    </row>
    <row r="431" spans="1:15">
      <c r="A431" s="3">
        <v>36955</v>
      </c>
      <c r="B431" s="3">
        <v>36955</v>
      </c>
      <c r="C431">
        <v>145.30000000000001</v>
      </c>
      <c r="D431">
        <v>0.92859999999999998</v>
      </c>
      <c r="E431">
        <v>26.71</v>
      </c>
      <c r="F431">
        <v>83.35</v>
      </c>
      <c r="K431" s="3"/>
      <c r="O431" s="3"/>
    </row>
    <row r="432" spans="1:15">
      <c r="A432" s="3">
        <v>36956</v>
      </c>
      <c r="B432" s="3">
        <v>36956</v>
      </c>
      <c r="C432">
        <v>145.35</v>
      </c>
      <c r="D432">
        <v>0.93369999999999997</v>
      </c>
      <c r="E432">
        <v>26.48</v>
      </c>
      <c r="F432">
        <v>84.4</v>
      </c>
      <c r="K432" s="3"/>
      <c r="O432" s="3"/>
    </row>
    <row r="433" spans="1:15">
      <c r="A433" s="3">
        <v>36957</v>
      </c>
      <c r="B433" s="3">
        <v>36957</v>
      </c>
      <c r="C433">
        <v>145.57</v>
      </c>
      <c r="D433">
        <v>0.92949999999999999</v>
      </c>
      <c r="E433">
        <v>27.23</v>
      </c>
      <c r="F433">
        <v>83.4</v>
      </c>
      <c r="K433" s="3"/>
      <c r="O433" s="3"/>
    </row>
    <row r="434" spans="1:15">
      <c r="A434" s="3">
        <v>36958</v>
      </c>
      <c r="B434" s="3">
        <v>36958</v>
      </c>
      <c r="C434">
        <v>145.57</v>
      </c>
      <c r="D434">
        <v>0.93300000000000005</v>
      </c>
      <c r="E434">
        <v>26.68</v>
      </c>
      <c r="F434">
        <v>82.1</v>
      </c>
      <c r="K434" s="3"/>
      <c r="O434" s="3"/>
    </row>
    <row r="435" spans="1:15">
      <c r="A435" s="3">
        <v>36959</v>
      </c>
      <c r="B435" s="3">
        <v>36959</v>
      </c>
      <c r="C435">
        <v>145.6</v>
      </c>
      <c r="D435">
        <v>0.93279999999999996</v>
      </c>
      <c r="E435">
        <v>26.33</v>
      </c>
      <c r="F435">
        <v>82.6</v>
      </c>
      <c r="K435" s="3"/>
      <c r="O435" s="3"/>
    </row>
    <row r="436" spans="1:15">
      <c r="A436" s="3">
        <v>36960</v>
      </c>
      <c r="B436" s="3">
        <v>36960</v>
      </c>
      <c r="C436">
        <v>145.6</v>
      </c>
      <c r="D436">
        <v>0.93279999999999996</v>
      </c>
      <c r="E436">
        <v>26.33</v>
      </c>
      <c r="F436">
        <v>82.6</v>
      </c>
      <c r="K436" s="3"/>
      <c r="O436" s="3"/>
    </row>
    <row r="437" spans="1:15">
      <c r="A437" s="3">
        <v>36961</v>
      </c>
      <c r="B437" s="3">
        <v>36961</v>
      </c>
      <c r="C437">
        <v>145.6</v>
      </c>
      <c r="D437">
        <v>0.93279999999999996</v>
      </c>
      <c r="E437">
        <v>26.33</v>
      </c>
      <c r="F437">
        <v>82.6</v>
      </c>
      <c r="K437" s="3"/>
      <c r="O437" s="3"/>
    </row>
    <row r="438" spans="1:15">
      <c r="A438" s="3">
        <v>36962</v>
      </c>
      <c r="B438" s="3">
        <v>36962</v>
      </c>
      <c r="C438">
        <v>145.44999999999999</v>
      </c>
      <c r="D438">
        <v>0.92910000000000004</v>
      </c>
      <c r="E438">
        <v>25.9</v>
      </c>
      <c r="F438">
        <v>82.1</v>
      </c>
      <c r="K438" s="3"/>
      <c r="O438" s="3"/>
    </row>
    <row r="439" spans="1:15">
      <c r="A439" s="3">
        <v>36963</v>
      </c>
      <c r="B439" s="3">
        <v>36963</v>
      </c>
      <c r="C439">
        <v>145.47999999999999</v>
      </c>
      <c r="D439">
        <v>0.91520000000000001</v>
      </c>
      <c r="E439">
        <v>25.28</v>
      </c>
      <c r="F439">
        <v>81.150000000000006</v>
      </c>
      <c r="K439" s="3"/>
      <c r="O439" s="3"/>
    </row>
    <row r="440" spans="1:15">
      <c r="A440" s="3">
        <v>36964</v>
      </c>
      <c r="B440" s="3">
        <v>36964</v>
      </c>
      <c r="C440">
        <v>145.46</v>
      </c>
      <c r="D440">
        <v>0.91139999999999999</v>
      </c>
      <c r="E440">
        <v>23.93</v>
      </c>
      <c r="F440">
        <v>80.400000000000006</v>
      </c>
      <c r="K440" s="3"/>
      <c r="O440" s="3"/>
    </row>
    <row r="441" spans="1:15">
      <c r="A441" s="3">
        <v>36965</v>
      </c>
      <c r="B441" s="3">
        <v>36965</v>
      </c>
      <c r="C441">
        <v>145.44999999999999</v>
      </c>
      <c r="D441">
        <v>0.89739999999999998</v>
      </c>
      <c r="E441">
        <v>24.19</v>
      </c>
      <c r="F441">
        <v>80.25</v>
      </c>
      <c r="K441" s="3"/>
      <c r="O441" s="3"/>
    </row>
    <row r="442" spans="1:15">
      <c r="A442" s="3">
        <v>36966</v>
      </c>
      <c r="B442" s="3">
        <v>36966</v>
      </c>
      <c r="C442">
        <v>145.44999999999999</v>
      </c>
      <c r="D442">
        <v>0.89780000000000004</v>
      </c>
      <c r="E442">
        <v>25.05</v>
      </c>
      <c r="F442">
        <v>78.349999999999994</v>
      </c>
      <c r="K442" s="3"/>
      <c r="O442" s="3"/>
    </row>
    <row r="443" spans="1:15">
      <c r="A443" s="3">
        <v>36967</v>
      </c>
      <c r="B443" s="3">
        <v>36967</v>
      </c>
      <c r="C443">
        <v>145.44999999999999</v>
      </c>
      <c r="D443">
        <v>0.89780000000000004</v>
      </c>
      <c r="E443">
        <v>25.05</v>
      </c>
      <c r="F443">
        <v>78.349999999999994</v>
      </c>
      <c r="K443" s="3"/>
      <c r="O443" s="3"/>
    </row>
    <row r="444" spans="1:15">
      <c r="A444" s="3">
        <v>36968</v>
      </c>
      <c r="B444" s="3">
        <v>36968</v>
      </c>
      <c r="C444">
        <v>145.44999999999999</v>
      </c>
      <c r="D444">
        <v>0.89780000000000004</v>
      </c>
      <c r="E444">
        <v>25.05</v>
      </c>
      <c r="F444">
        <v>78.349999999999994</v>
      </c>
      <c r="K444" s="3"/>
      <c r="O444" s="3"/>
    </row>
    <row r="445" spans="1:15">
      <c r="A445" s="3">
        <v>36969</v>
      </c>
      <c r="B445" s="3">
        <v>36969</v>
      </c>
      <c r="C445">
        <v>145.44999999999999</v>
      </c>
      <c r="D445">
        <v>0.89990000000000003</v>
      </c>
      <c r="E445">
        <v>24.81</v>
      </c>
      <c r="F445">
        <v>79.099999999999994</v>
      </c>
      <c r="K445" s="3"/>
      <c r="O445" s="3"/>
    </row>
    <row r="446" spans="1:15">
      <c r="A446" s="3">
        <v>36970</v>
      </c>
      <c r="B446" s="3">
        <v>36970</v>
      </c>
      <c r="C446">
        <v>145.57</v>
      </c>
      <c r="D446">
        <v>0.90939999999999999</v>
      </c>
      <c r="E446">
        <v>24.62</v>
      </c>
      <c r="F446">
        <v>79.400000000000006</v>
      </c>
      <c r="K446" s="3"/>
      <c r="O446" s="3"/>
    </row>
    <row r="447" spans="1:15">
      <c r="A447" s="3">
        <v>36971</v>
      </c>
      <c r="B447" s="3">
        <v>36971</v>
      </c>
      <c r="C447">
        <v>145.44999999999999</v>
      </c>
      <c r="D447">
        <v>0.89649999999999996</v>
      </c>
      <c r="E447">
        <v>25</v>
      </c>
      <c r="F447">
        <v>78.55</v>
      </c>
      <c r="K447" s="3"/>
      <c r="O447" s="3"/>
    </row>
    <row r="448" spans="1:15">
      <c r="A448" s="3">
        <v>36972</v>
      </c>
      <c r="B448" s="3">
        <v>36972</v>
      </c>
      <c r="C448">
        <v>145.44999999999999</v>
      </c>
      <c r="D448">
        <v>0.88919999999999999</v>
      </c>
      <c r="E448">
        <v>24.63</v>
      </c>
      <c r="F448">
        <v>77.849999999999994</v>
      </c>
      <c r="K448" s="3"/>
      <c r="O448" s="3"/>
    </row>
    <row r="449" spans="1:15">
      <c r="A449" s="3">
        <v>36973</v>
      </c>
      <c r="B449" s="3">
        <v>36973</v>
      </c>
      <c r="C449">
        <v>145.54</v>
      </c>
      <c r="D449">
        <v>0.88990000000000002</v>
      </c>
      <c r="E449">
        <v>25.38</v>
      </c>
      <c r="F449">
        <v>78.05</v>
      </c>
      <c r="K449" s="3"/>
      <c r="O449" s="3"/>
    </row>
    <row r="450" spans="1:15">
      <c r="A450" s="3">
        <v>36974</v>
      </c>
      <c r="B450" s="3">
        <v>36974</v>
      </c>
      <c r="C450">
        <v>145.54</v>
      </c>
      <c r="D450">
        <v>0.88990000000000002</v>
      </c>
      <c r="E450">
        <v>25.38</v>
      </c>
      <c r="F450">
        <v>78.05</v>
      </c>
      <c r="K450" s="3"/>
      <c r="O450" s="3"/>
    </row>
    <row r="451" spans="1:15">
      <c r="A451" s="3">
        <v>36975</v>
      </c>
      <c r="B451" s="3">
        <v>36975</v>
      </c>
      <c r="C451">
        <v>145.54</v>
      </c>
      <c r="D451">
        <v>0.88990000000000002</v>
      </c>
      <c r="E451">
        <v>25.38</v>
      </c>
      <c r="F451">
        <v>78.05</v>
      </c>
      <c r="K451" s="3"/>
      <c r="O451" s="3"/>
    </row>
    <row r="452" spans="1:15">
      <c r="A452" s="3">
        <v>36976</v>
      </c>
      <c r="B452" s="3">
        <v>36976</v>
      </c>
      <c r="C452">
        <v>145.47</v>
      </c>
      <c r="D452">
        <v>0.89649999999999996</v>
      </c>
      <c r="E452">
        <v>25.4</v>
      </c>
      <c r="F452">
        <v>77.7</v>
      </c>
      <c r="K452" s="3"/>
      <c r="O452" s="3"/>
    </row>
    <row r="453" spans="1:15">
      <c r="A453" s="3">
        <v>36977</v>
      </c>
      <c r="B453" s="3">
        <v>36977</v>
      </c>
      <c r="C453">
        <v>145.44999999999999</v>
      </c>
      <c r="D453">
        <v>0.89380000000000004</v>
      </c>
      <c r="E453">
        <v>25.89</v>
      </c>
      <c r="F453">
        <v>78.599999999999994</v>
      </c>
      <c r="K453" s="3"/>
      <c r="O453" s="3"/>
    </row>
    <row r="454" spans="1:15">
      <c r="A454" s="3">
        <v>36978</v>
      </c>
      <c r="B454" s="3">
        <v>36978</v>
      </c>
      <c r="C454">
        <v>145.43</v>
      </c>
      <c r="D454">
        <v>0.88660000000000005</v>
      </c>
      <c r="E454">
        <v>25.27</v>
      </c>
      <c r="F454">
        <v>76.75</v>
      </c>
      <c r="K454" s="3"/>
      <c r="O454" s="3"/>
    </row>
    <row r="455" spans="1:15">
      <c r="A455" s="3">
        <v>36979</v>
      </c>
      <c r="B455" s="3">
        <v>36979</v>
      </c>
      <c r="C455">
        <v>145.4</v>
      </c>
      <c r="D455">
        <v>0.8821</v>
      </c>
      <c r="E455">
        <v>24.5</v>
      </c>
      <c r="F455">
        <v>77.55</v>
      </c>
      <c r="K455" s="3"/>
      <c r="O455" s="3"/>
    </row>
    <row r="456" spans="1:15">
      <c r="A456" s="3">
        <v>36980</v>
      </c>
      <c r="B456" s="3">
        <v>36980</v>
      </c>
      <c r="C456">
        <v>145.44999999999999</v>
      </c>
      <c r="D456">
        <v>0.87670000000000003</v>
      </c>
      <c r="E456">
        <v>24.74</v>
      </c>
      <c r="F456">
        <v>76.400000000000006</v>
      </c>
      <c r="K456" s="3"/>
      <c r="O456" s="3"/>
    </row>
    <row r="457" spans="1:15">
      <c r="A457" s="3">
        <v>36981</v>
      </c>
      <c r="B457" s="3">
        <v>36981</v>
      </c>
      <c r="C457">
        <v>145.44999999999999</v>
      </c>
      <c r="D457">
        <v>0.87670000000000003</v>
      </c>
      <c r="E457">
        <v>24.74</v>
      </c>
      <c r="F457">
        <v>76.400000000000006</v>
      </c>
      <c r="K457" s="3"/>
      <c r="O457" s="3"/>
    </row>
    <row r="458" spans="1:15">
      <c r="A458" s="3">
        <v>36982</v>
      </c>
      <c r="B458" s="3">
        <v>36982</v>
      </c>
      <c r="C458">
        <v>145.44999999999999</v>
      </c>
      <c r="D458">
        <v>0.87670000000000003</v>
      </c>
      <c r="E458">
        <v>24.74</v>
      </c>
      <c r="F458">
        <v>76.400000000000006</v>
      </c>
      <c r="K458" s="3"/>
      <c r="O458" s="3"/>
    </row>
    <row r="459" spans="1:15">
      <c r="A459" s="3">
        <v>36983</v>
      </c>
      <c r="B459" s="3">
        <v>36983</v>
      </c>
      <c r="C459">
        <v>145.41</v>
      </c>
      <c r="D459">
        <v>0.87919999999999998</v>
      </c>
      <c r="E459">
        <v>24.11</v>
      </c>
      <c r="F459">
        <v>76.05</v>
      </c>
      <c r="K459" s="3"/>
      <c r="O459" s="3"/>
    </row>
    <row r="460" spans="1:15">
      <c r="A460" s="3">
        <v>36984</v>
      </c>
      <c r="B460" s="3">
        <v>36984</v>
      </c>
      <c r="C460">
        <v>145.4</v>
      </c>
      <c r="D460">
        <v>0.89759999999999995</v>
      </c>
      <c r="E460">
        <v>24.77</v>
      </c>
      <c r="F460">
        <v>76.599999999999994</v>
      </c>
      <c r="K460" s="3"/>
      <c r="O460" s="3"/>
    </row>
    <row r="461" spans="1:15">
      <c r="A461" s="3">
        <v>36985</v>
      </c>
      <c r="B461" s="3">
        <v>36985</v>
      </c>
      <c r="C461">
        <v>145.4</v>
      </c>
      <c r="D461">
        <v>0.90110000000000001</v>
      </c>
      <c r="E461">
        <v>25.32</v>
      </c>
      <c r="F461">
        <v>76.599999999999994</v>
      </c>
      <c r="K461" s="3"/>
      <c r="O461" s="3"/>
    </row>
    <row r="462" spans="1:15">
      <c r="A462" s="3">
        <v>36986</v>
      </c>
      <c r="B462" s="3">
        <v>36986</v>
      </c>
      <c r="C462">
        <v>145.4</v>
      </c>
      <c r="D462">
        <v>0.89680000000000004</v>
      </c>
      <c r="E462">
        <v>25.32</v>
      </c>
      <c r="F462">
        <v>76.849999999999994</v>
      </c>
      <c r="K462" s="3"/>
      <c r="O462" s="3"/>
    </row>
    <row r="463" spans="1:15">
      <c r="A463" s="3">
        <v>36987</v>
      </c>
      <c r="B463" s="3">
        <v>36987</v>
      </c>
      <c r="C463">
        <v>145.4</v>
      </c>
      <c r="D463">
        <v>0.9042</v>
      </c>
      <c r="E463">
        <v>25.17</v>
      </c>
      <c r="F463">
        <v>75.05</v>
      </c>
      <c r="K463" s="3"/>
      <c r="O463" s="3"/>
    </row>
    <row r="464" spans="1:15">
      <c r="A464" s="3">
        <v>36988</v>
      </c>
      <c r="B464" s="3">
        <v>36988</v>
      </c>
      <c r="C464">
        <v>145.4</v>
      </c>
      <c r="D464">
        <v>0.9042</v>
      </c>
      <c r="E464">
        <v>25.17</v>
      </c>
      <c r="F464">
        <v>75.05</v>
      </c>
      <c r="K464" s="3"/>
      <c r="O464" s="3"/>
    </row>
    <row r="465" spans="1:15">
      <c r="A465" s="3">
        <v>36989</v>
      </c>
      <c r="B465" s="3">
        <v>36989</v>
      </c>
      <c r="C465">
        <v>145.4</v>
      </c>
      <c r="D465">
        <v>0.9042</v>
      </c>
      <c r="E465">
        <v>25.17</v>
      </c>
      <c r="F465">
        <v>75.05</v>
      </c>
      <c r="K465" s="3"/>
      <c r="O465" s="3"/>
    </row>
    <row r="466" spans="1:15">
      <c r="A466" s="3">
        <v>36990</v>
      </c>
      <c r="B466" s="3">
        <v>36990</v>
      </c>
      <c r="C466">
        <v>145.55000000000001</v>
      </c>
      <c r="D466">
        <v>0.89670000000000005</v>
      </c>
      <c r="E466">
        <v>25.28</v>
      </c>
      <c r="F466">
        <v>76</v>
      </c>
      <c r="K466" s="3"/>
      <c r="O466" s="3"/>
    </row>
    <row r="467" spans="1:15">
      <c r="A467" s="3">
        <v>36991</v>
      </c>
      <c r="B467" s="3">
        <v>36991</v>
      </c>
      <c r="C467">
        <v>145.58000000000001</v>
      </c>
      <c r="D467">
        <v>0.88880000000000003</v>
      </c>
      <c r="E467">
        <v>26.54</v>
      </c>
      <c r="F467">
        <v>76.95</v>
      </c>
      <c r="K467" s="3"/>
      <c r="O467" s="3"/>
    </row>
    <row r="468" spans="1:15">
      <c r="A468" s="3">
        <v>36992</v>
      </c>
      <c r="B468" s="3">
        <v>36992</v>
      </c>
      <c r="C468">
        <v>145.54</v>
      </c>
      <c r="D468">
        <v>0.88790000000000002</v>
      </c>
      <c r="E468">
        <v>26.53</v>
      </c>
      <c r="F468">
        <v>76.55</v>
      </c>
      <c r="K468" s="3"/>
      <c r="O468" s="3"/>
    </row>
    <row r="469" spans="1:15">
      <c r="A469" s="3">
        <v>36993</v>
      </c>
      <c r="B469" s="3">
        <v>36993</v>
      </c>
      <c r="C469">
        <v>145.49</v>
      </c>
      <c r="D469">
        <v>0.89259999999999995</v>
      </c>
      <c r="E469">
        <v>27.37</v>
      </c>
      <c r="F469">
        <v>76.7</v>
      </c>
      <c r="K469" s="3"/>
      <c r="O469" s="3"/>
    </row>
    <row r="470" spans="1:15">
      <c r="A470" s="3">
        <v>36994</v>
      </c>
      <c r="B470" s="3">
        <v>36994</v>
      </c>
      <c r="C470">
        <v>145.49</v>
      </c>
      <c r="D470">
        <v>0.88819999999999999</v>
      </c>
      <c r="E470">
        <v>27.37</v>
      </c>
      <c r="F470">
        <v>76.7</v>
      </c>
      <c r="K470" s="3"/>
      <c r="O470" s="3"/>
    </row>
    <row r="471" spans="1:15">
      <c r="A471" s="3">
        <v>36995</v>
      </c>
      <c r="B471" s="3">
        <v>36995</v>
      </c>
      <c r="C471">
        <v>145.49</v>
      </c>
      <c r="D471">
        <v>0.88819999999999999</v>
      </c>
      <c r="E471">
        <v>27.37</v>
      </c>
      <c r="F471">
        <v>76.7</v>
      </c>
      <c r="K471" s="3"/>
      <c r="O471" s="3"/>
    </row>
    <row r="472" spans="1:15">
      <c r="A472" s="3">
        <v>36996</v>
      </c>
      <c r="B472" s="3">
        <v>36996</v>
      </c>
      <c r="C472">
        <v>145.49</v>
      </c>
      <c r="D472">
        <v>0.88819999999999999</v>
      </c>
      <c r="E472">
        <v>27.37</v>
      </c>
      <c r="F472">
        <v>76.7</v>
      </c>
      <c r="K472" s="3"/>
      <c r="O472" s="3"/>
    </row>
    <row r="473" spans="1:15">
      <c r="A473" s="3">
        <v>36997</v>
      </c>
      <c r="B473" s="3">
        <v>36997</v>
      </c>
      <c r="C473">
        <v>145.53</v>
      </c>
      <c r="D473">
        <v>0.8891</v>
      </c>
      <c r="E473">
        <v>27.37</v>
      </c>
      <c r="F473">
        <v>76.900000000000006</v>
      </c>
      <c r="K473" s="3"/>
      <c r="O473" s="3"/>
    </row>
    <row r="474" spans="1:15">
      <c r="A474" s="3">
        <v>36998</v>
      </c>
      <c r="B474" s="3">
        <v>36998</v>
      </c>
      <c r="C474">
        <v>145.5</v>
      </c>
      <c r="D474">
        <v>0.88349999999999995</v>
      </c>
      <c r="E474">
        <v>27.63</v>
      </c>
      <c r="F474">
        <v>76.45</v>
      </c>
      <c r="K474" s="3"/>
      <c r="O474" s="3"/>
    </row>
    <row r="475" spans="1:15">
      <c r="A475" s="3">
        <v>36999</v>
      </c>
      <c r="B475" s="3">
        <v>36999</v>
      </c>
      <c r="C475">
        <v>145.47999999999999</v>
      </c>
      <c r="D475">
        <v>0.88349999999999995</v>
      </c>
      <c r="E475">
        <v>27.29</v>
      </c>
      <c r="F475">
        <v>78.5</v>
      </c>
      <c r="K475" s="3"/>
      <c r="O475" s="3"/>
    </row>
    <row r="476" spans="1:15">
      <c r="A476" s="3">
        <v>37000</v>
      </c>
      <c r="B476" s="3">
        <v>37000</v>
      </c>
      <c r="C476">
        <v>145.51</v>
      </c>
      <c r="D476">
        <v>0.89749999999999996</v>
      </c>
      <c r="E476">
        <v>26.83</v>
      </c>
      <c r="F476">
        <v>77.3</v>
      </c>
      <c r="K476" s="3"/>
      <c r="O476" s="3"/>
    </row>
    <row r="477" spans="1:15">
      <c r="A477" s="3">
        <v>37001</v>
      </c>
      <c r="B477" s="3">
        <v>37001</v>
      </c>
      <c r="C477">
        <v>145.5</v>
      </c>
      <c r="D477">
        <v>0.9022</v>
      </c>
      <c r="E477">
        <v>26.39</v>
      </c>
      <c r="F477">
        <v>77.5</v>
      </c>
      <c r="K477" s="3"/>
      <c r="O477" s="3"/>
    </row>
    <row r="478" spans="1:15">
      <c r="A478" s="3">
        <v>37002</v>
      </c>
      <c r="B478" s="3">
        <v>37002</v>
      </c>
      <c r="C478">
        <v>145.5</v>
      </c>
      <c r="D478">
        <v>0.9022</v>
      </c>
      <c r="E478">
        <v>26.39</v>
      </c>
      <c r="F478">
        <v>77.5</v>
      </c>
      <c r="K478" s="3"/>
      <c r="O478" s="3"/>
    </row>
    <row r="479" spans="1:15">
      <c r="A479" s="3">
        <v>37003</v>
      </c>
      <c r="B479" s="3">
        <v>37003</v>
      </c>
      <c r="C479">
        <v>145.5</v>
      </c>
      <c r="D479">
        <v>0.9022</v>
      </c>
      <c r="E479">
        <v>26.39</v>
      </c>
      <c r="F479">
        <v>77.5</v>
      </c>
      <c r="K479" s="3"/>
      <c r="O479" s="3"/>
    </row>
    <row r="480" spans="1:15">
      <c r="A480" s="3">
        <v>37004</v>
      </c>
      <c r="B480" s="3">
        <v>37004</v>
      </c>
      <c r="C480">
        <v>145.47999999999999</v>
      </c>
      <c r="D480">
        <v>0.8962</v>
      </c>
      <c r="E480">
        <v>26.55</v>
      </c>
      <c r="F480">
        <v>75.8</v>
      </c>
      <c r="K480" s="3"/>
      <c r="O480" s="3"/>
    </row>
    <row r="481" spans="1:15">
      <c r="A481" s="3">
        <v>37005</v>
      </c>
      <c r="B481" s="3">
        <v>37005</v>
      </c>
      <c r="C481">
        <v>145.51</v>
      </c>
      <c r="D481">
        <v>0.89419999999999999</v>
      </c>
      <c r="E481">
        <v>26.32</v>
      </c>
      <c r="F481">
        <v>76.150000000000006</v>
      </c>
      <c r="K481" s="3"/>
      <c r="O481" s="3"/>
    </row>
    <row r="482" spans="1:15">
      <c r="A482" s="3">
        <v>37006</v>
      </c>
      <c r="B482" s="3">
        <v>37006</v>
      </c>
      <c r="C482">
        <v>145.58000000000001</v>
      </c>
      <c r="D482">
        <v>0.89749999999999996</v>
      </c>
      <c r="E482">
        <v>26.82</v>
      </c>
      <c r="F482">
        <v>76.5</v>
      </c>
      <c r="K482" s="3"/>
      <c r="O482" s="3"/>
    </row>
    <row r="483" spans="1:15">
      <c r="A483" s="3">
        <v>37007</v>
      </c>
      <c r="B483" s="3">
        <v>37007</v>
      </c>
      <c r="C483">
        <v>145.55000000000001</v>
      </c>
      <c r="D483">
        <v>0.90339999999999998</v>
      </c>
      <c r="E483">
        <v>27.6</v>
      </c>
      <c r="F483">
        <v>76</v>
      </c>
      <c r="K483" s="3"/>
      <c r="O483" s="3"/>
    </row>
    <row r="484" spans="1:15">
      <c r="A484" s="3">
        <v>37008</v>
      </c>
      <c r="B484" s="3">
        <v>37008</v>
      </c>
      <c r="C484">
        <v>145.55000000000001</v>
      </c>
      <c r="D484">
        <v>0.89180000000000004</v>
      </c>
      <c r="E484">
        <v>27.79</v>
      </c>
      <c r="F484">
        <v>75.900000000000006</v>
      </c>
      <c r="K484" s="3"/>
      <c r="O484" s="3"/>
    </row>
    <row r="485" spans="1:15">
      <c r="A485" s="3">
        <v>37009</v>
      </c>
      <c r="B485" s="3">
        <v>37009</v>
      </c>
      <c r="C485">
        <v>145.55000000000001</v>
      </c>
      <c r="D485">
        <v>0.89180000000000004</v>
      </c>
      <c r="E485">
        <v>27.79</v>
      </c>
      <c r="F485">
        <v>75.900000000000006</v>
      </c>
      <c r="K485" s="3"/>
      <c r="O485" s="3"/>
    </row>
    <row r="486" spans="1:15">
      <c r="A486" s="3">
        <v>37010</v>
      </c>
      <c r="B486" s="3">
        <v>37010</v>
      </c>
      <c r="C486">
        <v>145.55000000000001</v>
      </c>
      <c r="D486">
        <v>0.89180000000000004</v>
      </c>
      <c r="E486">
        <v>27.79</v>
      </c>
      <c r="F486">
        <v>75.900000000000006</v>
      </c>
      <c r="K486" s="3"/>
      <c r="O486" s="3"/>
    </row>
    <row r="487" spans="1:15">
      <c r="A487" s="3">
        <v>37011</v>
      </c>
      <c r="B487" s="3">
        <v>37011</v>
      </c>
      <c r="C487">
        <v>145.80000000000001</v>
      </c>
      <c r="D487">
        <v>0.8891</v>
      </c>
      <c r="E487">
        <v>27.89</v>
      </c>
      <c r="F487">
        <v>76.650000000000006</v>
      </c>
      <c r="K487" s="3"/>
      <c r="O487" s="3"/>
    </row>
    <row r="488" spans="1:15">
      <c r="A488" s="3">
        <v>37012</v>
      </c>
      <c r="B488" s="3">
        <v>37012</v>
      </c>
      <c r="C488">
        <v>145.80000000000001</v>
      </c>
      <c r="D488">
        <v>0.89270000000000005</v>
      </c>
      <c r="E488">
        <v>28.33</v>
      </c>
      <c r="F488">
        <v>77.400000000000006</v>
      </c>
      <c r="K488" s="3"/>
      <c r="O488" s="3"/>
    </row>
    <row r="489" spans="1:15">
      <c r="A489" s="3">
        <v>37013</v>
      </c>
      <c r="B489" s="3">
        <v>37013</v>
      </c>
      <c r="C489">
        <v>145.87</v>
      </c>
      <c r="D489">
        <v>0.89390000000000003</v>
      </c>
      <c r="E489">
        <v>27.59</v>
      </c>
      <c r="F489">
        <v>78.599999999999994</v>
      </c>
      <c r="K489" s="3"/>
      <c r="O489" s="3"/>
    </row>
    <row r="490" spans="1:15">
      <c r="A490" s="3">
        <v>37014</v>
      </c>
      <c r="B490" s="3">
        <v>37014</v>
      </c>
      <c r="C490">
        <v>146.03</v>
      </c>
      <c r="D490">
        <v>0.88990000000000002</v>
      </c>
      <c r="E490">
        <v>28.07</v>
      </c>
      <c r="F490">
        <v>78.25</v>
      </c>
      <c r="K490" s="3"/>
      <c r="O490" s="3"/>
    </row>
    <row r="491" spans="1:15">
      <c r="A491" s="3">
        <v>37015</v>
      </c>
      <c r="B491" s="3">
        <v>37015</v>
      </c>
      <c r="C491">
        <v>146.03</v>
      </c>
      <c r="D491">
        <v>0.89249999999999996</v>
      </c>
      <c r="E491">
        <v>28.19</v>
      </c>
      <c r="F491">
        <v>77.5</v>
      </c>
      <c r="K491" s="3"/>
      <c r="O491" s="3"/>
    </row>
    <row r="492" spans="1:15">
      <c r="A492" s="3">
        <v>37016</v>
      </c>
      <c r="B492" s="3">
        <v>37016</v>
      </c>
      <c r="C492">
        <v>146.03</v>
      </c>
      <c r="D492">
        <v>0.89249999999999996</v>
      </c>
      <c r="E492">
        <v>28.19</v>
      </c>
      <c r="F492">
        <v>77.5</v>
      </c>
      <c r="K492" s="3"/>
      <c r="O492" s="3"/>
    </row>
    <row r="493" spans="1:15">
      <c r="A493" s="3">
        <v>37017</v>
      </c>
      <c r="B493" s="3">
        <v>37017</v>
      </c>
      <c r="C493">
        <v>146.03</v>
      </c>
      <c r="D493">
        <v>0.89249999999999996</v>
      </c>
      <c r="E493">
        <v>28.19</v>
      </c>
      <c r="F493">
        <v>77.5</v>
      </c>
      <c r="K493" s="3"/>
      <c r="O493" s="3"/>
    </row>
    <row r="494" spans="1:15">
      <c r="A494" s="3">
        <v>37018</v>
      </c>
      <c r="B494" s="3">
        <v>37018</v>
      </c>
      <c r="C494">
        <v>146.15</v>
      </c>
      <c r="D494">
        <v>0.89029999999999998</v>
      </c>
      <c r="E494">
        <v>28.19</v>
      </c>
      <c r="F494">
        <v>77.650000000000006</v>
      </c>
      <c r="K494" s="3"/>
      <c r="O494" s="3"/>
    </row>
    <row r="495" spans="1:15">
      <c r="A495" s="3">
        <v>37019</v>
      </c>
      <c r="B495" s="3">
        <v>37019</v>
      </c>
      <c r="C495">
        <v>146.26</v>
      </c>
      <c r="D495">
        <v>0.88500000000000001</v>
      </c>
      <c r="E495">
        <v>27.9</v>
      </c>
      <c r="F495">
        <v>76.05</v>
      </c>
      <c r="K495" s="3"/>
      <c r="O495" s="3"/>
    </row>
    <row r="496" spans="1:15">
      <c r="A496" s="3">
        <v>37020</v>
      </c>
      <c r="B496" s="3">
        <v>37020</v>
      </c>
      <c r="C496">
        <v>146.25</v>
      </c>
      <c r="D496">
        <v>0.88629999999999998</v>
      </c>
      <c r="E496">
        <v>28.15</v>
      </c>
      <c r="F496">
        <v>75.45</v>
      </c>
      <c r="K496" s="3"/>
      <c r="O496" s="3"/>
    </row>
    <row r="497" spans="1:15">
      <c r="A497" s="3">
        <v>37021</v>
      </c>
      <c r="B497" s="3">
        <v>37021</v>
      </c>
      <c r="C497">
        <v>145.80000000000001</v>
      </c>
      <c r="D497">
        <v>0.88139999999999996</v>
      </c>
      <c r="E497">
        <v>28.48</v>
      </c>
      <c r="F497">
        <v>75.05</v>
      </c>
      <c r="K497" s="3"/>
      <c r="O497" s="3"/>
    </row>
    <row r="498" spans="1:15">
      <c r="A498" s="3">
        <v>37022</v>
      </c>
      <c r="B498" s="3">
        <v>37022</v>
      </c>
      <c r="C498">
        <v>146.34</v>
      </c>
      <c r="D498">
        <v>0.87529999999999997</v>
      </c>
      <c r="E498">
        <v>28.19</v>
      </c>
      <c r="F498">
        <v>75.55</v>
      </c>
      <c r="K498" s="3"/>
      <c r="O498" s="3"/>
    </row>
    <row r="499" spans="1:15">
      <c r="A499" s="3">
        <v>37023</v>
      </c>
      <c r="B499" s="3">
        <v>37023</v>
      </c>
      <c r="C499">
        <v>146.34</v>
      </c>
      <c r="D499">
        <v>0.87529999999999997</v>
      </c>
      <c r="E499">
        <v>28.19</v>
      </c>
      <c r="F499">
        <v>75.55</v>
      </c>
      <c r="K499" s="3"/>
      <c r="O499" s="3"/>
    </row>
    <row r="500" spans="1:15">
      <c r="A500" s="3">
        <v>37024</v>
      </c>
      <c r="B500" s="3">
        <v>37024</v>
      </c>
      <c r="C500">
        <v>146.34</v>
      </c>
      <c r="D500">
        <v>0.87529999999999997</v>
      </c>
      <c r="E500">
        <v>28.19</v>
      </c>
      <c r="F500">
        <v>75.55</v>
      </c>
      <c r="K500" s="3"/>
      <c r="O500" s="3"/>
    </row>
    <row r="501" spans="1:15">
      <c r="A501" s="3">
        <v>37025</v>
      </c>
      <c r="B501" s="3">
        <v>37025</v>
      </c>
      <c r="C501">
        <v>146.30000000000001</v>
      </c>
      <c r="D501">
        <v>0.87409999999999999</v>
      </c>
      <c r="E501">
        <v>28.28</v>
      </c>
      <c r="F501">
        <v>74.7</v>
      </c>
      <c r="K501" s="3"/>
      <c r="O501" s="3"/>
    </row>
    <row r="502" spans="1:15">
      <c r="A502" s="3">
        <v>37026</v>
      </c>
      <c r="B502" s="3">
        <v>37026</v>
      </c>
      <c r="C502">
        <v>146</v>
      </c>
      <c r="D502">
        <v>0.87849999999999995</v>
      </c>
      <c r="E502">
        <v>28.16</v>
      </c>
      <c r="F502">
        <v>74.75</v>
      </c>
      <c r="K502" s="3"/>
      <c r="O502" s="3"/>
    </row>
    <row r="503" spans="1:15">
      <c r="A503" s="3">
        <v>37027</v>
      </c>
      <c r="B503" s="3">
        <v>37027</v>
      </c>
      <c r="C503">
        <v>146.12</v>
      </c>
      <c r="D503">
        <v>0.88300000000000001</v>
      </c>
      <c r="E503">
        <v>28.36</v>
      </c>
      <c r="F503">
        <v>74.849999999999994</v>
      </c>
      <c r="K503" s="3"/>
      <c r="O503" s="3"/>
    </row>
    <row r="504" spans="1:15">
      <c r="A504" s="3">
        <v>37028</v>
      </c>
      <c r="B504" s="3">
        <v>37028</v>
      </c>
      <c r="C504">
        <v>146.11000000000001</v>
      </c>
      <c r="D504">
        <v>0.88280000000000003</v>
      </c>
      <c r="E504">
        <v>28.46</v>
      </c>
      <c r="F504">
        <v>76.099999999999994</v>
      </c>
      <c r="K504" s="3"/>
      <c r="O504" s="3"/>
    </row>
    <row r="505" spans="1:15">
      <c r="A505" s="3">
        <v>37029</v>
      </c>
      <c r="B505" s="3">
        <v>37029</v>
      </c>
      <c r="C505">
        <v>146.19999999999999</v>
      </c>
      <c r="D505">
        <v>0.88139999999999996</v>
      </c>
      <c r="E505">
        <v>29.39</v>
      </c>
      <c r="F505">
        <v>78.05</v>
      </c>
      <c r="K505" s="3"/>
      <c r="O505" s="3"/>
    </row>
    <row r="506" spans="1:15">
      <c r="A506" s="3">
        <v>37030</v>
      </c>
      <c r="B506" s="3">
        <v>37030</v>
      </c>
      <c r="C506">
        <v>146.19999999999999</v>
      </c>
      <c r="D506">
        <v>0.88139999999999996</v>
      </c>
      <c r="E506">
        <v>29.39</v>
      </c>
      <c r="F506">
        <v>78.05</v>
      </c>
      <c r="K506" s="3"/>
      <c r="O506" s="3"/>
    </row>
    <row r="507" spans="1:15">
      <c r="A507" s="3">
        <v>37031</v>
      </c>
      <c r="B507" s="3">
        <v>37031</v>
      </c>
      <c r="C507">
        <v>146.19999999999999</v>
      </c>
      <c r="D507">
        <v>0.88139999999999996</v>
      </c>
      <c r="E507">
        <v>29.39</v>
      </c>
      <c r="F507">
        <v>78.05</v>
      </c>
      <c r="K507" s="3"/>
      <c r="O507" s="3"/>
    </row>
    <row r="508" spans="1:15">
      <c r="A508" s="3">
        <v>37032</v>
      </c>
      <c r="B508" s="3">
        <v>37032</v>
      </c>
      <c r="C508">
        <v>146.06</v>
      </c>
      <c r="D508">
        <v>0.87680000000000002</v>
      </c>
      <c r="E508">
        <v>29.42</v>
      </c>
      <c r="F508">
        <v>79.5</v>
      </c>
      <c r="K508" s="3"/>
      <c r="O508" s="3"/>
    </row>
    <row r="509" spans="1:15">
      <c r="A509" s="3">
        <v>37033</v>
      </c>
      <c r="B509" s="3">
        <v>37033</v>
      </c>
      <c r="C509">
        <v>146.12</v>
      </c>
      <c r="D509">
        <v>0.86539999999999995</v>
      </c>
      <c r="E509">
        <v>29.36</v>
      </c>
      <c r="F509">
        <v>78.400000000000006</v>
      </c>
      <c r="K509" s="3"/>
      <c r="O509" s="3"/>
    </row>
    <row r="510" spans="1:15">
      <c r="A510" s="3">
        <v>37034</v>
      </c>
      <c r="B510" s="3">
        <v>37034</v>
      </c>
      <c r="C510">
        <v>146.11000000000001</v>
      </c>
      <c r="D510">
        <v>0.85680000000000001</v>
      </c>
      <c r="E510">
        <v>29.24</v>
      </c>
      <c r="F510">
        <v>78.400000000000006</v>
      </c>
      <c r="K510" s="3"/>
      <c r="O510" s="3"/>
    </row>
    <row r="511" spans="1:15">
      <c r="A511" s="3">
        <v>37035</v>
      </c>
      <c r="B511" s="3">
        <v>37035</v>
      </c>
      <c r="C511">
        <v>146.09</v>
      </c>
      <c r="D511">
        <v>0.85660000000000003</v>
      </c>
      <c r="E511">
        <v>28.53</v>
      </c>
      <c r="F511">
        <v>78.75</v>
      </c>
      <c r="K511" s="3"/>
      <c r="O511" s="3"/>
    </row>
    <row r="512" spans="1:15">
      <c r="A512" s="3">
        <v>37036</v>
      </c>
      <c r="B512" s="3">
        <v>37036</v>
      </c>
      <c r="C512">
        <v>146.11000000000001</v>
      </c>
      <c r="D512">
        <v>0.86109999999999998</v>
      </c>
      <c r="E512">
        <v>28.48</v>
      </c>
      <c r="F512">
        <v>78.599999999999994</v>
      </c>
      <c r="K512" s="3"/>
      <c r="O512" s="3"/>
    </row>
    <row r="513" spans="1:15">
      <c r="A513" s="3">
        <v>37037</v>
      </c>
      <c r="B513" s="3">
        <v>37037</v>
      </c>
      <c r="C513">
        <v>146.11000000000001</v>
      </c>
      <c r="D513">
        <v>0.86109999999999998</v>
      </c>
      <c r="E513">
        <v>28.48</v>
      </c>
      <c r="F513">
        <v>78.599999999999994</v>
      </c>
      <c r="K513" s="3"/>
      <c r="O513" s="3"/>
    </row>
    <row r="514" spans="1:15">
      <c r="A514" s="3">
        <v>37038</v>
      </c>
      <c r="B514" s="3">
        <v>37038</v>
      </c>
      <c r="C514">
        <v>146.11000000000001</v>
      </c>
      <c r="D514">
        <v>0.86109999999999998</v>
      </c>
      <c r="E514">
        <v>28.48</v>
      </c>
      <c r="F514">
        <v>78.599999999999994</v>
      </c>
      <c r="K514" s="3"/>
      <c r="O514" s="3"/>
    </row>
    <row r="515" spans="1:15">
      <c r="A515" s="3">
        <v>37039</v>
      </c>
      <c r="B515" s="3">
        <v>37039</v>
      </c>
      <c r="C515">
        <v>146.15</v>
      </c>
      <c r="D515">
        <v>0.86029999999999995</v>
      </c>
      <c r="E515">
        <v>28.48</v>
      </c>
      <c r="F515">
        <v>78.599999999999994</v>
      </c>
      <c r="K515" s="3"/>
      <c r="O515" s="3"/>
    </row>
    <row r="516" spans="1:15">
      <c r="A516" s="3">
        <v>37040</v>
      </c>
      <c r="B516" s="3">
        <v>37040</v>
      </c>
      <c r="C516">
        <v>146.21</v>
      </c>
      <c r="D516">
        <v>0.85550000000000004</v>
      </c>
      <c r="E516">
        <v>29.17</v>
      </c>
      <c r="F516">
        <v>76.099999999999994</v>
      </c>
      <c r="K516" s="3"/>
      <c r="O516" s="3"/>
    </row>
    <row r="517" spans="1:15">
      <c r="A517" s="3">
        <v>37041</v>
      </c>
      <c r="B517" s="3">
        <v>37041</v>
      </c>
      <c r="C517">
        <v>146.35</v>
      </c>
      <c r="D517">
        <v>0.85680000000000001</v>
      </c>
      <c r="E517">
        <v>29.14</v>
      </c>
      <c r="F517">
        <v>76.25</v>
      </c>
      <c r="K517" s="3"/>
      <c r="O517" s="3"/>
    </row>
    <row r="518" spans="1:15">
      <c r="A518" s="3">
        <v>37042</v>
      </c>
      <c r="B518" s="3">
        <v>37042</v>
      </c>
      <c r="C518">
        <v>146.4</v>
      </c>
      <c r="D518">
        <v>0.84530000000000005</v>
      </c>
      <c r="E518">
        <v>29.34</v>
      </c>
      <c r="F518">
        <v>75.75</v>
      </c>
      <c r="K518" s="3"/>
      <c r="O518" s="3"/>
    </row>
    <row r="519" spans="1:15">
      <c r="A519" s="3">
        <v>37043</v>
      </c>
      <c r="B519" s="3">
        <v>37043</v>
      </c>
      <c r="C519">
        <v>146.51</v>
      </c>
      <c r="D519">
        <v>0.84750000000000003</v>
      </c>
      <c r="E519">
        <v>29.07</v>
      </c>
      <c r="F519">
        <v>75.2</v>
      </c>
      <c r="K519" s="3"/>
      <c r="O519" s="3"/>
    </row>
    <row r="520" spans="1:15">
      <c r="A520" s="3">
        <v>37044</v>
      </c>
      <c r="B520" s="3">
        <v>37044</v>
      </c>
      <c r="C520">
        <v>146.51</v>
      </c>
      <c r="D520">
        <v>0.84750000000000003</v>
      </c>
      <c r="E520">
        <v>29.07</v>
      </c>
      <c r="F520">
        <v>75.2</v>
      </c>
      <c r="K520" s="3"/>
      <c r="O520" s="3"/>
    </row>
    <row r="521" spans="1:15">
      <c r="A521" s="3">
        <v>37045</v>
      </c>
      <c r="B521" s="3">
        <v>37045</v>
      </c>
      <c r="C521">
        <v>146.51</v>
      </c>
      <c r="D521">
        <v>0.84750000000000003</v>
      </c>
      <c r="E521">
        <v>29.07</v>
      </c>
      <c r="F521">
        <v>75.2</v>
      </c>
      <c r="K521" s="3"/>
      <c r="O521" s="3"/>
    </row>
    <row r="522" spans="1:15">
      <c r="A522" s="3">
        <v>37046</v>
      </c>
      <c r="B522" s="3">
        <v>37046</v>
      </c>
      <c r="C522">
        <v>146.69</v>
      </c>
      <c r="D522">
        <v>0.84570000000000001</v>
      </c>
      <c r="E522">
        <v>29.26</v>
      </c>
      <c r="F522">
        <v>75.2</v>
      </c>
      <c r="K522" s="3"/>
      <c r="O522" s="3"/>
    </row>
    <row r="523" spans="1:15">
      <c r="A523" s="3">
        <v>37047</v>
      </c>
      <c r="B523" s="3">
        <v>37047</v>
      </c>
      <c r="C523">
        <v>146.86000000000001</v>
      </c>
      <c r="D523">
        <v>0.85399999999999998</v>
      </c>
      <c r="E523">
        <v>29.68</v>
      </c>
      <c r="F523">
        <v>76.150000000000006</v>
      </c>
      <c r="K523" s="3"/>
      <c r="O523" s="3"/>
    </row>
    <row r="524" spans="1:15">
      <c r="A524" s="3">
        <v>37048</v>
      </c>
      <c r="B524" s="3">
        <v>37048</v>
      </c>
      <c r="C524">
        <v>146.71</v>
      </c>
      <c r="D524">
        <v>0.8478</v>
      </c>
      <c r="E524">
        <v>28.96</v>
      </c>
      <c r="F524">
        <v>75.349999999999994</v>
      </c>
      <c r="K524" s="3"/>
      <c r="O524" s="3"/>
    </row>
    <row r="525" spans="1:15">
      <c r="A525" s="3">
        <v>37049</v>
      </c>
      <c r="B525" s="3">
        <v>37049</v>
      </c>
      <c r="C525">
        <v>146.54</v>
      </c>
      <c r="D525">
        <v>0.85089999999999999</v>
      </c>
      <c r="E525">
        <v>28.5</v>
      </c>
      <c r="F525">
        <v>75</v>
      </c>
      <c r="K525" s="3"/>
      <c r="O525" s="3"/>
    </row>
    <row r="526" spans="1:15">
      <c r="A526" s="3">
        <v>37050</v>
      </c>
      <c r="B526" s="3">
        <v>37050</v>
      </c>
      <c r="C526">
        <v>146.41</v>
      </c>
      <c r="D526">
        <v>0.85050000000000003</v>
      </c>
      <c r="E526">
        <v>29.44</v>
      </c>
      <c r="F526">
        <v>73.05</v>
      </c>
      <c r="K526" s="3"/>
      <c r="O526" s="3"/>
    </row>
    <row r="527" spans="1:15">
      <c r="A527" s="3">
        <v>37051</v>
      </c>
      <c r="B527" s="3">
        <v>37051</v>
      </c>
      <c r="C527">
        <v>146.41</v>
      </c>
      <c r="D527">
        <v>0.85050000000000003</v>
      </c>
      <c r="E527">
        <v>29.44</v>
      </c>
      <c r="F527">
        <v>73.05</v>
      </c>
      <c r="K527" s="3"/>
      <c r="O527" s="3"/>
    </row>
    <row r="528" spans="1:15">
      <c r="A528" s="3">
        <v>37052</v>
      </c>
      <c r="B528" s="3">
        <v>37052</v>
      </c>
      <c r="C528">
        <v>146.41</v>
      </c>
      <c r="D528">
        <v>0.85050000000000003</v>
      </c>
      <c r="E528">
        <v>29.44</v>
      </c>
      <c r="F528">
        <v>73.05</v>
      </c>
      <c r="K528" s="3"/>
      <c r="O528" s="3"/>
    </row>
    <row r="529" spans="1:15">
      <c r="A529" s="3">
        <v>37053</v>
      </c>
      <c r="B529" s="3">
        <v>37053</v>
      </c>
      <c r="C529">
        <v>146.43</v>
      </c>
      <c r="D529">
        <v>0.84240000000000004</v>
      </c>
      <c r="E529">
        <v>29.57</v>
      </c>
      <c r="F529">
        <v>73.150000000000006</v>
      </c>
      <c r="K529" s="3"/>
      <c r="O529" s="3"/>
    </row>
    <row r="530" spans="1:15">
      <c r="A530" s="3">
        <v>37054</v>
      </c>
      <c r="B530" s="3">
        <v>37054</v>
      </c>
      <c r="C530">
        <v>146.44</v>
      </c>
      <c r="D530">
        <v>0.85350000000000004</v>
      </c>
      <c r="E530">
        <v>29.46</v>
      </c>
      <c r="F530">
        <v>72.8</v>
      </c>
      <c r="K530" s="3"/>
      <c r="O530" s="3"/>
    </row>
    <row r="531" spans="1:15">
      <c r="A531" s="3">
        <v>37055</v>
      </c>
      <c r="B531" s="3">
        <v>37055</v>
      </c>
      <c r="C531">
        <v>146.43</v>
      </c>
      <c r="D531">
        <v>0.85529999999999995</v>
      </c>
      <c r="E531">
        <v>29.34</v>
      </c>
      <c r="F531">
        <v>72.45</v>
      </c>
      <c r="K531" s="3"/>
      <c r="O531" s="3"/>
    </row>
    <row r="532" spans="1:15">
      <c r="A532" s="3">
        <v>37056</v>
      </c>
      <c r="B532" s="3">
        <v>37056</v>
      </c>
      <c r="C532">
        <v>146.47</v>
      </c>
      <c r="D532">
        <v>0.86240000000000006</v>
      </c>
      <c r="E532">
        <v>29.59</v>
      </c>
      <c r="F532">
        <v>72.7</v>
      </c>
      <c r="K532" s="3"/>
      <c r="O532" s="3"/>
    </row>
    <row r="533" spans="1:15">
      <c r="A533" s="3">
        <v>37057</v>
      </c>
      <c r="B533" s="3">
        <v>37057</v>
      </c>
      <c r="C533">
        <v>146.5</v>
      </c>
      <c r="D533">
        <v>0.86099999999999999</v>
      </c>
      <c r="E533">
        <v>28.12</v>
      </c>
      <c r="F533">
        <v>71.95</v>
      </c>
      <c r="K533" s="3"/>
      <c r="O533" s="3"/>
    </row>
    <row r="534" spans="1:15">
      <c r="A534" s="3">
        <v>37058</v>
      </c>
      <c r="B534" s="3">
        <v>37058</v>
      </c>
      <c r="C534">
        <v>146.5</v>
      </c>
      <c r="D534">
        <v>0.86099999999999999</v>
      </c>
      <c r="E534">
        <v>28.12</v>
      </c>
      <c r="F534">
        <v>71.95</v>
      </c>
      <c r="K534" s="3"/>
      <c r="O534" s="3"/>
    </row>
    <row r="535" spans="1:15">
      <c r="A535" s="3">
        <v>37059</v>
      </c>
      <c r="B535" s="3">
        <v>37059</v>
      </c>
      <c r="C535">
        <v>146.5</v>
      </c>
      <c r="D535">
        <v>0.86099999999999999</v>
      </c>
      <c r="E535">
        <v>28.12</v>
      </c>
      <c r="F535">
        <v>71.95</v>
      </c>
      <c r="K535" s="3"/>
      <c r="O535" s="3"/>
    </row>
    <row r="536" spans="1:15">
      <c r="A536" s="3">
        <v>37060</v>
      </c>
      <c r="B536" s="3">
        <v>37060</v>
      </c>
      <c r="C536">
        <v>146.44999999999999</v>
      </c>
      <c r="D536">
        <v>0.86080000000000001</v>
      </c>
      <c r="E536">
        <v>27.01</v>
      </c>
      <c r="F536">
        <v>72.05</v>
      </c>
      <c r="K536" s="3"/>
      <c r="O536" s="3"/>
    </row>
    <row r="537" spans="1:15">
      <c r="A537" s="3">
        <v>37061</v>
      </c>
      <c r="B537" s="3">
        <v>37061</v>
      </c>
      <c r="C537">
        <v>146.44999999999999</v>
      </c>
      <c r="D537">
        <v>0.85399999999999998</v>
      </c>
      <c r="E537">
        <v>26.98</v>
      </c>
      <c r="F537">
        <v>72.55</v>
      </c>
      <c r="K537" s="3"/>
      <c r="O537" s="3"/>
    </row>
    <row r="538" spans="1:15">
      <c r="A538" s="3">
        <v>37062</v>
      </c>
      <c r="B538" s="3">
        <v>37062</v>
      </c>
      <c r="C538">
        <v>146.47999999999999</v>
      </c>
      <c r="D538">
        <v>0.85470000000000002</v>
      </c>
      <c r="E538">
        <v>26.09</v>
      </c>
      <c r="F538">
        <v>71.55</v>
      </c>
      <c r="K538" s="3"/>
      <c r="O538" s="3"/>
    </row>
    <row r="539" spans="1:15">
      <c r="A539" s="3">
        <v>37063</v>
      </c>
      <c r="B539" s="3">
        <v>37063</v>
      </c>
      <c r="C539">
        <v>146.56</v>
      </c>
      <c r="D539">
        <v>0.85460000000000003</v>
      </c>
      <c r="E539">
        <v>26.3</v>
      </c>
      <c r="F539">
        <v>72.150000000000006</v>
      </c>
      <c r="K539" s="3"/>
      <c r="O539" s="3"/>
    </row>
    <row r="540" spans="1:15">
      <c r="A540" s="3">
        <v>37064</v>
      </c>
      <c r="B540" s="3">
        <v>37064</v>
      </c>
      <c r="C540">
        <v>146.44999999999999</v>
      </c>
      <c r="D540">
        <v>0.85760000000000003</v>
      </c>
      <c r="E540">
        <v>26.59</v>
      </c>
      <c r="F540">
        <v>71.45</v>
      </c>
      <c r="K540" s="3"/>
      <c r="O540" s="3"/>
    </row>
    <row r="541" spans="1:15">
      <c r="A541" s="3">
        <v>37065</v>
      </c>
      <c r="B541" s="3">
        <v>37065</v>
      </c>
      <c r="C541">
        <v>146.44999999999999</v>
      </c>
      <c r="D541">
        <v>0.85760000000000003</v>
      </c>
      <c r="E541">
        <v>26.59</v>
      </c>
      <c r="F541">
        <v>71.45</v>
      </c>
      <c r="K541" s="3"/>
      <c r="O541" s="3"/>
    </row>
    <row r="542" spans="1:15">
      <c r="A542" s="3">
        <v>37066</v>
      </c>
      <c r="B542" s="3">
        <v>37066</v>
      </c>
      <c r="C542">
        <v>146.44999999999999</v>
      </c>
      <c r="D542">
        <v>0.85760000000000003</v>
      </c>
      <c r="E542">
        <v>26.59</v>
      </c>
      <c r="F542">
        <v>71.45</v>
      </c>
      <c r="K542" s="3"/>
      <c r="O542" s="3"/>
    </row>
    <row r="543" spans="1:15">
      <c r="A543" s="3">
        <v>37067</v>
      </c>
      <c r="B543" s="3">
        <v>37067</v>
      </c>
      <c r="C543">
        <v>146.57</v>
      </c>
      <c r="D543">
        <v>0.85909999999999997</v>
      </c>
      <c r="E543">
        <v>27.07</v>
      </c>
      <c r="F543">
        <v>71.400000000000006</v>
      </c>
      <c r="K543" s="3"/>
      <c r="O543" s="3"/>
    </row>
    <row r="544" spans="1:15">
      <c r="A544" s="3">
        <v>37068</v>
      </c>
      <c r="B544" s="3">
        <v>37068</v>
      </c>
      <c r="C544">
        <v>146.53</v>
      </c>
      <c r="D544">
        <v>0.86350000000000005</v>
      </c>
      <c r="E544">
        <v>26.99</v>
      </c>
      <c r="F544">
        <v>71.8</v>
      </c>
      <c r="K544" s="3"/>
      <c r="O544" s="3"/>
    </row>
    <row r="545" spans="1:15">
      <c r="A545" s="3">
        <v>37069</v>
      </c>
      <c r="B545" s="3">
        <v>37069</v>
      </c>
      <c r="C545">
        <v>146.69</v>
      </c>
      <c r="D545">
        <v>0.85970000000000002</v>
      </c>
      <c r="E545">
        <v>25.66</v>
      </c>
      <c r="F545">
        <v>72.150000000000006</v>
      </c>
      <c r="K545" s="3"/>
      <c r="O545" s="3"/>
    </row>
    <row r="546" spans="1:15">
      <c r="A546" s="3">
        <v>37070</v>
      </c>
      <c r="B546" s="3">
        <v>37070</v>
      </c>
      <c r="C546">
        <v>146.72</v>
      </c>
      <c r="D546">
        <v>0.84419999999999995</v>
      </c>
      <c r="E546">
        <v>25.4</v>
      </c>
      <c r="F546">
        <v>70.8</v>
      </c>
      <c r="K546" s="3"/>
      <c r="O546" s="3"/>
    </row>
    <row r="547" spans="1:15">
      <c r="A547" s="3">
        <v>37071</v>
      </c>
      <c r="B547" s="3">
        <v>37071</v>
      </c>
      <c r="C547">
        <v>146.79</v>
      </c>
      <c r="D547">
        <v>0.84899999999999998</v>
      </c>
      <c r="E547">
        <v>26.08</v>
      </c>
      <c r="F547">
        <v>70.45</v>
      </c>
      <c r="K547" s="3"/>
      <c r="O547" s="3"/>
    </row>
    <row r="548" spans="1:15">
      <c r="A548" s="3">
        <v>37072</v>
      </c>
      <c r="B548" s="3">
        <v>37072</v>
      </c>
      <c r="C548">
        <v>146.79</v>
      </c>
      <c r="D548">
        <v>0.84899999999999998</v>
      </c>
      <c r="E548">
        <v>26.08</v>
      </c>
      <c r="F548">
        <v>70.45</v>
      </c>
      <c r="K548" s="3"/>
      <c r="O548" s="3"/>
    </row>
    <row r="549" spans="1:15">
      <c r="A549" s="3">
        <v>37073</v>
      </c>
      <c r="B549" s="3">
        <v>37073</v>
      </c>
      <c r="C549">
        <v>146.79</v>
      </c>
      <c r="D549">
        <v>0.84899999999999998</v>
      </c>
      <c r="E549">
        <v>26.08</v>
      </c>
      <c r="F549">
        <v>70.45</v>
      </c>
      <c r="K549" s="3"/>
      <c r="O549" s="3"/>
    </row>
    <row r="550" spans="1:15">
      <c r="A550" s="3">
        <v>37074</v>
      </c>
      <c r="B550" s="3">
        <v>37074</v>
      </c>
      <c r="C550">
        <v>146.85</v>
      </c>
      <c r="D550">
        <v>0.8478</v>
      </c>
      <c r="E550">
        <v>25.64</v>
      </c>
      <c r="F550">
        <v>71.2</v>
      </c>
      <c r="K550" s="3"/>
      <c r="O550" s="3"/>
    </row>
    <row r="551" spans="1:15">
      <c r="A551" s="3">
        <v>37075</v>
      </c>
      <c r="B551" s="3">
        <v>37075</v>
      </c>
      <c r="C551">
        <v>146.86000000000001</v>
      </c>
      <c r="D551">
        <v>0.84840000000000004</v>
      </c>
      <c r="E551">
        <v>25.36</v>
      </c>
      <c r="F551">
        <v>70.55</v>
      </c>
      <c r="K551" s="3"/>
      <c r="O551" s="3"/>
    </row>
    <row r="552" spans="1:15">
      <c r="A552" s="3">
        <v>37076</v>
      </c>
      <c r="B552" s="3">
        <v>37076</v>
      </c>
      <c r="C552">
        <v>146.81</v>
      </c>
      <c r="D552">
        <v>0.84630000000000005</v>
      </c>
      <c r="E552">
        <v>25.8</v>
      </c>
      <c r="F552">
        <v>70.55</v>
      </c>
      <c r="K552" s="3"/>
      <c r="O552" s="3"/>
    </row>
    <row r="553" spans="1:15">
      <c r="A553" s="3">
        <v>37077</v>
      </c>
      <c r="B553" s="3">
        <v>37077</v>
      </c>
      <c r="C553">
        <v>146.84</v>
      </c>
      <c r="D553">
        <v>0.83640000000000003</v>
      </c>
      <c r="E553">
        <v>25.84</v>
      </c>
      <c r="F553">
        <v>69.8</v>
      </c>
      <c r="K553" s="3"/>
      <c r="O553" s="3"/>
    </row>
    <row r="554" spans="1:15">
      <c r="A554" s="3">
        <v>37078</v>
      </c>
      <c r="B554" s="3">
        <v>37078</v>
      </c>
      <c r="C554">
        <v>146.69999999999999</v>
      </c>
      <c r="D554">
        <v>0.84760000000000002</v>
      </c>
      <c r="E554">
        <v>26.81</v>
      </c>
      <c r="F554">
        <v>70.349999999999994</v>
      </c>
      <c r="K554" s="3"/>
      <c r="O554" s="3"/>
    </row>
    <row r="555" spans="1:15">
      <c r="A555" s="3">
        <v>37079</v>
      </c>
      <c r="B555" s="3">
        <v>37079</v>
      </c>
      <c r="C555">
        <v>146.69999999999999</v>
      </c>
      <c r="D555">
        <v>0.84760000000000002</v>
      </c>
      <c r="E555">
        <v>26.81</v>
      </c>
      <c r="F555">
        <v>70.349999999999994</v>
      </c>
      <c r="K555" s="3"/>
      <c r="O555" s="3"/>
    </row>
    <row r="556" spans="1:15">
      <c r="A556" s="3">
        <v>37080</v>
      </c>
      <c r="B556" s="3">
        <v>37080</v>
      </c>
      <c r="C556">
        <v>146.69999999999999</v>
      </c>
      <c r="D556">
        <v>0.84760000000000002</v>
      </c>
      <c r="E556">
        <v>26.81</v>
      </c>
      <c r="F556">
        <v>70.349999999999994</v>
      </c>
      <c r="K556" s="3"/>
      <c r="O556" s="3"/>
    </row>
    <row r="557" spans="1:15">
      <c r="A557" s="3">
        <v>37081</v>
      </c>
      <c r="B557" s="3">
        <v>37081</v>
      </c>
      <c r="C557">
        <v>146.69</v>
      </c>
      <c r="D557">
        <v>0.85</v>
      </c>
      <c r="E557">
        <v>26.15</v>
      </c>
      <c r="F557">
        <v>70.150000000000006</v>
      </c>
      <c r="K557" s="3"/>
      <c r="O557" s="3"/>
    </row>
    <row r="558" spans="1:15">
      <c r="A558" s="3">
        <v>37082</v>
      </c>
      <c r="B558" s="3">
        <v>37082</v>
      </c>
      <c r="C558">
        <v>146.72</v>
      </c>
      <c r="D558">
        <v>0.85499999999999998</v>
      </c>
      <c r="E558">
        <v>25.93</v>
      </c>
      <c r="F558">
        <v>71</v>
      </c>
      <c r="K558" s="3"/>
      <c r="O558" s="3"/>
    </row>
    <row r="559" spans="1:15">
      <c r="A559" s="3">
        <v>37083</v>
      </c>
      <c r="B559" s="3">
        <v>37083</v>
      </c>
      <c r="C559">
        <v>146.72</v>
      </c>
      <c r="D559">
        <v>0.85880000000000001</v>
      </c>
      <c r="E559">
        <v>25.52</v>
      </c>
      <c r="F559">
        <v>70.599999999999994</v>
      </c>
      <c r="K559" s="3"/>
      <c r="O559" s="3"/>
    </row>
    <row r="560" spans="1:15">
      <c r="A560" s="3">
        <v>37084</v>
      </c>
      <c r="B560" s="3">
        <v>37084</v>
      </c>
      <c r="C560">
        <v>146.69999999999999</v>
      </c>
      <c r="D560">
        <v>0.85360000000000003</v>
      </c>
      <c r="E560">
        <v>25.14</v>
      </c>
      <c r="F560">
        <v>69.8</v>
      </c>
      <c r="K560" s="3"/>
      <c r="O560" s="3"/>
    </row>
    <row r="561" spans="1:15">
      <c r="A561" s="3">
        <v>37085</v>
      </c>
      <c r="B561" s="3">
        <v>37085</v>
      </c>
      <c r="C561">
        <v>146.69999999999999</v>
      </c>
      <c r="D561">
        <v>0.85470000000000002</v>
      </c>
      <c r="E561">
        <v>24.97</v>
      </c>
      <c r="F561">
        <v>70</v>
      </c>
      <c r="K561" s="3"/>
      <c r="O561" s="3"/>
    </row>
    <row r="562" spans="1:15">
      <c r="A562" s="3">
        <v>37086</v>
      </c>
      <c r="B562" s="3">
        <v>37086</v>
      </c>
      <c r="C562">
        <v>146.69999999999999</v>
      </c>
      <c r="D562">
        <v>0.85470000000000002</v>
      </c>
      <c r="E562">
        <v>24.97</v>
      </c>
      <c r="F562">
        <v>70</v>
      </c>
      <c r="K562" s="3"/>
      <c r="O562" s="3"/>
    </row>
    <row r="563" spans="1:15">
      <c r="A563" s="3">
        <v>37087</v>
      </c>
      <c r="B563" s="3">
        <v>37087</v>
      </c>
      <c r="C563">
        <v>146.69999999999999</v>
      </c>
      <c r="D563">
        <v>0.85470000000000002</v>
      </c>
      <c r="E563">
        <v>24.97</v>
      </c>
      <c r="F563">
        <v>70</v>
      </c>
      <c r="K563" s="3"/>
      <c r="O563" s="3"/>
    </row>
    <row r="564" spans="1:15">
      <c r="A564" s="3">
        <v>37088</v>
      </c>
      <c r="B564" s="3">
        <v>37088</v>
      </c>
      <c r="C564">
        <v>146.69999999999999</v>
      </c>
      <c r="D564">
        <v>0.85219999999999996</v>
      </c>
      <c r="E564">
        <v>24.78</v>
      </c>
      <c r="F564">
        <v>70.2</v>
      </c>
      <c r="K564" s="3"/>
      <c r="O564" s="3"/>
    </row>
    <row r="565" spans="1:15">
      <c r="A565" s="3">
        <v>37089</v>
      </c>
      <c r="B565" s="3">
        <v>37089</v>
      </c>
      <c r="C565">
        <v>146.69999999999999</v>
      </c>
      <c r="D565">
        <v>0.85950000000000004</v>
      </c>
      <c r="E565">
        <v>24.89</v>
      </c>
      <c r="F565">
        <v>71.25</v>
      </c>
      <c r="K565" s="3"/>
      <c r="O565" s="3"/>
    </row>
    <row r="566" spans="1:15">
      <c r="A566" s="3">
        <v>37090</v>
      </c>
      <c r="B566" s="3">
        <v>37090</v>
      </c>
      <c r="C566">
        <v>146.69999999999999</v>
      </c>
      <c r="D566">
        <v>0.87350000000000005</v>
      </c>
      <c r="E566">
        <v>24.22</v>
      </c>
      <c r="F566">
        <v>70</v>
      </c>
      <c r="K566" s="3"/>
      <c r="O566" s="3"/>
    </row>
    <row r="567" spans="1:15">
      <c r="A567" s="3">
        <v>37091</v>
      </c>
      <c r="B567" s="3">
        <v>37091</v>
      </c>
      <c r="C567">
        <v>146.69999999999999</v>
      </c>
      <c r="D567">
        <v>0.87080000000000002</v>
      </c>
      <c r="E567">
        <v>24.05</v>
      </c>
      <c r="F567">
        <v>68.900000000000006</v>
      </c>
      <c r="K567" s="3"/>
      <c r="O567" s="3"/>
    </row>
    <row r="568" spans="1:15">
      <c r="A568" s="3">
        <v>37092</v>
      </c>
      <c r="B568" s="3">
        <v>37092</v>
      </c>
      <c r="C568">
        <v>146.69999999999999</v>
      </c>
      <c r="D568">
        <v>0.87109999999999999</v>
      </c>
      <c r="E568">
        <v>24.64</v>
      </c>
      <c r="F568">
        <v>69.400000000000006</v>
      </c>
      <c r="K568" s="3"/>
      <c r="O568" s="3"/>
    </row>
    <row r="569" spans="1:15">
      <c r="A569" s="3">
        <v>37093</v>
      </c>
      <c r="B569" s="3">
        <v>37093</v>
      </c>
      <c r="C569">
        <v>146.69999999999999</v>
      </c>
      <c r="D569">
        <v>0.87109999999999999</v>
      </c>
      <c r="E569">
        <v>24.64</v>
      </c>
      <c r="F569">
        <v>69.400000000000006</v>
      </c>
      <c r="K569" s="3"/>
      <c r="O569" s="3"/>
    </row>
    <row r="570" spans="1:15">
      <c r="A570" s="3">
        <v>37094</v>
      </c>
      <c r="B570" s="3">
        <v>37094</v>
      </c>
      <c r="C570">
        <v>146.69999999999999</v>
      </c>
      <c r="D570">
        <v>0.87109999999999999</v>
      </c>
      <c r="E570">
        <v>24.64</v>
      </c>
      <c r="F570">
        <v>69.400000000000006</v>
      </c>
      <c r="K570" s="3"/>
      <c r="O570" s="3"/>
    </row>
    <row r="571" spans="1:15">
      <c r="A571" s="3">
        <v>37095</v>
      </c>
      <c r="B571" s="3">
        <v>37095</v>
      </c>
      <c r="C571">
        <v>146.75</v>
      </c>
      <c r="D571">
        <v>0.86899999999999999</v>
      </c>
      <c r="E571">
        <v>24.92</v>
      </c>
      <c r="F571">
        <v>68.150000000000006</v>
      </c>
      <c r="K571" s="3"/>
      <c r="O571" s="3"/>
    </row>
    <row r="572" spans="1:15">
      <c r="A572" s="3">
        <v>37096</v>
      </c>
      <c r="B572" s="3">
        <v>37096</v>
      </c>
      <c r="C572">
        <v>146.69999999999999</v>
      </c>
      <c r="D572">
        <v>0.87390000000000001</v>
      </c>
      <c r="E572">
        <v>24.9</v>
      </c>
      <c r="F572">
        <v>68.05</v>
      </c>
      <c r="K572" s="3"/>
      <c r="O572" s="3"/>
    </row>
    <row r="573" spans="1:15">
      <c r="A573" s="3">
        <v>37097</v>
      </c>
      <c r="B573" s="3">
        <v>37097</v>
      </c>
      <c r="C573">
        <v>146.69999999999999</v>
      </c>
      <c r="D573">
        <v>0.88129999999999997</v>
      </c>
      <c r="E573">
        <v>25.25</v>
      </c>
      <c r="F573">
        <v>68.2</v>
      </c>
      <c r="K573" s="3"/>
      <c r="O573" s="3"/>
    </row>
    <row r="574" spans="1:15">
      <c r="A574" s="3">
        <v>37098</v>
      </c>
      <c r="B574" s="3">
        <v>37098</v>
      </c>
      <c r="C574">
        <v>146.69999999999999</v>
      </c>
      <c r="D574">
        <v>0.87770000000000004</v>
      </c>
      <c r="E574">
        <v>25.14</v>
      </c>
      <c r="F574">
        <v>68</v>
      </c>
      <c r="K574" s="3"/>
      <c r="O574" s="3"/>
    </row>
    <row r="575" spans="1:15">
      <c r="A575" s="3">
        <v>37099</v>
      </c>
      <c r="B575" s="3">
        <v>37099</v>
      </c>
      <c r="C575">
        <v>146.69999999999999</v>
      </c>
      <c r="D575">
        <v>0.87739999999999996</v>
      </c>
      <c r="E575">
        <v>25.19</v>
      </c>
      <c r="F575">
        <v>67.400000000000006</v>
      </c>
      <c r="K575" s="3"/>
      <c r="O575" s="3"/>
    </row>
    <row r="576" spans="1:15">
      <c r="A576" s="3">
        <v>37100</v>
      </c>
      <c r="B576" s="3">
        <v>37100</v>
      </c>
      <c r="C576">
        <v>146.69999999999999</v>
      </c>
      <c r="D576">
        <v>0.87739999999999996</v>
      </c>
      <c r="E576">
        <v>25.19</v>
      </c>
      <c r="F576">
        <v>67.400000000000006</v>
      </c>
      <c r="K576" s="3"/>
      <c r="O576" s="3"/>
    </row>
    <row r="577" spans="1:15">
      <c r="A577" s="3">
        <v>37101</v>
      </c>
      <c r="B577" s="3">
        <v>37101</v>
      </c>
      <c r="C577">
        <v>146.69999999999999</v>
      </c>
      <c r="D577">
        <v>0.87739999999999996</v>
      </c>
      <c r="E577">
        <v>25.19</v>
      </c>
      <c r="F577">
        <v>67.400000000000006</v>
      </c>
      <c r="K577" s="3"/>
      <c r="O577" s="3"/>
    </row>
    <row r="578" spans="1:15">
      <c r="A578" s="3">
        <v>37102</v>
      </c>
      <c r="B578" s="3">
        <v>37102</v>
      </c>
      <c r="C578">
        <v>146.80000000000001</v>
      </c>
      <c r="D578">
        <v>0.87419999999999998</v>
      </c>
      <c r="E578">
        <v>24.96</v>
      </c>
      <c r="F578">
        <v>67.849999999999994</v>
      </c>
      <c r="K578" s="3"/>
      <c r="O578" s="3"/>
    </row>
    <row r="579" spans="1:15">
      <c r="A579" s="3">
        <v>37103</v>
      </c>
      <c r="B579" s="3">
        <v>37103</v>
      </c>
      <c r="C579">
        <v>146.80000000000001</v>
      </c>
      <c r="D579">
        <v>0.87639999999999996</v>
      </c>
      <c r="E579">
        <v>24.69</v>
      </c>
      <c r="F579">
        <v>68.25</v>
      </c>
      <c r="K579" s="3"/>
      <c r="O579" s="3"/>
    </row>
    <row r="580" spans="1:15">
      <c r="A580" s="3">
        <v>37104</v>
      </c>
      <c r="B580" s="3">
        <v>37104</v>
      </c>
      <c r="C580">
        <v>146.80000000000001</v>
      </c>
      <c r="D580">
        <v>0.88100000000000001</v>
      </c>
      <c r="E580">
        <v>24.96</v>
      </c>
      <c r="F580">
        <v>68.75</v>
      </c>
      <c r="K580" s="3"/>
      <c r="O580" s="3"/>
    </row>
    <row r="581" spans="1:15">
      <c r="A581" s="3">
        <v>37105</v>
      </c>
      <c r="B581" s="3">
        <v>37105</v>
      </c>
      <c r="C581">
        <v>146.80000000000001</v>
      </c>
      <c r="D581">
        <v>0.88360000000000005</v>
      </c>
      <c r="E581">
        <v>26.13</v>
      </c>
      <c r="F581">
        <v>68.150000000000006</v>
      </c>
      <c r="K581" s="3"/>
      <c r="O581" s="3"/>
    </row>
    <row r="582" spans="1:15">
      <c r="A582" s="3">
        <v>37106</v>
      </c>
      <c r="B582" s="3">
        <v>37106</v>
      </c>
      <c r="C582">
        <v>146.80000000000001</v>
      </c>
      <c r="D582">
        <v>0.88439999999999996</v>
      </c>
      <c r="E582">
        <v>25.69</v>
      </c>
      <c r="F582">
        <v>67.7</v>
      </c>
      <c r="K582" s="3"/>
      <c r="O582" s="3"/>
    </row>
    <row r="583" spans="1:15">
      <c r="A583" s="3">
        <v>37107</v>
      </c>
      <c r="B583" s="3">
        <v>37107</v>
      </c>
      <c r="C583">
        <v>146.80000000000001</v>
      </c>
      <c r="D583">
        <v>0.88439999999999996</v>
      </c>
      <c r="E583">
        <v>25.69</v>
      </c>
      <c r="F583">
        <v>67.7</v>
      </c>
      <c r="K583" s="3"/>
      <c r="O583" s="3"/>
    </row>
    <row r="584" spans="1:15">
      <c r="A584" s="3">
        <v>37108</v>
      </c>
      <c r="B584" s="3">
        <v>37108</v>
      </c>
      <c r="C584">
        <v>146.80000000000001</v>
      </c>
      <c r="D584">
        <v>0.88439999999999996</v>
      </c>
      <c r="E584">
        <v>25.69</v>
      </c>
      <c r="F584">
        <v>67.7</v>
      </c>
      <c r="K584" s="3"/>
      <c r="O584" s="3"/>
    </row>
    <row r="585" spans="1:15">
      <c r="A585" s="3">
        <v>37109</v>
      </c>
      <c r="B585" s="3">
        <v>37109</v>
      </c>
      <c r="C585">
        <v>147.05000000000001</v>
      </c>
      <c r="D585">
        <v>0.88129999999999997</v>
      </c>
      <c r="E585">
        <v>25.83</v>
      </c>
      <c r="F585">
        <v>67.099999999999994</v>
      </c>
      <c r="K585" s="3"/>
      <c r="O585" s="3"/>
    </row>
    <row r="586" spans="1:15">
      <c r="A586" s="3">
        <v>37110</v>
      </c>
      <c r="B586" s="3">
        <v>37110</v>
      </c>
      <c r="C586">
        <v>147.24</v>
      </c>
      <c r="D586">
        <v>0.87770000000000004</v>
      </c>
      <c r="E586">
        <v>26.08</v>
      </c>
      <c r="F586">
        <v>66.900000000000006</v>
      </c>
      <c r="K586" s="3"/>
      <c r="O586" s="3"/>
    </row>
    <row r="587" spans="1:15">
      <c r="A587" s="3">
        <v>37111</v>
      </c>
      <c r="B587" s="3">
        <v>37111</v>
      </c>
      <c r="C587">
        <v>147.18</v>
      </c>
      <c r="D587">
        <v>0.88039999999999996</v>
      </c>
      <c r="E587">
        <v>25.7</v>
      </c>
      <c r="F587">
        <v>66.150000000000006</v>
      </c>
      <c r="K587" s="3"/>
      <c r="O587" s="3"/>
    </row>
    <row r="588" spans="1:15">
      <c r="A588" s="3">
        <v>37112</v>
      </c>
      <c r="B588" s="3">
        <v>37112</v>
      </c>
      <c r="C588">
        <v>147.1</v>
      </c>
      <c r="D588">
        <v>0.89229999999999998</v>
      </c>
      <c r="E588">
        <v>25.68</v>
      </c>
      <c r="F588">
        <v>66.650000000000006</v>
      </c>
      <c r="K588" s="3"/>
      <c r="O588" s="3"/>
    </row>
    <row r="589" spans="1:15">
      <c r="A589" s="3">
        <v>37113</v>
      </c>
      <c r="B589" s="3">
        <v>37113</v>
      </c>
      <c r="C589">
        <v>147.05000000000001</v>
      </c>
      <c r="D589">
        <v>0.89339999999999997</v>
      </c>
      <c r="E589">
        <v>25.98</v>
      </c>
      <c r="F589">
        <v>66.2</v>
      </c>
      <c r="K589" s="3"/>
      <c r="O589" s="3"/>
    </row>
    <row r="590" spans="1:15">
      <c r="A590" s="3">
        <v>37114</v>
      </c>
      <c r="B590" s="3">
        <v>37114</v>
      </c>
      <c r="C590">
        <v>147.05000000000001</v>
      </c>
      <c r="D590">
        <v>0.89339999999999997</v>
      </c>
      <c r="E590">
        <v>25.98</v>
      </c>
      <c r="F590">
        <v>66.2</v>
      </c>
      <c r="K590" s="3"/>
      <c r="O590" s="3"/>
    </row>
    <row r="591" spans="1:15">
      <c r="A591" s="3">
        <v>37115</v>
      </c>
      <c r="B591" s="3">
        <v>37115</v>
      </c>
      <c r="C591">
        <v>147.05000000000001</v>
      </c>
      <c r="D591">
        <v>0.89339999999999997</v>
      </c>
      <c r="E591">
        <v>25.98</v>
      </c>
      <c r="F591">
        <v>66.2</v>
      </c>
      <c r="K591" s="3"/>
      <c r="O591" s="3"/>
    </row>
    <row r="592" spans="1:15">
      <c r="A592" s="3">
        <v>37116</v>
      </c>
      <c r="B592" s="3">
        <v>37116</v>
      </c>
      <c r="C592">
        <v>147.15</v>
      </c>
      <c r="D592">
        <v>0.89649999999999996</v>
      </c>
      <c r="E592">
        <v>25.88</v>
      </c>
      <c r="F592">
        <v>65.7</v>
      </c>
      <c r="K592" s="3"/>
      <c r="O592" s="3"/>
    </row>
    <row r="593" spans="1:15">
      <c r="A593" s="3">
        <v>37117</v>
      </c>
      <c r="B593" s="3">
        <v>37117</v>
      </c>
      <c r="C593">
        <v>147.22</v>
      </c>
      <c r="D593">
        <v>0.9032</v>
      </c>
      <c r="E593">
        <v>25.99</v>
      </c>
      <c r="F593">
        <v>66.55</v>
      </c>
      <c r="K593" s="3"/>
      <c r="O593" s="3"/>
    </row>
    <row r="594" spans="1:15">
      <c r="A594" s="3">
        <v>37118</v>
      </c>
      <c r="B594" s="3">
        <v>37118</v>
      </c>
      <c r="C594">
        <v>147.1</v>
      </c>
      <c r="D594">
        <v>0.91400000000000003</v>
      </c>
      <c r="E594">
        <v>25.55</v>
      </c>
      <c r="F594">
        <v>65.849999999999994</v>
      </c>
      <c r="K594" s="3"/>
      <c r="O594" s="3"/>
    </row>
    <row r="595" spans="1:15">
      <c r="A595" s="3">
        <v>37119</v>
      </c>
      <c r="B595" s="3">
        <v>37119</v>
      </c>
      <c r="C595">
        <v>147.1</v>
      </c>
      <c r="D595">
        <v>0.91149999999999998</v>
      </c>
      <c r="E595">
        <v>25.55</v>
      </c>
      <c r="F595">
        <v>66.8</v>
      </c>
      <c r="K595" s="3"/>
      <c r="O595" s="3"/>
    </row>
    <row r="596" spans="1:15">
      <c r="A596" s="3">
        <v>37120</v>
      </c>
      <c r="B596" s="3">
        <v>37120</v>
      </c>
      <c r="C596">
        <v>147.1</v>
      </c>
      <c r="D596">
        <v>0.91820000000000002</v>
      </c>
      <c r="E596">
        <v>24.73</v>
      </c>
      <c r="F596">
        <v>68.599999999999994</v>
      </c>
      <c r="K596" s="3"/>
      <c r="O596" s="3"/>
    </row>
    <row r="597" spans="1:15">
      <c r="A597" s="3">
        <v>37121</v>
      </c>
      <c r="B597" s="3">
        <v>37121</v>
      </c>
      <c r="C597">
        <v>147.1</v>
      </c>
      <c r="D597">
        <v>0.91820000000000002</v>
      </c>
      <c r="E597">
        <v>24.73</v>
      </c>
      <c r="F597">
        <v>68.599999999999994</v>
      </c>
      <c r="K597" s="3"/>
      <c r="O597" s="3"/>
    </row>
    <row r="598" spans="1:15">
      <c r="A598" s="3">
        <v>37122</v>
      </c>
      <c r="B598" s="3">
        <v>37122</v>
      </c>
      <c r="C598">
        <v>147.1</v>
      </c>
      <c r="D598">
        <v>0.91820000000000002</v>
      </c>
      <c r="E598">
        <v>24.73</v>
      </c>
      <c r="F598">
        <v>68.599999999999994</v>
      </c>
      <c r="K598" s="3"/>
      <c r="O598" s="3"/>
    </row>
    <row r="599" spans="1:15">
      <c r="A599" s="3">
        <v>37123</v>
      </c>
      <c r="B599" s="3">
        <v>37123</v>
      </c>
      <c r="C599">
        <v>147.15</v>
      </c>
      <c r="D599">
        <v>0.91439999999999999</v>
      </c>
      <c r="E599">
        <v>25.05</v>
      </c>
      <c r="F599">
        <v>67.650000000000006</v>
      </c>
      <c r="K599" s="3"/>
      <c r="O599" s="3"/>
    </row>
    <row r="600" spans="1:15">
      <c r="A600" s="3">
        <v>37124</v>
      </c>
      <c r="B600" s="3">
        <v>37124</v>
      </c>
      <c r="C600">
        <v>147.15</v>
      </c>
      <c r="D600">
        <v>0.91820000000000002</v>
      </c>
      <c r="E600">
        <v>25.49</v>
      </c>
      <c r="F600">
        <v>67.150000000000006</v>
      </c>
      <c r="K600" s="3"/>
      <c r="O600" s="3"/>
    </row>
    <row r="601" spans="1:15">
      <c r="A601" s="3">
        <v>37125</v>
      </c>
      <c r="B601" s="3">
        <v>37125</v>
      </c>
      <c r="C601">
        <v>147.15</v>
      </c>
      <c r="D601">
        <v>0.91439999999999999</v>
      </c>
      <c r="E601">
        <v>25.34</v>
      </c>
      <c r="F601">
        <v>67.75</v>
      </c>
      <c r="K601" s="3"/>
      <c r="O601" s="3"/>
    </row>
    <row r="602" spans="1:15">
      <c r="A602" s="3">
        <v>37126</v>
      </c>
      <c r="B602" s="3">
        <v>37126</v>
      </c>
      <c r="C602">
        <v>147.15</v>
      </c>
      <c r="D602">
        <v>0.91510000000000002</v>
      </c>
      <c r="E602">
        <v>25.6</v>
      </c>
      <c r="F602">
        <v>68.45</v>
      </c>
      <c r="K602" s="3"/>
      <c r="O602" s="3"/>
    </row>
    <row r="603" spans="1:15">
      <c r="A603" s="3">
        <v>37127</v>
      </c>
      <c r="B603" s="3">
        <v>37127</v>
      </c>
      <c r="C603">
        <v>147.15</v>
      </c>
      <c r="D603">
        <v>0.91420000000000001</v>
      </c>
      <c r="E603">
        <v>25.95</v>
      </c>
      <c r="F603">
        <v>68.3</v>
      </c>
      <c r="K603" s="3"/>
      <c r="O603" s="3"/>
    </row>
    <row r="604" spans="1:15">
      <c r="A604" s="3">
        <v>37128</v>
      </c>
      <c r="B604" s="3">
        <v>37128</v>
      </c>
      <c r="C604">
        <v>147.15</v>
      </c>
      <c r="D604">
        <v>0.91420000000000001</v>
      </c>
      <c r="E604">
        <v>25.95</v>
      </c>
      <c r="F604">
        <v>68.3</v>
      </c>
      <c r="K604" s="3"/>
      <c r="O604" s="3"/>
    </row>
    <row r="605" spans="1:15">
      <c r="A605" s="3">
        <v>37129</v>
      </c>
      <c r="B605" s="3">
        <v>37129</v>
      </c>
      <c r="C605">
        <v>147.15</v>
      </c>
      <c r="D605">
        <v>0.91420000000000001</v>
      </c>
      <c r="E605">
        <v>25.95</v>
      </c>
      <c r="F605">
        <v>68.3</v>
      </c>
      <c r="K605" s="3"/>
      <c r="O605" s="3"/>
    </row>
    <row r="606" spans="1:15">
      <c r="A606" s="3">
        <v>37130</v>
      </c>
      <c r="B606" s="3">
        <v>37130</v>
      </c>
      <c r="C606">
        <v>147.15</v>
      </c>
      <c r="D606">
        <v>0.91149999999999998</v>
      </c>
      <c r="E606">
        <v>25.95</v>
      </c>
      <c r="F606">
        <v>69.45</v>
      </c>
      <c r="K606" s="3"/>
      <c r="O606" s="3"/>
    </row>
    <row r="607" spans="1:15">
      <c r="A607" s="3">
        <v>37131</v>
      </c>
      <c r="B607" s="3">
        <v>37131</v>
      </c>
      <c r="C607">
        <v>147.15</v>
      </c>
      <c r="D607">
        <v>0.91290000000000004</v>
      </c>
      <c r="E607">
        <v>26.47</v>
      </c>
      <c r="F607">
        <v>69.099999999999994</v>
      </c>
      <c r="K607" s="3"/>
      <c r="O607" s="3"/>
    </row>
    <row r="608" spans="1:15">
      <c r="A608" s="3">
        <v>37132</v>
      </c>
      <c r="B608" s="3">
        <v>37132</v>
      </c>
      <c r="C608">
        <v>147.15</v>
      </c>
      <c r="D608">
        <v>0.90890000000000004</v>
      </c>
      <c r="E608">
        <v>26.53</v>
      </c>
      <c r="F608">
        <v>69.55</v>
      </c>
      <c r="K608" s="3"/>
      <c r="O608" s="3"/>
    </row>
    <row r="609" spans="1:15">
      <c r="A609" s="3">
        <v>37133</v>
      </c>
      <c r="B609" s="3">
        <v>37133</v>
      </c>
      <c r="C609">
        <v>147.15</v>
      </c>
      <c r="D609">
        <v>0.91610000000000003</v>
      </c>
      <c r="E609">
        <v>26.09</v>
      </c>
      <c r="F609">
        <v>68.099999999999994</v>
      </c>
      <c r="K609" s="3"/>
      <c r="O609" s="3"/>
    </row>
    <row r="610" spans="1:15">
      <c r="A610" s="3">
        <v>37134</v>
      </c>
      <c r="B610" s="3">
        <v>37134</v>
      </c>
      <c r="C610">
        <v>147.15</v>
      </c>
      <c r="D610">
        <v>0.9123</v>
      </c>
      <c r="E610">
        <v>26.41</v>
      </c>
      <c r="F610">
        <v>67.849999999999994</v>
      </c>
      <c r="K610" s="3"/>
      <c r="O610" s="3"/>
    </row>
    <row r="611" spans="1:15">
      <c r="A611" s="3">
        <v>37135</v>
      </c>
      <c r="B611" s="3">
        <v>37135</v>
      </c>
      <c r="C611">
        <v>147.15</v>
      </c>
      <c r="D611">
        <v>0.9123</v>
      </c>
      <c r="E611">
        <v>26.41</v>
      </c>
      <c r="F611">
        <v>67.849999999999994</v>
      </c>
      <c r="K611" s="3"/>
      <c r="O611" s="3"/>
    </row>
    <row r="612" spans="1:15">
      <c r="A612" s="3">
        <v>37136</v>
      </c>
      <c r="B612" s="3">
        <v>37136</v>
      </c>
      <c r="C612">
        <v>147.15</v>
      </c>
      <c r="D612">
        <v>0.9123</v>
      </c>
      <c r="E612">
        <v>26.41</v>
      </c>
      <c r="F612">
        <v>67.849999999999994</v>
      </c>
      <c r="K612" s="3"/>
      <c r="O612" s="3"/>
    </row>
    <row r="613" spans="1:15">
      <c r="A613" s="3">
        <v>37137</v>
      </c>
      <c r="B613" s="3">
        <v>37137</v>
      </c>
      <c r="C613">
        <v>147.15</v>
      </c>
      <c r="D613">
        <v>0.90749999999999997</v>
      </c>
      <c r="E613">
        <v>26.54</v>
      </c>
      <c r="F613">
        <v>67.849999999999994</v>
      </c>
      <c r="K613" s="3"/>
      <c r="O613" s="3"/>
    </row>
    <row r="614" spans="1:15">
      <c r="A614" s="3">
        <v>37138</v>
      </c>
      <c r="B614" s="3">
        <v>37138</v>
      </c>
      <c r="C614">
        <v>147.25</v>
      </c>
      <c r="D614">
        <v>0.88890000000000002</v>
      </c>
      <c r="E614">
        <v>26.26</v>
      </c>
      <c r="F614">
        <v>67.3</v>
      </c>
      <c r="K614" s="3"/>
      <c r="O614" s="3"/>
    </row>
    <row r="615" spans="1:15">
      <c r="A615" s="3">
        <v>37139</v>
      </c>
      <c r="B615" s="3">
        <v>37139</v>
      </c>
      <c r="C615">
        <v>147.25</v>
      </c>
      <c r="D615">
        <v>0.88649999999999995</v>
      </c>
      <c r="E615">
        <v>26.32</v>
      </c>
      <c r="F615">
        <v>67.099999999999994</v>
      </c>
      <c r="K615" s="3"/>
      <c r="O615" s="3"/>
    </row>
    <row r="616" spans="1:15">
      <c r="A616" s="3">
        <v>37140</v>
      </c>
      <c r="B616" s="3">
        <v>37140</v>
      </c>
      <c r="C616">
        <v>147.25</v>
      </c>
      <c r="D616">
        <v>0.89570000000000005</v>
      </c>
      <c r="E616">
        <v>26.96</v>
      </c>
      <c r="F616">
        <v>66</v>
      </c>
      <c r="K616" s="3"/>
      <c r="O616" s="3"/>
    </row>
    <row r="617" spans="1:15">
      <c r="A617" s="3">
        <v>37141</v>
      </c>
      <c r="B617" s="3">
        <v>37141</v>
      </c>
      <c r="C617">
        <v>147.25</v>
      </c>
      <c r="D617">
        <v>0.90749999999999997</v>
      </c>
      <c r="E617">
        <v>27.69</v>
      </c>
      <c r="F617">
        <v>65.2</v>
      </c>
      <c r="K617" s="3"/>
      <c r="O617" s="3"/>
    </row>
    <row r="618" spans="1:15">
      <c r="A618" s="3">
        <v>37142</v>
      </c>
      <c r="B618" s="3">
        <v>37142</v>
      </c>
      <c r="C618">
        <v>147.25</v>
      </c>
      <c r="D618">
        <v>0.90749999999999997</v>
      </c>
      <c r="E618">
        <v>27.69</v>
      </c>
      <c r="F618">
        <v>65.2</v>
      </c>
      <c r="K618" s="3"/>
      <c r="O618" s="3"/>
    </row>
    <row r="619" spans="1:15">
      <c r="A619" s="3">
        <v>37143</v>
      </c>
      <c r="B619" s="3">
        <v>37143</v>
      </c>
      <c r="C619">
        <v>147.25</v>
      </c>
      <c r="D619">
        <v>0.90749999999999997</v>
      </c>
      <c r="E619">
        <v>27.69</v>
      </c>
      <c r="F619">
        <v>65.2</v>
      </c>
      <c r="K619" s="3"/>
      <c r="O619" s="3"/>
    </row>
    <row r="620" spans="1:15">
      <c r="A620" s="3">
        <v>37144</v>
      </c>
      <c r="B620" s="3">
        <v>37144</v>
      </c>
      <c r="C620">
        <v>147.5</v>
      </c>
      <c r="D620">
        <v>0.89800000000000002</v>
      </c>
      <c r="E620">
        <v>27.45</v>
      </c>
      <c r="F620">
        <v>65.150000000000006</v>
      </c>
      <c r="K620" s="3"/>
      <c r="O620" s="3"/>
    </row>
    <row r="621" spans="1:15">
      <c r="A621" s="3">
        <v>37145</v>
      </c>
      <c r="B621" s="3">
        <v>37145</v>
      </c>
      <c r="C621">
        <v>147.5</v>
      </c>
      <c r="D621">
        <v>0.91310000000000002</v>
      </c>
      <c r="E621">
        <v>29.06</v>
      </c>
      <c r="F621">
        <v>65.5</v>
      </c>
      <c r="K621" s="3"/>
      <c r="O621" s="3"/>
    </row>
    <row r="622" spans="1:15">
      <c r="A622" s="3">
        <v>37146</v>
      </c>
      <c r="B622" s="3">
        <v>37146</v>
      </c>
      <c r="C622">
        <v>147.5</v>
      </c>
      <c r="D622">
        <v>0.90659999999999996</v>
      </c>
      <c r="E622">
        <v>28.02</v>
      </c>
      <c r="F622">
        <v>65.5</v>
      </c>
      <c r="K622" s="3"/>
      <c r="O622" s="3"/>
    </row>
    <row r="623" spans="1:15">
      <c r="A623" s="3">
        <v>37147</v>
      </c>
      <c r="B623" s="3">
        <v>37147</v>
      </c>
      <c r="C623">
        <v>147.5</v>
      </c>
      <c r="D623">
        <v>0.91100000000000003</v>
      </c>
      <c r="E623">
        <v>28.1</v>
      </c>
      <c r="F623">
        <v>65.5</v>
      </c>
      <c r="K623" s="3"/>
      <c r="O623" s="3"/>
    </row>
    <row r="624" spans="1:15">
      <c r="A624" s="3">
        <v>37148</v>
      </c>
      <c r="B624" s="3">
        <v>37148</v>
      </c>
      <c r="C624">
        <v>147.5</v>
      </c>
      <c r="D624">
        <v>0.92069999999999996</v>
      </c>
      <c r="E624">
        <v>29.43</v>
      </c>
      <c r="F624">
        <v>66.099999999999994</v>
      </c>
      <c r="K624" s="3"/>
      <c r="O624" s="3"/>
    </row>
    <row r="625" spans="1:15">
      <c r="A625" s="3">
        <v>37149</v>
      </c>
      <c r="B625" s="3">
        <v>37149</v>
      </c>
      <c r="C625">
        <v>147.5</v>
      </c>
      <c r="D625">
        <v>0.92069999999999996</v>
      </c>
      <c r="E625">
        <v>29.43</v>
      </c>
      <c r="F625">
        <v>66.099999999999994</v>
      </c>
      <c r="K625" s="3"/>
      <c r="O625" s="3"/>
    </row>
    <row r="626" spans="1:15">
      <c r="A626" s="3">
        <v>37150</v>
      </c>
      <c r="B626" s="3">
        <v>37150</v>
      </c>
      <c r="C626">
        <v>147.5</v>
      </c>
      <c r="D626">
        <v>0.92069999999999996</v>
      </c>
      <c r="E626">
        <v>29.43</v>
      </c>
      <c r="F626">
        <v>66.099999999999994</v>
      </c>
      <c r="K626" s="3"/>
      <c r="O626" s="3"/>
    </row>
    <row r="627" spans="1:15">
      <c r="A627" s="3">
        <v>37151</v>
      </c>
      <c r="B627" s="3">
        <v>37151</v>
      </c>
      <c r="C627">
        <v>147.69999999999999</v>
      </c>
      <c r="D627">
        <v>0.92469999999999997</v>
      </c>
      <c r="E627">
        <v>28.38</v>
      </c>
      <c r="F627">
        <v>65.05</v>
      </c>
      <c r="K627" s="3"/>
      <c r="O627" s="3"/>
    </row>
    <row r="628" spans="1:15">
      <c r="A628" s="3">
        <v>37152</v>
      </c>
      <c r="B628" s="3">
        <v>37152</v>
      </c>
      <c r="C628">
        <v>147.69999999999999</v>
      </c>
      <c r="D628">
        <v>0.92710000000000004</v>
      </c>
      <c r="E628">
        <v>27.27</v>
      </c>
      <c r="F628">
        <v>65.05</v>
      </c>
      <c r="K628" s="3"/>
      <c r="O628" s="3"/>
    </row>
    <row r="629" spans="1:15">
      <c r="A629" s="3">
        <v>37153</v>
      </c>
      <c r="B629" s="3">
        <v>37153</v>
      </c>
      <c r="C629">
        <v>147.69999999999999</v>
      </c>
      <c r="D629">
        <v>0.92669999999999997</v>
      </c>
      <c r="E629">
        <v>26.32</v>
      </c>
      <c r="F629">
        <v>64.849999999999994</v>
      </c>
      <c r="K629" s="3"/>
      <c r="O629" s="3"/>
    </row>
    <row r="630" spans="1:15">
      <c r="A630" s="3">
        <v>37154</v>
      </c>
      <c r="B630" s="3">
        <v>37154</v>
      </c>
      <c r="C630">
        <v>147.69999999999999</v>
      </c>
      <c r="D630">
        <v>0.92769999999999997</v>
      </c>
      <c r="E630">
        <v>25.92</v>
      </c>
      <c r="F630">
        <v>64.75</v>
      </c>
      <c r="K630" s="3"/>
      <c r="O630" s="3"/>
    </row>
    <row r="631" spans="1:15">
      <c r="A631" s="3">
        <v>37155</v>
      </c>
      <c r="B631" s="3">
        <v>37155</v>
      </c>
      <c r="C631">
        <v>147.69999999999999</v>
      </c>
      <c r="D631">
        <v>0.91490000000000005</v>
      </c>
      <c r="E631">
        <v>25.44</v>
      </c>
      <c r="F631">
        <v>65.7</v>
      </c>
      <c r="K631" s="3"/>
      <c r="O631" s="3"/>
    </row>
    <row r="632" spans="1:15">
      <c r="A632" s="3">
        <v>37156</v>
      </c>
      <c r="B632" s="3">
        <v>37156</v>
      </c>
      <c r="C632">
        <v>147.69999999999999</v>
      </c>
      <c r="D632">
        <v>0.91490000000000005</v>
      </c>
      <c r="E632">
        <v>25.44</v>
      </c>
      <c r="F632">
        <v>65.7</v>
      </c>
      <c r="K632" s="3"/>
      <c r="O632" s="3"/>
    </row>
    <row r="633" spans="1:15">
      <c r="A633" s="3">
        <v>37157</v>
      </c>
      <c r="B633" s="3">
        <v>37157</v>
      </c>
      <c r="C633">
        <v>147.69999999999999</v>
      </c>
      <c r="D633">
        <v>0.91490000000000005</v>
      </c>
      <c r="E633">
        <v>25.44</v>
      </c>
      <c r="F633">
        <v>65.7</v>
      </c>
      <c r="K633" s="3"/>
      <c r="O633" s="3"/>
    </row>
    <row r="634" spans="1:15">
      <c r="A634" s="3">
        <v>37158</v>
      </c>
      <c r="B634" s="3">
        <v>37158</v>
      </c>
      <c r="C634">
        <v>147.69999999999999</v>
      </c>
      <c r="D634">
        <v>0.91710000000000003</v>
      </c>
      <c r="E634">
        <v>22.02</v>
      </c>
      <c r="F634">
        <v>65.3</v>
      </c>
      <c r="K634" s="3"/>
      <c r="O634" s="3"/>
    </row>
    <row r="635" spans="1:15">
      <c r="A635" s="3">
        <v>37159</v>
      </c>
      <c r="B635" s="3">
        <v>37159</v>
      </c>
      <c r="C635">
        <v>147.69999999999999</v>
      </c>
      <c r="D635">
        <v>0.92279999999999995</v>
      </c>
      <c r="E635">
        <v>22.38</v>
      </c>
      <c r="F635">
        <v>64.75</v>
      </c>
      <c r="K635" s="3"/>
      <c r="O635" s="3"/>
    </row>
    <row r="636" spans="1:15">
      <c r="A636" s="3">
        <v>37160</v>
      </c>
      <c r="B636" s="3">
        <v>37160</v>
      </c>
      <c r="C636">
        <v>147.69999999999999</v>
      </c>
      <c r="D636">
        <v>0.92310000000000003</v>
      </c>
      <c r="E636">
        <v>23</v>
      </c>
      <c r="F636">
        <v>65.349999999999994</v>
      </c>
      <c r="K636" s="3"/>
      <c r="O636" s="3"/>
    </row>
    <row r="637" spans="1:15">
      <c r="A637" s="3">
        <v>37161</v>
      </c>
      <c r="B637" s="3">
        <v>37161</v>
      </c>
      <c r="C637">
        <v>147.69999999999999</v>
      </c>
      <c r="D637">
        <v>0.91830000000000001</v>
      </c>
      <c r="E637">
        <v>22.79</v>
      </c>
      <c r="F637">
        <v>65.650000000000006</v>
      </c>
      <c r="K637" s="3"/>
      <c r="O637" s="3"/>
    </row>
    <row r="638" spans="1:15">
      <c r="A638" s="3">
        <v>37162</v>
      </c>
      <c r="B638" s="3">
        <v>37162</v>
      </c>
      <c r="C638">
        <v>147.69999999999999</v>
      </c>
      <c r="D638">
        <v>0.91139999999999999</v>
      </c>
      <c r="E638">
        <v>23.26</v>
      </c>
      <c r="F638">
        <v>65.2</v>
      </c>
      <c r="K638" s="3"/>
      <c r="O638" s="3"/>
    </row>
    <row r="639" spans="1:15">
      <c r="A639" s="3">
        <v>37163</v>
      </c>
      <c r="B639" s="3">
        <v>37163</v>
      </c>
      <c r="C639">
        <v>147.69999999999999</v>
      </c>
      <c r="D639">
        <v>0.91139999999999999</v>
      </c>
      <c r="E639">
        <v>23.26</v>
      </c>
      <c r="F639">
        <v>65.2</v>
      </c>
      <c r="K639" s="3"/>
      <c r="O639" s="3"/>
    </row>
    <row r="640" spans="1:15">
      <c r="A640" s="3">
        <v>37164</v>
      </c>
      <c r="B640" s="3">
        <v>37164</v>
      </c>
      <c r="C640">
        <v>147.69999999999999</v>
      </c>
      <c r="D640">
        <v>0.91139999999999999</v>
      </c>
      <c r="E640">
        <v>23.26</v>
      </c>
      <c r="F640">
        <v>65.2</v>
      </c>
      <c r="K640" s="3"/>
      <c r="O640" s="3"/>
    </row>
    <row r="641" spans="1:15">
      <c r="A641" s="3">
        <v>37165</v>
      </c>
      <c r="B641" s="3">
        <v>37165</v>
      </c>
      <c r="C641">
        <v>147.94999999999999</v>
      </c>
      <c r="D641">
        <v>0.91749999999999998</v>
      </c>
      <c r="E641">
        <v>22.89</v>
      </c>
      <c r="F641">
        <v>65.05</v>
      </c>
      <c r="K641" s="3"/>
      <c r="O641" s="3"/>
    </row>
    <row r="642" spans="1:15">
      <c r="A642" s="3">
        <v>37166</v>
      </c>
      <c r="B642" s="3">
        <v>37166</v>
      </c>
      <c r="C642">
        <v>147.75</v>
      </c>
      <c r="D642">
        <v>0.91890000000000005</v>
      </c>
      <c r="E642">
        <v>22.05</v>
      </c>
      <c r="F642">
        <v>65</v>
      </c>
      <c r="K642" s="3"/>
      <c r="O642" s="3"/>
    </row>
    <row r="643" spans="1:15">
      <c r="A643" s="3">
        <v>37167</v>
      </c>
      <c r="B643" s="3">
        <v>37167</v>
      </c>
      <c r="C643">
        <v>147.75</v>
      </c>
      <c r="D643">
        <v>0.91449999999999998</v>
      </c>
      <c r="E643">
        <v>21.52</v>
      </c>
      <c r="F643">
        <v>64.25</v>
      </c>
      <c r="K643" s="3"/>
      <c r="O643" s="3"/>
    </row>
    <row r="644" spans="1:15">
      <c r="A644" s="3">
        <v>37168</v>
      </c>
      <c r="B644" s="3">
        <v>37168</v>
      </c>
      <c r="C644">
        <v>147.75</v>
      </c>
      <c r="D644">
        <v>0.91779999999999995</v>
      </c>
      <c r="E644">
        <v>22.15</v>
      </c>
      <c r="F644">
        <v>64.45</v>
      </c>
      <c r="K644" s="3"/>
      <c r="O644" s="3"/>
    </row>
    <row r="645" spans="1:15">
      <c r="A645" s="3">
        <v>37169</v>
      </c>
      <c r="B645" s="3">
        <v>37169</v>
      </c>
      <c r="C645">
        <v>147.75</v>
      </c>
      <c r="D645">
        <v>0.91830000000000001</v>
      </c>
      <c r="E645">
        <v>21.63</v>
      </c>
      <c r="F645">
        <v>64.05</v>
      </c>
      <c r="K645" s="3"/>
      <c r="O645" s="3"/>
    </row>
    <row r="646" spans="1:15">
      <c r="A646" s="3">
        <v>37170</v>
      </c>
      <c r="B646" s="3">
        <v>37170</v>
      </c>
      <c r="C646">
        <v>147.75</v>
      </c>
      <c r="D646">
        <v>0.91830000000000001</v>
      </c>
      <c r="E646">
        <v>21.63</v>
      </c>
      <c r="F646">
        <v>64.05</v>
      </c>
      <c r="K646" s="3"/>
      <c r="O646" s="3"/>
    </row>
    <row r="647" spans="1:15">
      <c r="A647" s="3">
        <v>37171</v>
      </c>
      <c r="B647" s="3">
        <v>37171</v>
      </c>
      <c r="C647">
        <v>147.75</v>
      </c>
      <c r="D647">
        <v>0.91830000000000001</v>
      </c>
      <c r="E647">
        <v>21.63</v>
      </c>
      <c r="F647">
        <v>64.05</v>
      </c>
      <c r="K647" s="3"/>
      <c r="O647" s="3"/>
    </row>
    <row r="648" spans="1:15">
      <c r="A648" s="3">
        <v>37172</v>
      </c>
      <c r="B648" s="3">
        <v>37172</v>
      </c>
      <c r="C648">
        <v>147.9</v>
      </c>
      <c r="D648">
        <v>0.92049999999999998</v>
      </c>
      <c r="E648">
        <v>21.57</v>
      </c>
      <c r="F648">
        <v>64.349999999999994</v>
      </c>
      <c r="K648" s="3"/>
      <c r="O648" s="3"/>
    </row>
    <row r="649" spans="1:15">
      <c r="A649" s="3">
        <v>37173</v>
      </c>
      <c r="B649" s="3">
        <v>37173</v>
      </c>
      <c r="C649">
        <v>147.9</v>
      </c>
      <c r="D649">
        <v>0.91320000000000001</v>
      </c>
      <c r="E649">
        <v>21.88</v>
      </c>
      <c r="F649">
        <v>64.150000000000006</v>
      </c>
      <c r="K649" s="3"/>
      <c r="O649" s="3"/>
    </row>
    <row r="650" spans="1:15">
      <c r="A650" s="3">
        <v>37174</v>
      </c>
      <c r="B650" s="3">
        <v>37174</v>
      </c>
      <c r="C650">
        <v>147.9</v>
      </c>
      <c r="D650">
        <v>0.91100000000000003</v>
      </c>
      <c r="E650">
        <v>22.01</v>
      </c>
      <c r="F650">
        <v>64</v>
      </c>
      <c r="K650" s="3"/>
      <c r="O650" s="3"/>
    </row>
    <row r="651" spans="1:15">
      <c r="A651" s="3">
        <v>37175</v>
      </c>
      <c r="B651" s="3">
        <v>37175</v>
      </c>
      <c r="C651">
        <v>147.9</v>
      </c>
      <c r="D651">
        <v>0.90229999999999999</v>
      </c>
      <c r="E651">
        <v>22.46</v>
      </c>
      <c r="F651">
        <v>64.150000000000006</v>
      </c>
      <c r="K651" s="3"/>
      <c r="O651" s="3"/>
    </row>
    <row r="652" spans="1:15">
      <c r="A652" s="3">
        <v>37176</v>
      </c>
      <c r="B652" s="3">
        <v>37176</v>
      </c>
      <c r="C652">
        <v>147.9</v>
      </c>
      <c r="D652">
        <v>0.91149999999999998</v>
      </c>
      <c r="E652">
        <v>21.73</v>
      </c>
      <c r="F652">
        <v>64.05</v>
      </c>
      <c r="K652" s="3"/>
      <c r="O652" s="3"/>
    </row>
    <row r="653" spans="1:15">
      <c r="A653" s="3">
        <v>37177</v>
      </c>
      <c r="B653" s="3">
        <v>37177</v>
      </c>
      <c r="C653">
        <v>147.9</v>
      </c>
      <c r="D653">
        <v>0.91149999999999998</v>
      </c>
      <c r="E653">
        <v>21.73</v>
      </c>
      <c r="F653">
        <v>64.05</v>
      </c>
      <c r="K653" s="3"/>
      <c r="O653" s="3"/>
    </row>
    <row r="654" spans="1:15">
      <c r="A654" s="3">
        <v>37178</v>
      </c>
      <c r="B654" s="3">
        <v>37178</v>
      </c>
      <c r="C654">
        <v>147.9</v>
      </c>
      <c r="D654">
        <v>0.91149999999999998</v>
      </c>
      <c r="E654">
        <v>21.73</v>
      </c>
      <c r="F654">
        <v>64.05</v>
      </c>
      <c r="K654" s="3"/>
      <c r="O654" s="3"/>
    </row>
    <row r="655" spans="1:15">
      <c r="A655" s="3">
        <v>37179</v>
      </c>
      <c r="B655" s="3">
        <v>37179</v>
      </c>
      <c r="C655">
        <v>147.9</v>
      </c>
      <c r="D655">
        <v>0.90920000000000001</v>
      </c>
      <c r="E655">
        <v>21.68</v>
      </c>
      <c r="F655">
        <v>63.95</v>
      </c>
      <c r="K655" s="3"/>
      <c r="O655" s="3"/>
    </row>
    <row r="656" spans="1:15">
      <c r="A656" s="3">
        <v>37180</v>
      </c>
      <c r="B656" s="3">
        <v>37180</v>
      </c>
      <c r="C656">
        <v>148</v>
      </c>
      <c r="D656">
        <v>0.90839999999999999</v>
      </c>
      <c r="E656">
        <v>21.7</v>
      </c>
      <c r="F656">
        <v>64.400000000000006</v>
      </c>
      <c r="K656" s="3"/>
      <c r="O656" s="3"/>
    </row>
    <row r="657" spans="1:15">
      <c r="A657" s="3">
        <v>37181</v>
      </c>
      <c r="B657" s="3">
        <v>37181</v>
      </c>
      <c r="C657">
        <v>148</v>
      </c>
      <c r="D657">
        <v>0.90359999999999996</v>
      </c>
      <c r="E657">
        <v>20.99</v>
      </c>
      <c r="F657">
        <v>63.9</v>
      </c>
      <c r="K657" s="3"/>
      <c r="O657" s="3"/>
    </row>
    <row r="658" spans="1:15">
      <c r="A658" s="3">
        <v>37182</v>
      </c>
      <c r="B658" s="3">
        <v>37182</v>
      </c>
      <c r="C658">
        <v>148</v>
      </c>
      <c r="D658">
        <v>0.90310000000000001</v>
      </c>
      <c r="E658">
        <v>20.62</v>
      </c>
      <c r="F658">
        <v>63.2</v>
      </c>
      <c r="K658" s="3"/>
      <c r="O658" s="3"/>
    </row>
    <row r="659" spans="1:15">
      <c r="A659" s="3">
        <v>37183</v>
      </c>
      <c r="B659" s="3">
        <v>37183</v>
      </c>
      <c r="C659">
        <v>148.04</v>
      </c>
      <c r="D659">
        <v>0.8992</v>
      </c>
      <c r="E659">
        <v>21.35</v>
      </c>
      <c r="F659">
        <v>62.35</v>
      </c>
      <c r="K659" s="3"/>
      <c r="O659" s="3"/>
    </row>
    <row r="660" spans="1:15">
      <c r="A660" s="3">
        <v>37184</v>
      </c>
      <c r="B660" s="3">
        <v>37184</v>
      </c>
      <c r="C660">
        <v>148.04</v>
      </c>
      <c r="D660">
        <v>0.8992</v>
      </c>
      <c r="E660">
        <v>21.35</v>
      </c>
      <c r="F660">
        <v>62.35</v>
      </c>
      <c r="K660" s="3"/>
      <c r="O660" s="3"/>
    </row>
    <row r="661" spans="1:15">
      <c r="A661" s="3">
        <v>37185</v>
      </c>
      <c r="B661" s="3">
        <v>37185</v>
      </c>
      <c r="C661">
        <v>148.04</v>
      </c>
      <c r="D661">
        <v>0.8992</v>
      </c>
      <c r="E661">
        <v>21.35</v>
      </c>
      <c r="F661">
        <v>62.35</v>
      </c>
      <c r="K661" s="3"/>
      <c r="O661" s="3"/>
    </row>
    <row r="662" spans="1:15">
      <c r="A662" s="3">
        <v>37186</v>
      </c>
      <c r="B662" s="3">
        <v>37186</v>
      </c>
      <c r="C662">
        <v>148.04</v>
      </c>
      <c r="D662">
        <v>0.89200000000000002</v>
      </c>
      <c r="E662">
        <v>21.05</v>
      </c>
      <c r="F662">
        <v>62.5</v>
      </c>
      <c r="K662" s="3"/>
      <c r="O662" s="3"/>
    </row>
    <row r="663" spans="1:15">
      <c r="A663" s="3">
        <v>37187</v>
      </c>
      <c r="B663" s="3">
        <v>37187</v>
      </c>
      <c r="C663">
        <v>148</v>
      </c>
      <c r="D663">
        <v>0.89049999999999996</v>
      </c>
      <c r="E663">
        <v>20.94</v>
      </c>
      <c r="F663">
        <v>63</v>
      </c>
      <c r="K663" s="3"/>
      <c r="O663" s="3"/>
    </row>
    <row r="664" spans="1:15">
      <c r="A664" s="3">
        <v>37188</v>
      </c>
      <c r="B664" s="3">
        <v>37188</v>
      </c>
      <c r="C664">
        <v>148</v>
      </c>
      <c r="D664">
        <v>0.89419999999999999</v>
      </c>
      <c r="E664">
        <v>21.26</v>
      </c>
      <c r="F664">
        <v>62.25</v>
      </c>
      <c r="K664" s="3"/>
      <c r="O664" s="3"/>
    </row>
    <row r="665" spans="1:15">
      <c r="A665" s="3">
        <v>37189</v>
      </c>
      <c r="B665" s="3">
        <v>37189</v>
      </c>
      <c r="C665">
        <v>148</v>
      </c>
      <c r="D665">
        <v>0.89249999999999996</v>
      </c>
      <c r="E665">
        <v>21.01</v>
      </c>
      <c r="F665">
        <v>62.6</v>
      </c>
      <c r="K665" s="3"/>
      <c r="O665" s="3"/>
    </row>
    <row r="666" spans="1:15">
      <c r="A666" s="3">
        <v>37190</v>
      </c>
      <c r="B666" s="3">
        <v>37190</v>
      </c>
      <c r="C666">
        <v>148</v>
      </c>
      <c r="D666">
        <v>0.89300000000000002</v>
      </c>
      <c r="E666">
        <v>21.02</v>
      </c>
      <c r="F666">
        <v>63.5</v>
      </c>
      <c r="K666" s="3"/>
      <c r="O666" s="3"/>
    </row>
    <row r="667" spans="1:15">
      <c r="A667" s="3">
        <v>37191</v>
      </c>
      <c r="B667" s="3">
        <v>37191</v>
      </c>
      <c r="C667">
        <v>148</v>
      </c>
      <c r="D667">
        <v>0.89300000000000002</v>
      </c>
      <c r="E667">
        <v>21.02</v>
      </c>
      <c r="F667">
        <v>63.5</v>
      </c>
      <c r="K667" s="3"/>
      <c r="O667" s="3"/>
    </row>
    <row r="668" spans="1:15">
      <c r="A668" s="3">
        <v>37192</v>
      </c>
      <c r="B668" s="3">
        <v>37192</v>
      </c>
      <c r="C668">
        <v>148</v>
      </c>
      <c r="D668">
        <v>0.89300000000000002</v>
      </c>
      <c r="E668">
        <v>21.02</v>
      </c>
      <c r="F668">
        <v>63.5</v>
      </c>
      <c r="K668" s="3"/>
      <c r="O668" s="3"/>
    </row>
    <row r="669" spans="1:15">
      <c r="A669" s="3">
        <v>37193</v>
      </c>
      <c r="B669" s="3">
        <v>37193</v>
      </c>
      <c r="C669">
        <v>148.1</v>
      </c>
      <c r="D669">
        <v>0.90539999999999998</v>
      </c>
      <c r="E669">
        <v>21.1</v>
      </c>
      <c r="F669">
        <v>63.1</v>
      </c>
      <c r="K669" s="3"/>
      <c r="O669" s="3"/>
    </row>
    <row r="670" spans="1:15">
      <c r="A670" s="3">
        <v>37194</v>
      </c>
      <c r="B670" s="3">
        <v>37194</v>
      </c>
      <c r="C670">
        <v>148.1</v>
      </c>
      <c r="D670">
        <v>0.90459999999999996</v>
      </c>
      <c r="E670">
        <v>20.91</v>
      </c>
      <c r="F670">
        <v>63.75</v>
      </c>
      <c r="K670" s="3"/>
      <c r="O670" s="3"/>
    </row>
    <row r="671" spans="1:15">
      <c r="A671" s="3">
        <v>37195</v>
      </c>
      <c r="B671" s="3">
        <v>37195</v>
      </c>
      <c r="C671">
        <v>148.1</v>
      </c>
      <c r="D671">
        <v>0.90049999999999997</v>
      </c>
      <c r="E671">
        <v>20.37</v>
      </c>
      <c r="F671">
        <v>62.5</v>
      </c>
      <c r="K671" s="3"/>
      <c r="O671" s="3"/>
    </row>
    <row r="672" spans="1:15">
      <c r="A672" s="3">
        <v>37196</v>
      </c>
      <c r="B672" s="3">
        <v>37196</v>
      </c>
      <c r="C672">
        <v>148.36000000000001</v>
      </c>
      <c r="D672">
        <v>0.90249999999999997</v>
      </c>
      <c r="E672">
        <v>19.62</v>
      </c>
      <c r="F672">
        <v>62.05</v>
      </c>
      <c r="K672" s="3"/>
      <c r="O672" s="3"/>
    </row>
    <row r="673" spans="1:15">
      <c r="A673" s="3">
        <v>37197</v>
      </c>
      <c r="B673" s="3">
        <v>37197</v>
      </c>
      <c r="C673">
        <v>148.1</v>
      </c>
      <c r="D673">
        <v>0.90269999999999995</v>
      </c>
      <c r="E673">
        <v>19.77</v>
      </c>
      <c r="F673">
        <v>61.4</v>
      </c>
      <c r="K673" s="3"/>
      <c r="O673" s="3"/>
    </row>
    <row r="674" spans="1:15">
      <c r="A674" s="3">
        <v>37198</v>
      </c>
      <c r="B674" s="3">
        <v>37198</v>
      </c>
      <c r="C674">
        <v>148.1</v>
      </c>
      <c r="D674">
        <v>0.90269999999999995</v>
      </c>
      <c r="E674">
        <v>19.77</v>
      </c>
      <c r="F674">
        <v>61.4</v>
      </c>
      <c r="K674" s="3"/>
      <c r="O674" s="3"/>
    </row>
    <row r="675" spans="1:15">
      <c r="A675" s="3">
        <v>37199</v>
      </c>
      <c r="B675" s="3">
        <v>37199</v>
      </c>
      <c r="C675">
        <v>148.1</v>
      </c>
      <c r="D675">
        <v>0.90269999999999995</v>
      </c>
      <c r="E675">
        <v>19.77</v>
      </c>
      <c r="F675">
        <v>61.4</v>
      </c>
      <c r="K675" s="3"/>
      <c r="O675" s="3"/>
    </row>
    <row r="676" spans="1:15">
      <c r="A676" s="3">
        <v>37200</v>
      </c>
      <c r="B676" s="3">
        <v>37200</v>
      </c>
      <c r="C676">
        <v>148.30000000000001</v>
      </c>
      <c r="D676">
        <v>0.89770000000000005</v>
      </c>
      <c r="E676">
        <v>19.440000000000001</v>
      </c>
      <c r="F676">
        <v>61.6</v>
      </c>
      <c r="K676" s="3"/>
      <c r="O676" s="3"/>
    </row>
    <row r="677" spans="1:15">
      <c r="A677" s="3">
        <v>37201</v>
      </c>
      <c r="B677" s="3">
        <v>37201</v>
      </c>
      <c r="C677">
        <v>148.30000000000001</v>
      </c>
      <c r="D677">
        <v>0.89470000000000005</v>
      </c>
      <c r="E677">
        <v>19.07</v>
      </c>
      <c r="F677">
        <v>61.6</v>
      </c>
      <c r="K677" s="3"/>
      <c r="O677" s="3"/>
    </row>
    <row r="678" spans="1:15">
      <c r="A678" s="3">
        <v>37202</v>
      </c>
      <c r="B678" s="3">
        <v>37202</v>
      </c>
      <c r="C678">
        <v>148.30000000000001</v>
      </c>
      <c r="D678">
        <v>0.89759999999999995</v>
      </c>
      <c r="E678">
        <v>19.329999999999998</v>
      </c>
      <c r="F678">
        <v>60.6</v>
      </c>
      <c r="K678" s="3"/>
      <c r="O678" s="3"/>
    </row>
    <row r="679" spans="1:15">
      <c r="A679" s="3">
        <v>37203</v>
      </c>
      <c r="B679" s="3">
        <v>37203</v>
      </c>
      <c r="C679">
        <v>148.30000000000001</v>
      </c>
      <c r="D679">
        <v>0.89239999999999997</v>
      </c>
      <c r="E679">
        <v>20.28</v>
      </c>
      <c r="F679">
        <v>61.5</v>
      </c>
      <c r="K679" s="3"/>
      <c r="O679" s="3"/>
    </row>
    <row r="680" spans="1:15">
      <c r="A680" s="3">
        <v>37204</v>
      </c>
      <c r="B680" s="3">
        <v>37204</v>
      </c>
      <c r="C680">
        <v>148.30000000000001</v>
      </c>
      <c r="D680">
        <v>0.89390000000000003</v>
      </c>
      <c r="E680">
        <v>21.38</v>
      </c>
      <c r="F680">
        <v>64.099999999999994</v>
      </c>
      <c r="K680" s="3"/>
      <c r="O680" s="3"/>
    </row>
    <row r="681" spans="1:15">
      <c r="A681" s="3">
        <v>37205</v>
      </c>
      <c r="B681" s="3">
        <v>37205</v>
      </c>
      <c r="C681">
        <v>148.30000000000001</v>
      </c>
      <c r="D681">
        <v>0.89390000000000003</v>
      </c>
      <c r="E681">
        <v>21.38</v>
      </c>
      <c r="F681">
        <v>64.099999999999994</v>
      </c>
      <c r="K681" s="3"/>
      <c r="O681" s="3"/>
    </row>
    <row r="682" spans="1:15">
      <c r="A682" s="3">
        <v>37206</v>
      </c>
      <c r="B682" s="3">
        <v>37206</v>
      </c>
      <c r="C682">
        <v>148.30000000000001</v>
      </c>
      <c r="D682">
        <v>0.89390000000000003</v>
      </c>
      <c r="E682">
        <v>21.38</v>
      </c>
      <c r="F682">
        <v>64.099999999999994</v>
      </c>
      <c r="K682" s="3"/>
      <c r="O682" s="3"/>
    </row>
    <row r="683" spans="1:15">
      <c r="A683" s="3">
        <v>37207</v>
      </c>
      <c r="B683" s="3">
        <v>37207</v>
      </c>
      <c r="C683">
        <v>148.44999999999999</v>
      </c>
      <c r="D683">
        <v>0.89359999999999995</v>
      </c>
      <c r="E683">
        <v>20.39</v>
      </c>
      <c r="F683">
        <v>65.8</v>
      </c>
      <c r="K683" s="3"/>
      <c r="O683" s="3"/>
    </row>
    <row r="684" spans="1:15">
      <c r="A684" s="3">
        <v>37208</v>
      </c>
      <c r="B684" s="3">
        <v>37208</v>
      </c>
      <c r="C684">
        <v>148.44999999999999</v>
      </c>
      <c r="D684">
        <v>0.88100000000000001</v>
      </c>
      <c r="E684">
        <v>20.81</v>
      </c>
      <c r="F684">
        <v>67.7</v>
      </c>
      <c r="K684" s="3"/>
      <c r="O684" s="3"/>
    </row>
    <row r="685" spans="1:15">
      <c r="A685" s="3">
        <v>37209</v>
      </c>
      <c r="B685" s="3">
        <v>37209</v>
      </c>
      <c r="C685">
        <v>148.44999999999999</v>
      </c>
      <c r="D685">
        <v>0.88229999999999997</v>
      </c>
      <c r="E685">
        <v>18.75</v>
      </c>
      <c r="F685">
        <v>67.7</v>
      </c>
      <c r="K685" s="3"/>
      <c r="O685" s="3"/>
    </row>
    <row r="686" spans="1:15">
      <c r="A686" s="3">
        <v>37210</v>
      </c>
      <c r="B686" s="3">
        <v>37210</v>
      </c>
      <c r="C686">
        <v>148.44999999999999</v>
      </c>
      <c r="D686">
        <v>0.88170000000000004</v>
      </c>
      <c r="E686">
        <v>17.68</v>
      </c>
      <c r="F686">
        <v>67.25</v>
      </c>
      <c r="K686" s="3"/>
      <c r="O686" s="3"/>
    </row>
    <row r="687" spans="1:15">
      <c r="A687" s="3">
        <v>37211</v>
      </c>
      <c r="B687" s="3">
        <v>37211</v>
      </c>
      <c r="C687">
        <v>148.44999999999999</v>
      </c>
      <c r="D687">
        <v>0.88429999999999997</v>
      </c>
      <c r="E687">
        <v>17.75</v>
      </c>
      <c r="F687">
        <v>68.2</v>
      </c>
      <c r="K687" s="3"/>
      <c r="O687" s="3"/>
    </row>
    <row r="688" spans="1:15">
      <c r="A688" s="3">
        <v>37212</v>
      </c>
      <c r="B688" s="3">
        <v>37212</v>
      </c>
      <c r="C688">
        <v>148.44999999999999</v>
      </c>
      <c r="D688">
        <v>0.88429999999999997</v>
      </c>
      <c r="E688">
        <v>17.75</v>
      </c>
      <c r="F688">
        <v>68.2</v>
      </c>
      <c r="K688" s="3"/>
      <c r="O688" s="3"/>
    </row>
    <row r="689" spans="1:15">
      <c r="A689" s="3">
        <v>37213</v>
      </c>
      <c r="B689" s="3">
        <v>37213</v>
      </c>
      <c r="C689">
        <v>148.44999999999999</v>
      </c>
      <c r="D689">
        <v>0.88429999999999997</v>
      </c>
      <c r="E689">
        <v>17.75</v>
      </c>
      <c r="F689">
        <v>68.2</v>
      </c>
      <c r="K689" s="3"/>
      <c r="O689" s="3"/>
    </row>
    <row r="690" spans="1:15">
      <c r="A690" s="3">
        <v>37214</v>
      </c>
      <c r="B690" s="3">
        <v>37214</v>
      </c>
      <c r="C690">
        <v>148.55000000000001</v>
      </c>
      <c r="D690">
        <v>0.87909999999999999</v>
      </c>
      <c r="E690">
        <v>18.010000000000002</v>
      </c>
      <c r="F690">
        <v>68.3</v>
      </c>
      <c r="K690" s="3"/>
      <c r="O690" s="3"/>
    </row>
    <row r="691" spans="1:15">
      <c r="A691" s="3">
        <v>37215</v>
      </c>
      <c r="B691" s="3">
        <v>37215</v>
      </c>
      <c r="C691">
        <v>148.55000000000001</v>
      </c>
      <c r="D691">
        <v>0.88329999999999997</v>
      </c>
      <c r="E691">
        <v>18.75</v>
      </c>
      <c r="F691">
        <v>67.3</v>
      </c>
      <c r="K691" s="3"/>
      <c r="O691" s="3"/>
    </row>
    <row r="692" spans="1:15">
      <c r="A692" s="3">
        <v>37216</v>
      </c>
      <c r="B692" s="3">
        <v>37216</v>
      </c>
      <c r="C692">
        <v>148.55000000000001</v>
      </c>
      <c r="D692">
        <v>0.87860000000000005</v>
      </c>
      <c r="E692">
        <v>18.73</v>
      </c>
      <c r="F692">
        <v>67.7</v>
      </c>
      <c r="K692" s="3"/>
      <c r="O692" s="3"/>
    </row>
    <row r="693" spans="1:15">
      <c r="A693" s="3">
        <v>37217</v>
      </c>
      <c r="B693" s="3">
        <v>37217</v>
      </c>
      <c r="C693">
        <v>148.55000000000001</v>
      </c>
      <c r="D693">
        <v>0.87790000000000001</v>
      </c>
      <c r="E693">
        <v>19.899999999999999</v>
      </c>
      <c r="F693">
        <v>67.7</v>
      </c>
      <c r="K693" s="3"/>
      <c r="O693" s="3"/>
    </row>
    <row r="694" spans="1:15">
      <c r="A694" s="3">
        <v>37218</v>
      </c>
      <c r="B694" s="3">
        <v>37218</v>
      </c>
      <c r="C694">
        <v>148.55000000000001</v>
      </c>
      <c r="D694">
        <v>0.878</v>
      </c>
      <c r="E694">
        <v>19.28</v>
      </c>
      <c r="F694">
        <v>67.7</v>
      </c>
      <c r="K694" s="3"/>
      <c r="O694" s="3"/>
    </row>
    <row r="695" spans="1:15">
      <c r="A695" s="3">
        <v>37219</v>
      </c>
      <c r="B695" s="3">
        <v>37219</v>
      </c>
      <c r="C695">
        <v>148.55000000000001</v>
      </c>
      <c r="D695">
        <v>0.878</v>
      </c>
      <c r="E695">
        <v>19.28</v>
      </c>
      <c r="F695">
        <v>67.7</v>
      </c>
      <c r="K695" s="3"/>
      <c r="O695" s="3"/>
    </row>
    <row r="696" spans="1:15">
      <c r="A696" s="3">
        <v>37220</v>
      </c>
      <c r="B696" s="3">
        <v>37220</v>
      </c>
      <c r="C696">
        <v>148.55000000000001</v>
      </c>
      <c r="D696">
        <v>0.878</v>
      </c>
      <c r="E696">
        <v>19.28</v>
      </c>
      <c r="F696">
        <v>67.7</v>
      </c>
      <c r="K696" s="3"/>
      <c r="O696" s="3"/>
    </row>
    <row r="697" spans="1:15">
      <c r="A697" s="3">
        <v>37221</v>
      </c>
      <c r="B697" s="3">
        <v>37221</v>
      </c>
      <c r="C697">
        <v>148.55000000000001</v>
      </c>
      <c r="D697">
        <v>0.88029999999999997</v>
      </c>
      <c r="E697">
        <v>18.36</v>
      </c>
      <c r="F697">
        <v>68.3</v>
      </c>
      <c r="K697" s="3"/>
      <c r="O697" s="3"/>
    </row>
    <row r="698" spans="1:15">
      <c r="A698" s="3">
        <v>37222</v>
      </c>
      <c r="B698" s="3">
        <v>37222</v>
      </c>
      <c r="C698">
        <v>148.55000000000001</v>
      </c>
      <c r="D698">
        <v>0.88339999999999996</v>
      </c>
      <c r="E698">
        <v>19.02</v>
      </c>
      <c r="F698">
        <v>70.349999999999994</v>
      </c>
      <c r="K698" s="3"/>
      <c r="O698" s="3"/>
    </row>
    <row r="699" spans="1:15">
      <c r="A699" s="3">
        <v>37223</v>
      </c>
      <c r="B699" s="3">
        <v>37223</v>
      </c>
      <c r="C699">
        <v>148.55000000000001</v>
      </c>
      <c r="D699">
        <v>0.88770000000000004</v>
      </c>
      <c r="E699">
        <v>18.690000000000001</v>
      </c>
      <c r="F699">
        <v>70.5</v>
      </c>
      <c r="K699" s="3"/>
      <c r="O699" s="3"/>
    </row>
    <row r="700" spans="1:15">
      <c r="A700" s="3">
        <v>37224</v>
      </c>
      <c r="B700" s="3">
        <v>37224</v>
      </c>
      <c r="C700">
        <v>148.55000000000001</v>
      </c>
      <c r="D700">
        <v>0.88749999999999996</v>
      </c>
      <c r="E700">
        <v>18.41</v>
      </c>
      <c r="F700">
        <v>71.3</v>
      </c>
      <c r="K700" s="3"/>
      <c r="O700" s="3"/>
    </row>
    <row r="701" spans="1:15">
      <c r="A701" s="3">
        <v>37225</v>
      </c>
      <c r="B701" s="3">
        <v>37225</v>
      </c>
      <c r="C701">
        <v>148.55000000000001</v>
      </c>
      <c r="D701">
        <v>0.89639999999999997</v>
      </c>
      <c r="E701">
        <v>19.14</v>
      </c>
      <c r="F701">
        <v>72.2</v>
      </c>
      <c r="K701" s="3"/>
      <c r="O701" s="3"/>
    </row>
    <row r="702" spans="1:15">
      <c r="A702" s="3">
        <v>37226</v>
      </c>
      <c r="B702" s="3">
        <v>37226</v>
      </c>
      <c r="C702">
        <v>148.55000000000001</v>
      </c>
      <c r="D702">
        <v>0.89639999999999997</v>
      </c>
      <c r="E702">
        <v>19.14</v>
      </c>
      <c r="F702">
        <v>72.2</v>
      </c>
      <c r="K702" s="3"/>
      <c r="O702" s="3"/>
    </row>
    <row r="703" spans="1:15">
      <c r="A703" s="3">
        <v>37227</v>
      </c>
      <c r="B703" s="3">
        <v>37227</v>
      </c>
      <c r="C703">
        <v>148.55000000000001</v>
      </c>
      <c r="D703">
        <v>0.89639999999999997</v>
      </c>
      <c r="E703">
        <v>19.14</v>
      </c>
      <c r="F703">
        <v>72.2</v>
      </c>
      <c r="K703" s="3"/>
      <c r="O703" s="3"/>
    </row>
    <row r="704" spans="1:15">
      <c r="A704" s="3">
        <v>37228</v>
      </c>
      <c r="B704" s="3">
        <v>37228</v>
      </c>
      <c r="C704">
        <v>148.75</v>
      </c>
      <c r="D704">
        <v>0.8911</v>
      </c>
      <c r="E704">
        <v>19.71</v>
      </c>
      <c r="F704">
        <v>70.400000000000006</v>
      </c>
      <c r="K704" s="3"/>
      <c r="O704" s="3"/>
    </row>
    <row r="705" spans="1:15">
      <c r="A705" s="3">
        <v>37229</v>
      </c>
      <c r="B705" s="3">
        <v>37229</v>
      </c>
      <c r="C705">
        <v>148.75</v>
      </c>
      <c r="D705">
        <v>0.89059999999999995</v>
      </c>
      <c r="E705">
        <v>19.29</v>
      </c>
      <c r="F705">
        <v>69.95</v>
      </c>
      <c r="K705" s="3"/>
      <c r="O705" s="3"/>
    </row>
    <row r="706" spans="1:15">
      <c r="A706" s="3">
        <v>37230</v>
      </c>
      <c r="B706" s="3">
        <v>37230</v>
      </c>
      <c r="C706">
        <v>148.75</v>
      </c>
      <c r="D706">
        <v>0.88829999999999998</v>
      </c>
      <c r="E706">
        <v>19.22</v>
      </c>
      <c r="F706">
        <v>69.400000000000006</v>
      </c>
      <c r="K706" s="3"/>
      <c r="O706" s="3"/>
    </row>
    <row r="707" spans="1:15">
      <c r="A707" s="3">
        <v>37231</v>
      </c>
      <c r="B707" s="3">
        <v>37231</v>
      </c>
      <c r="C707">
        <v>148.75</v>
      </c>
      <c r="D707">
        <v>0.89529999999999998</v>
      </c>
      <c r="E707">
        <v>18.39</v>
      </c>
      <c r="F707">
        <v>68.75</v>
      </c>
      <c r="K707" s="3"/>
      <c r="O707" s="3"/>
    </row>
    <row r="708" spans="1:15">
      <c r="A708" s="3">
        <v>37232</v>
      </c>
      <c r="B708" s="3">
        <v>37232</v>
      </c>
      <c r="C708">
        <v>148.75</v>
      </c>
      <c r="D708">
        <v>0.89019999999999999</v>
      </c>
      <c r="E708">
        <v>19.03</v>
      </c>
      <c r="F708">
        <v>67.650000000000006</v>
      </c>
      <c r="K708" s="3"/>
      <c r="O708" s="3"/>
    </row>
    <row r="709" spans="1:15">
      <c r="A709" s="3">
        <v>37233</v>
      </c>
      <c r="B709" s="3">
        <v>37233</v>
      </c>
      <c r="C709">
        <v>148.75</v>
      </c>
      <c r="D709">
        <v>0.89019999999999999</v>
      </c>
      <c r="E709">
        <v>19.03</v>
      </c>
      <c r="F709">
        <v>67.650000000000006</v>
      </c>
      <c r="K709" s="3"/>
      <c r="O709" s="3"/>
    </row>
    <row r="710" spans="1:15">
      <c r="A710" s="3">
        <v>37234</v>
      </c>
      <c r="B710" s="3">
        <v>37234</v>
      </c>
      <c r="C710">
        <v>148.75</v>
      </c>
      <c r="D710">
        <v>0.89019999999999999</v>
      </c>
      <c r="E710">
        <v>19.03</v>
      </c>
      <c r="F710">
        <v>67.650000000000006</v>
      </c>
      <c r="K710" s="3"/>
      <c r="O710" s="3"/>
    </row>
    <row r="711" spans="1:15">
      <c r="A711" s="3">
        <v>37235</v>
      </c>
      <c r="B711" s="3">
        <v>37235</v>
      </c>
      <c r="C711">
        <v>149.5</v>
      </c>
      <c r="D711">
        <v>0.89070000000000005</v>
      </c>
      <c r="E711">
        <v>18.170000000000002</v>
      </c>
      <c r="F711">
        <v>67.599999999999994</v>
      </c>
      <c r="K711" s="3"/>
      <c r="O711" s="3"/>
    </row>
    <row r="712" spans="1:15">
      <c r="A712" s="3">
        <v>37236</v>
      </c>
      <c r="B712" s="3">
        <v>37236</v>
      </c>
      <c r="C712">
        <v>149.5</v>
      </c>
      <c r="D712">
        <v>0.89249999999999996</v>
      </c>
      <c r="E712">
        <v>17.91</v>
      </c>
      <c r="F712">
        <v>68.05</v>
      </c>
      <c r="K712" s="3"/>
      <c r="O712" s="3"/>
    </row>
    <row r="713" spans="1:15">
      <c r="A713" s="3">
        <v>37237</v>
      </c>
      <c r="B713" s="3">
        <v>37237</v>
      </c>
      <c r="C713">
        <v>149.5</v>
      </c>
      <c r="D713">
        <v>0.89849999999999997</v>
      </c>
      <c r="E713">
        <v>18.2</v>
      </c>
      <c r="F713">
        <v>67.05</v>
      </c>
      <c r="K713" s="3"/>
      <c r="O713" s="3"/>
    </row>
    <row r="714" spans="1:15">
      <c r="A714" s="3">
        <v>37238</v>
      </c>
      <c r="B714" s="3">
        <v>37238</v>
      </c>
      <c r="C714">
        <v>149.5</v>
      </c>
      <c r="D714">
        <v>0.89359999999999995</v>
      </c>
      <c r="E714">
        <v>17.8</v>
      </c>
      <c r="F714">
        <v>67</v>
      </c>
      <c r="K714" s="3"/>
      <c r="O714" s="3"/>
    </row>
    <row r="715" spans="1:15">
      <c r="A715" s="3">
        <v>37239</v>
      </c>
      <c r="B715" s="3">
        <v>37239</v>
      </c>
      <c r="C715">
        <v>149.5</v>
      </c>
      <c r="D715">
        <v>0.90390000000000004</v>
      </c>
      <c r="E715">
        <v>18.38</v>
      </c>
      <c r="F715">
        <v>67.099999999999994</v>
      </c>
      <c r="K715" s="3"/>
      <c r="O715" s="3"/>
    </row>
    <row r="716" spans="1:15">
      <c r="A716" s="3">
        <v>37240</v>
      </c>
      <c r="B716" s="3">
        <v>37240</v>
      </c>
      <c r="C716">
        <v>149.5</v>
      </c>
      <c r="D716">
        <v>0.90390000000000004</v>
      </c>
      <c r="E716">
        <v>18.38</v>
      </c>
      <c r="F716">
        <v>67.099999999999994</v>
      </c>
      <c r="K716" s="3"/>
      <c r="O716" s="3"/>
    </row>
    <row r="717" spans="1:15">
      <c r="A717" s="3">
        <v>37241</v>
      </c>
      <c r="B717" s="3">
        <v>37241</v>
      </c>
      <c r="C717">
        <v>149.5</v>
      </c>
      <c r="D717">
        <v>0.90390000000000004</v>
      </c>
      <c r="E717">
        <v>18.38</v>
      </c>
      <c r="F717">
        <v>67.099999999999994</v>
      </c>
      <c r="K717" s="3"/>
      <c r="O717" s="3"/>
    </row>
    <row r="718" spans="1:15">
      <c r="A718" s="3">
        <v>37242</v>
      </c>
      <c r="B718" s="3">
        <v>37242</v>
      </c>
      <c r="C718">
        <v>149.9</v>
      </c>
      <c r="D718">
        <v>0.90210000000000001</v>
      </c>
      <c r="E718">
        <v>19.059999999999999</v>
      </c>
      <c r="F718">
        <v>67.400000000000006</v>
      </c>
      <c r="K718" s="3"/>
      <c r="O718" s="3"/>
    </row>
    <row r="719" spans="1:15">
      <c r="A719" s="3">
        <v>37243</v>
      </c>
      <c r="B719" s="3">
        <v>37243</v>
      </c>
      <c r="C719">
        <v>149.9</v>
      </c>
      <c r="D719">
        <v>0.90390000000000004</v>
      </c>
      <c r="E719">
        <v>19.18</v>
      </c>
      <c r="F719">
        <v>68.25</v>
      </c>
      <c r="K719" s="3"/>
      <c r="O719" s="3"/>
    </row>
    <row r="720" spans="1:15">
      <c r="A720" s="3">
        <v>37244</v>
      </c>
      <c r="B720" s="3">
        <v>37244</v>
      </c>
      <c r="C720">
        <v>149.9</v>
      </c>
      <c r="D720">
        <v>0.90029999999999999</v>
      </c>
      <c r="E720">
        <v>19.47</v>
      </c>
      <c r="F720">
        <v>67.150000000000006</v>
      </c>
      <c r="K720" s="3"/>
      <c r="O720" s="3"/>
    </row>
    <row r="721" spans="1:15">
      <c r="A721" s="3">
        <v>37245</v>
      </c>
      <c r="B721" s="3">
        <v>37245</v>
      </c>
      <c r="C721">
        <v>149.9</v>
      </c>
      <c r="D721">
        <v>0.9</v>
      </c>
      <c r="E721">
        <v>19.13</v>
      </c>
      <c r="F721">
        <v>67.05</v>
      </c>
      <c r="K721" s="3"/>
      <c r="O721" s="3"/>
    </row>
    <row r="722" spans="1:15">
      <c r="A722" s="3">
        <v>37246</v>
      </c>
      <c r="B722" s="3">
        <v>37246</v>
      </c>
      <c r="C722">
        <v>149.9</v>
      </c>
      <c r="D722">
        <v>0.88919999999999999</v>
      </c>
      <c r="E722">
        <v>19.36</v>
      </c>
      <c r="F722">
        <v>67.650000000000006</v>
      </c>
      <c r="K722" s="3"/>
      <c r="O722" s="3"/>
    </row>
    <row r="723" spans="1:15">
      <c r="A723" s="3">
        <v>37247</v>
      </c>
      <c r="B723" s="3">
        <v>37247</v>
      </c>
      <c r="C723">
        <v>149.9</v>
      </c>
      <c r="D723">
        <v>0.88919999999999999</v>
      </c>
      <c r="E723">
        <v>19.36</v>
      </c>
      <c r="F723">
        <v>67.650000000000006</v>
      </c>
      <c r="K723" s="3"/>
      <c r="O723" s="3"/>
    </row>
    <row r="724" spans="1:15">
      <c r="A724" s="3">
        <v>37248</v>
      </c>
      <c r="B724" s="3">
        <v>37248</v>
      </c>
      <c r="C724">
        <v>149.9</v>
      </c>
      <c r="D724">
        <v>0.88919999999999999</v>
      </c>
      <c r="E724">
        <v>19.36</v>
      </c>
      <c r="F724">
        <v>67.650000000000006</v>
      </c>
      <c r="K724" s="3"/>
      <c r="O724" s="3"/>
    </row>
    <row r="725" spans="1:15">
      <c r="A725" s="3">
        <v>37249</v>
      </c>
      <c r="B725" s="3">
        <v>37249</v>
      </c>
      <c r="C725">
        <v>149.9</v>
      </c>
      <c r="D725">
        <v>0.877</v>
      </c>
      <c r="E725">
        <v>19.34</v>
      </c>
      <c r="F725">
        <v>67.650000000000006</v>
      </c>
      <c r="K725" s="3"/>
      <c r="O725" s="3"/>
    </row>
    <row r="726" spans="1:15">
      <c r="A726" s="3">
        <v>37250</v>
      </c>
      <c r="B726" s="3">
        <v>37250</v>
      </c>
      <c r="C726">
        <v>149.9</v>
      </c>
      <c r="D726">
        <v>0.87870000000000004</v>
      </c>
      <c r="E726">
        <v>19.34</v>
      </c>
      <c r="F726">
        <v>67.650000000000006</v>
      </c>
      <c r="K726" s="3"/>
      <c r="O726" s="3"/>
    </row>
    <row r="727" spans="1:15">
      <c r="A727" s="3">
        <v>37251</v>
      </c>
      <c r="B727" s="3">
        <v>37251</v>
      </c>
      <c r="C727">
        <v>150.19999999999999</v>
      </c>
      <c r="D727">
        <v>0.88070000000000004</v>
      </c>
      <c r="E727">
        <v>19.34</v>
      </c>
      <c r="F727">
        <v>68.349999999999994</v>
      </c>
      <c r="K727" s="3"/>
      <c r="O727" s="3"/>
    </row>
    <row r="728" spans="1:15">
      <c r="A728" s="3">
        <v>37252</v>
      </c>
      <c r="B728" s="3">
        <v>37252</v>
      </c>
      <c r="C728">
        <v>150.19999999999999</v>
      </c>
      <c r="D728">
        <v>0.88290000000000002</v>
      </c>
      <c r="E728">
        <v>20.34</v>
      </c>
      <c r="F728">
        <v>67.599999999999994</v>
      </c>
      <c r="K728" s="3"/>
      <c r="O728" s="3"/>
    </row>
    <row r="729" spans="1:15">
      <c r="A729" s="3">
        <v>37253</v>
      </c>
      <c r="B729" s="3">
        <v>37253</v>
      </c>
      <c r="C729">
        <v>150.19999999999999</v>
      </c>
      <c r="D729">
        <v>0.88549999999999995</v>
      </c>
      <c r="E729">
        <v>20.3</v>
      </c>
      <c r="F729">
        <v>67.75</v>
      </c>
      <c r="K729" s="3"/>
      <c r="O729" s="3"/>
    </row>
    <row r="730" spans="1:15">
      <c r="A730" s="3">
        <v>37254</v>
      </c>
      <c r="B730" s="3">
        <v>37254</v>
      </c>
      <c r="C730">
        <v>150.19999999999999</v>
      </c>
      <c r="D730">
        <v>0.88549999999999995</v>
      </c>
      <c r="E730">
        <v>20.3</v>
      </c>
      <c r="F730">
        <v>67.75</v>
      </c>
      <c r="K730" s="3"/>
      <c r="O730" s="3"/>
    </row>
    <row r="731" spans="1:15">
      <c r="A731" s="3">
        <v>37255</v>
      </c>
      <c r="B731" s="3">
        <v>37255</v>
      </c>
      <c r="C731">
        <v>150.19999999999999</v>
      </c>
      <c r="D731">
        <v>0.88549999999999995</v>
      </c>
      <c r="E731">
        <v>20.3</v>
      </c>
      <c r="F731">
        <v>67.75</v>
      </c>
      <c r="K731" s="3"/>
      <c r="O731" s="3"/>
    </row>
    <row r="732" spans="1:15">
      <c r="A732" s="3">
        <v>37256</v>
      </c>
      <c r="B732" s="3">
        <v>37256</v>
      </c>
      <c r="C732">
        <v>150.19999999999999</v>
      </c>
      <c r="D732">
        <v>0.88949999999999996</v>
      </c>
      <c r="E732">
        <v>19.899999999999999</v>
      </c>
      <c r="F732">
        <v>65.900000000000006</v>
      </c>
      <c r="K732" s="3"/>
      <c r="O732" s="3"/>
    </row>
    <row r="733" spans="1:15">
      <c r="A733" s="3">
        <v>37257</v>
      </c>
      <c r="B733" s="3">
        <v>37257</v>
      </c>
      <c r="C733">
        <v>150.19999999999999</v>
      </c>
      <c r="D733">
        <v>0.88949999999999996</v>
      </c>
      <c r="E733">
        <v>19.899999999999999</v>
      </c>
      <c r="F733">
        <v>65.900000000000006</v>
      </c>
      <c r="K733" s="3"/>
      <c r="O733" s="3"/>
    </row>
    <row r="734" spans="1:15">
      <c r="A734" s="3">
        <v>37258</v>
      </c>
      <c r="B734" s="3">
        <v>37258</v>
      </c>
      <c r="C734">
        <v>150.19999999999999</v>
      </c>
      <c r="D734">
        <v>0.90329999999999999</v>
      </c>
      <c r="E734">
        <v>21</v>
      </c>
      <c r="F734">
        <v>65.8</v>
      </c>
      <c r="K734" s="3"/>
      <c r="O734" s="3"/>
    </row>
    <row r="735" spans="1:15">
      <c r="A735" s="3">
        <v>37259</v>
      </c>
      <c r="B735" s="3">
        <v>37259</v>
      </c>
      <c r="C735">
        <v>150.6</v>
      </c>
      <c r="D735">
        <v>0.89890000000000003</v>
      </c>
      <c r="E735">
        <v>20.66</v>
      </c>
      <c r="F735">
        <v>66.400000000000006</v>
      </c>
      <c r="K735" s="3"/>
      <c r="O735" s="3"/>
    </row>
    <row r="736" spans="1:15">
      <c r="A736" s="3">
        <v>37260</v>
      </c>
      <c r="B736" s="3">
        <v>37260</v>
      </c>
      <c r="C736">
        <v>150.66999999999999</v>
      </c>
      <c r="D736">
        <v>0.89490000000000003</v>
      </c>
      <c r="E736">
        <v>22.18</v>
      </c>
      <c r="F736">
        <v>67.45</v>
      </c>
      <c r="K736" s="3"/>
      <c r="O736" s="3"/>
    </row>
    <row r="737" spans="1:15">
      <c r="A737" s="3">
        <v>37261</v>
      </c>
      <c r="B737" s="3">
        <v>37261</v>
      </c>
      <c r="C737">
        <v>150.66999999999999</v>
      </c>
      <c r="D737">
        <v>0.89490000000000003</v>
      </c>
      <c r="E737">
        <v>22.18</v>
      </c>
      <c r="F737">
        <v>67.45</v>
      </c>
      <c r="K737" s="3"/>
      <c r="O737" s="3"/>
    </row>
    <row r="738" spans="1:15">
      <c r="A738" s="3">
        <v>37262</v>
      </c>
      <c r="B738" s="3">
        <v>37262</v>
      </c>
      <c r="C738">
        <v>150.66999999999999</v>
      </c>
      <c r="D738">
        <v>0.89490000000000003</v>
      </c>
      <c r="E738">
        <v>22.18</v>
      </c>
      <c r="F738">
        <v>67.45</v>
      </c>
      <c r="K738" s="3"/>
      <c r="O738" s="3"/>
    </row>
    <row r="739" spans="1:15">
      <c r="A739" s="3">
        <v>37263</v>
      </c>
      <c r="B739" s="3">
        <v>37263</v>
      </c>
      <c r="C739">
        <v>150.66999999999999</v>
      </c>
      <c r="D739">
        <v>0.8931</v>
      </c>
      <c r="E739">
        <v>22.03</v>
      </c>
      <c r="F739">
        <v>71.5</v>
      </c>
      <c r="K739" s="3"/>
      <c r="O739" s="3"/>
    </row>
    <row r="740" spans="1:15">
      <c r="A740" s="3">
        <v>37264</v>
      </c>
      <c r="B740" s="3">
        <v>37264</v>
      </c>
      <c r="C740">
        <v>151</v>
      </c>
      <c r="D740">
        <v>0.89319999999999999</v>
      </c>
      <c r="E740">
        <v>22.02</v>
      </c>
      <c r="F740">
        <v>70.849999999999994</v>
      </c>
      <c r="K740" s="3"/>
      <c r="O740" s="3"/>
    </row>
    <row r="741" spans="1:15">
      <c r="A741" s="3">
        <v>37265</v>
      </c>
      <c r="B741" s="3">
        <v>37265</v>
      </c>
      <c r="C741">
        <v>151</v>
      </c>
      <c r="D741">
        <v>0.89129999999999998</v>
      </c>
      <c r="E741">
        <v>20.89</v>
      </c>
      <c r="F741">
        <v>71.55</v>
      </c>
      <c r="K741" s="3"/>
      <c r="O741" s="3"/>
    </row>
    <row r="742" spans="1:15">
      <c r="A742" s="3">
        <v>37266</v>
      </c>
      <c r="B742" s="3">
        <v>37266</v>
      </c>
      <c r="C742">
        <v>151</v>
      </c>
      <c r="D742">
        <v>0.89159999999999995</v>
      </c>
      <c r="E742">
        <v>21.29</v>
      </c>
      <c r="F742">
        <v>70.55</v>
      </c>
      <c r="K742" s="3"/>
      <c r="O742" s="3"/>
    </row>
    <row r="743" spans="1:15">
      <c r="A743" s="3">
        <v>37267</v>
      </c>
      <c r="B743" s="3">
        <v>37267</v>
      </c>
      <c r="C743">
        <v>151</v>
      </c>
      <c r="D743">
        <v>0.89239999999999997</v>
      </c>
      <c r="E743">
        <v>20.86</v>
      </c>
      <c r="F743">
        <v>70.849999999999994</v>
      </c>
      <c r="K743" s="3"/>
      <c r="O743" s="3"/>
    </row>
    <row r="744" spans="1:15">
      <c r="A744" s="3">
        <v>37268</v>
      </c>
      <c r="B744" s="3">
        <v>37268</v>
      </c>
      <c r="C744">
        <v>151</v>
      </c>
      <c r="D744">
        <v>0.89239999999999997</v>
      </c>
      <c r="E744">
        <v>20.86</v>
      </c>
      <c r="F744">
        <v>70.849999999999994</v>
      </c>
      <c r="K744" s="3"/>
      <c r="O744" s="3"/>
    </row>
    <row r="745" spans="1:15">
      <c r="A745" s="3">
        <v>37269</v>
      </c>
      <c r="B745" s="3">
        <v>37269</v>
      </c>
      <c r="C745">
        <v>151</v>
      </c>
      <c r="D745">
        <v>0.89239999999999997</v>
      </c>
      <c r="E745">
        <v>20.86</v>
      </c>
      <c r="F745">
        <v>70.849999999999994</v>
      </c>
      <c r="K745" s="3"/>
      <c r="O745" s="3"/>
    </row>
    <row r="746" spans="1:15">
      <c r="A746" s="3">
        <v>37270</v>
      </c>
      <c r="B746" s="3">
        <v>37270</v>
      </c>
      <c r="C746">
        <v>151.19999999999999</v>
      </c>
      <c r="D746">
        <v>0.89419999999999999</v>
      </c>
      <c r="E746">
        <v>19.78</v>
      </c>
      <c r="F746">
        <v>70.8</v>
      </c>
      <c r="K746" s="3"/>
      <c r="O746" s="3"/>
    </row>
    <row r="747" spans="1:15">
      <c r="A747" s="3">
        <v>37271</v>
      </c>
      <c r="B747" s="3">
        <v>37271</v>
      </c>
      <c r="C747">
        <v>151.66999999999999</v>
      </c>
      <c r="D747">
        <v>0.88339999999999996</v>
      </c>
      <c r="E747">
        <v>19.7</v>
      </c>
      <c r="F747">
        <v>70.150000000000006</v>
      </c>
      <c r="K747" s="3"/>
      <c r="O747" s="3"/>
    </row>
    <row r="748" spans="1:15">
      <c r="A748" s="3">
        <v>37272</v>
      </c>
      <c r="B748" s="3">
        <v>37272</v>
      </c>
      <c r="C748">
        <v>151.19999999999999</v>
      </c>
      <c r="D748">
        <v>0.8831</v>
      </c>
      <c r="E748">
        <v>19.36</v>
      </c>
      <c r="F748">
        <v>70.849999999999994</v>
      </c>
      <c r="K748" s="3"/>
      <c r="O748" s="3"/>
    </row>
    <row r="749" spans="1:15">
      <c r="A749" s="3">
        <v>37273</v>
      </c>
      <c r="B749" s="3">
        <v>37273</v>
      </c>
      <c r="C749">
        <v>151.19999999999999</v>
      </c>
      <c r="D749">
        <v>0.88129999999999997</v>
      </c>
      <c r="E749">
        <v>18.41</v>
      </c>
      <c r="F749">
        <v>70.8</v>
      </c>
      <c r="K749" s="3"/>
      <c r="O749" s="3"/>
    </row>
    <row r="750" spans="1:15">
      <c r="A750" s="3">
        <v>37274</v>
      </c>
      <c r="B750" s="3">
        <v>37274</v>
      </c>
      <c r="C750">
        <v>151.19999999999999</v>
      </c>
      <c r="D750">
        <v>0.88480000000000003</v>
      </c>
      <c r="E750">
        <v>18.45</v>
      </c>
      <c r="F750">
        <v>69.849999999999994</v>
      </c>
      <c r="K750" s="3"/>
      <c r="O750" s="3"/>
    </row>
    <row r="751" spans="1:15">
      <c r="A751" s="3">
        <v>37275</v>
      </c>
      <c r="B751" s="3">
        <v>37275</v>
      </c>
      <c r="C751">
        <v>151.19999999999999</v>
      </c>
      <c r="D751">
        <v>0.88480000000000003</v>
      </c>
      <c r="E751">
        <v>18.45</v>
      </c>
      <c r="F751">
        <v>69.849999999999994</v>
      </c>
      <c r="K751" s="3"/>
      <c r="O751" s="3"/>
    </row>
    <row r="752" spans="1:15">
      <c r="A752" s="3">
        <v>37276</v>
      </c>
      <c r="B752" s="3">
        <v>37276</v>
      </c>
      <c r="C752">
        <v>151.19999999999999</v>
      </c>
      <c r="D752">
        <v>0.88480000000000003</v>
      </c>
      <c r="E752">
        <v>18.45</v>
      </c>
      <c r="F752">
        <v>69.849999999999994</v>
      </c>
      <c r="K752" s="3"/>
      <c r="O752" s="3"/>
    </row>
    <row r="753" spans="1:15">
      <c r="A753" s="3">
        <v>37277</v>
      </c>
      <c r="B753" s="3">
        <v>37277</v>
      </c>
      <c r="C753">
        <v>151.30000000000001</v>
      </c>
      <c r="D753">
        <v>0.88370000000000004</v>
      </c>
      <c r="E753">
        <v>18.57</v>
      </c>
      <c r="F753">
        <v>69.849999999999994</v>
      </c>
      <c r="K753" s="3"/>
      <c r="O753" s="3"/>
    </row>
    <row r="754" spans="1:15">
      <c r="A754" s="3">
        <v>37278</v>
      </c>
      <c r="B754" s="3">
        <v>37278</v>
      </c>
      <c r="C754">
        <v>151.30000000000001</v>
      </c>
      <c r="D754">
        <v>0.8871</v>
      </c>
      <c r="E754">
        <v>18.75</v>
      </c>
      <c r="F754">
        <v>70.25</v>
      </c>
      <c r="K754" s="3"/>
      <c r="O754" s="3"/>
    </row>
    <row r="755" spans="1:15">
      <c r="A755" s="3">
        <v>37279</v>
      </c>
      <c r="B755" s="3">
        <v>37279</v>
      </c>
      <c r="C755">
        <v>151.30000000000001</v>
      </c>
      <c r="D755">
        <v>0.87839999999999996</v>
      </c>
      <c r="E755">
        <v>19.190000000000001</v>
      </c>
      <c r="F755">
        <v>70.849999999999994</v>
      </c>
      <c r="K755" s="3"/>
      <c r="O755" s="3"/>
    </row>
    <row r="756" spans="1:15">
      <c r="A756" s="3">
        <v>37280</v>
      </c>
      <c r="B756" s="3">
        <v>37280</v>
      </c>
      <c r="C756">
        <v>151.30000000000001</v>
      </c>
      <c r="D756">
        <v>0.87819999999999998</v>
      </c>
      <c r="E756">
        <v>19.13</v>
      </c>
      <c r="F756">
        <v>71.55</v>
      </c>
      <c r="K756" s="3"/>
      <c r="O756" s="3"/>
    </row>
    <row r="757" spans="1:15">
      <c r="A757" s="3">
        <v>37281</v>
      </c>
      <c r="B757" s="3">
        <v>37281</v>
      </c>
      <c r="C757">
        <v>151.30000000000001</v>
      </c>
      <c r="D757">
        <v>0.86499999999999999</v>
      </c>
      <c r="E757">
        <v>19.37</v>
      </c>
      <c r="F757">
        <v>71.150000000000006</v>
      </c>
      <c r="K757" s="3"/>
      <c r="O757" s="3"/>
    </row>
    <row r="758" spans="1:15">
      <c r="A758" s="3">
        <v>37282</v>
      </c>
      <c r="B758" s="3">
        <v>37282</v>
      </c>
      <c r="C758">
        <v>151.30000000000001</v>
      </c>
      <c r="D758">
        <v>0.86499999999999999</v>
      </c>
      <c r="E758">
        <v>19.37</v>
      </c>
      <c r="F758">
        <v>71.150000000000006</v>
      </c>
      <c r="K758" s="3"/>
      <c r="O758" s="3"/>
    </row>
    <row r="759" spans="1:15">
      <c r="A759" s="3">
        <v>37283</v>
      </c>
      <c r="B759" s="3">
        <v>37283</v>
      </c>
      <c r="C759">
        <v>151.30000000000001</v>
      </c>
      <c r="D759">
        <v>0.86499999999999999</v>
      </c>
      <c r="E759">
        <v>19.37</v>
      </c>
      <c r="F759">
        <v>71.150000000000006</v>
      </c>
      <c r="K759" s="3"/>
      <c r="O759" s="3"/>
    </row>
    <row r="760" spans="1:15">
      <c r="A760" s="3">
        <v>37284</v>
      </c>
      <c r="B760" s="3">
        <v>37284</v>
      </c>
      <c r="C760">
        <v>151.30000000000001</v>
      </c>
      <c r="D760">
        <v>0.86160000000000003</v>
      </c>
      <c r="E760">
        <v>19.649999999999999</v>
      </c>
      <c r="F760">
        <v>70.05</v>
      </c>
      <c r="K760" s="3"/>
      <c r="O760" s="3"/>
    </row>
    <row r="761" spans="1:15">
      <c r="A761" s="3">
        <v>37285</v>
      </c>
      <c r="B761" s="3">
        <v>37285</v>
      </c>
      <c r="C761">
        <v>151.30000000000001</v>
      </c>
      <c r="D761">
        <v>0.86570000000000003</v>
      </c>
      <c r="E761">
        <v>19.239999999999998</v>
      </c>
      <c r="F761">
        <v>69.900000000000006</v>
      </c>
      <c r="K761" s="3"/>
      <c r="O761" s="3"/>
    </row>
    <row r="762" spans="1:15">
      <c r="A762" s="3">
        <v>37286</v>
      </c>
      <c r="B762" s="3">
        <v>37286</v>
      </c>
      <c r="C762">
        <v>151.30000000000001</v>
      </c>
      <c r="D762">
        <v>0.86129999999999995</v>
      </c>
      <c r="E762">
        <v>18.79</v>
      </c>
      <c r="F762">
        <v>69.7</v>
      </c>
      <c r="K762" s="3"/>
      <c r="O762" s="3"/>
    </row>
    <row r="763" spans="1:15">
      <c r="A763" s="3">
        <v>37287</v>
      </c>
      <c r="B763" s="3">
        <v>37287</v>
      </c>
      <c r="C763">
        <v>151.30000000000001</v>
      </c>
      <c r="D763">
        <v>0.85940000000000005</v>
      </c>
      <c r="E763">
        <v>19.18</v>
      </c>
      <c r="F763">
        <v>73.349999999999994</v>
      </c>
      <c r="K763" s="3"/>
      <c r="O763" s="3"/>
    </row>
    <row r="764" spans="1:15">
      <c r="A764" s="3">
        <v>37288</v>
      </c>
      <c r="B764" s="3">
        <v>37288</v>
      </c>
      <c r="C764">
        <v>151.30000000000001</v>
      </c>
      <c r="D764">
        <v>0.86180000000000001</v>
      </c>
      <c r="E764">
        <v>19.98</v>
      </c>
      <c r="F764">
        <v>73.650000000000006</v>
      </c>
      <c r="K764" s="3"/>
      <c r="O764" s="3"/>
    </row>
    <row r="765" spans="1:15">
      <c r="A765" s="3">
        <v>37289</v>
      </c>
      <c r="B765" s="3">
        <v>37289</v>
      </c>
      <c r="C765">
        <v>151.30000000000001</v>
      </c>
      <c r="D765">
        <v>0.86180000000000001</v>
      </c>
      <c r="E765">
        <v>19.98</v>
      </c>
      <c r="F765">
        <v>73.650000000000006</v>
      </c>
      <c r="K765" s="3"/>
      <c r="O765" s="3"/>
    </row>
    <row r="766" spans="1:15">
      <c r="A766" s="3">
        <v>37290</v>
      </c>
      <c r="B766" s="3">
        <v>37290</v>
      </c>
      <c r="C766">
        <v>151.30000000000001</v>
      </c>
      <c r="D766">
        <v>0.86180000000000001</v>
      </c>
      <c r="E766">
        <v>19.98</v>
      </c>
      <c r="F766">
        <v>73.650000000000006</v>
      </c>
      <c r="K766" s="3"/>
      <c r="O766" s="3"/>
    </row>
    <row r="767" spans="1:15">
      <c r="A767" s="3">
        <v>37291</v>
      </c>
      <c r="B767" s="3">
        <v>37291</v>
      </c>
      <c r="C767">
        <v>151.6</v>
      </c>
      <c r="D767">
        <v>0.86980000000000002</v>
      </c>
      <c r="E767">
        <v>19.809999999999999</v>
      </c>
      <c r="F767">
        <v>72.849999999999994</v>
      </c>
      <c r="K767" s="3"/>
      <c r="O767" s="3"/>
    </row>
    <row r="768" spans="1:15">
      <c r="A768" s="3">
        <v>37292</v>
      </c>
      <c r="B768" s="3">
        <v>37292</v>
      </c>
      <c r="C768">
        <v>151.6</v>
      </c>
      <c r="D768">
        <v>0.86770000000000003</v>
      </c>
      <c r="E768">
        <v>19.559999999999999</v>
      </c>
      <c r="F768">
        <v>73.25</v>
      </c>
      <c r="K768" s="3"/>
      <c r="O768" s="3"/>
    </row>
    <row r="769" spans="1:15">
      <c r="A769" s="3">
        <v>37293</v>
      </c>
      <c r="B769" s="3">
        <v>37293</v>
      </c>
      <c r="C769">
        <v>151.6</v>
      </c>
      <c r="D769">
        <v>0.86739999999999995</v>
      </c>
      <c r="E769">
        <v>19.309999999999999</v>
      </c>
      <c r="F769">
        <v>72.900000000000006</v>
      </c>
      <c r="K769" s="3"/>
      <c r="O769" s="3"/>
    </row>
    <row r="770" spans="1:15">
      <c r="A770" s="3">
        <v>37294</v>
      </c>
      <c r="B770" s="3">
        <v>37294</v>
      </c>
      <c r="C770">
        <v>151.6</v>
      </c>
      <c r="D770">
        <v>0.87019999999999997</v>
      </c>
      <c r="E770">
        <v>19.21</v>
      </c>
      <c r="F770">
        <v>73.7</v>
      </c>
      <c r="K770" s="3"/>
      <c r="O770" s="3"/>
    </row>
    <row r="771" spans="1:15">
      <c r="A771" s="3">
        <v>37295</v>
      </c>
      <c r="B771" s="3">
        <v>37295</v>
      </c>
      <c r="C771">
        <v>151.6</v>
      </c>
      <c r="D771">
        <v>0.87219999999999998</v>
      </c>
      <c r="E771">
        <v>19.72</v>
      </c>
      <c r="F771">
        <v>73.349999999999994</v>
      </c>
      <c r="K771" s="3"/>
      <c r="O771" s="3"/>
    </row>
    <row r="772" spans="1:15">
      <c r="A772" s="3">
        <v>37296</v>
      </c>
      <c r="B772" s="3">
        <v>37296</v>
      </c>
      <c r="C772">
        <v>151.6</v>
      </c>
      <c r="D772">
        <v>0.87219999999999998</v>
      </c>
      <c r="E772">
        <v>19.72</v>
      </c>
      <c r="F772">
        <v>73.349999999999994</v>
      </c>
      <c r="K772" s="3"/>
      <c r="O772" s="3"/>
    </row>
    <row r="773" spans="1:15">
      <c r="A773" s="3">
        <v>37297</v>
      </c>
      <c r="B773" s="3">
        <v>37297</v>
      </c>
      <c r="C773">
        <v>151.6</v>
      </c>
      <c r="D773">
        <v>0.87219999999999998</v>
      </c>
      <c r="E773">
        <v>19.72</v>
      </c>
      <c r="F773">
        <v>73.349999999999994</v>
      </c>
      <c r="K773" s="3"/>
      <c r="O773" s="3"/>
    </row>
    <row r="774" spans="1:15">
      <c r="A774" s="3">
        <v>37298</v>
      </c>
      <c r="B774" s="3">
        <v>37298</v>
      </c>
      <c r="C774">
        <v>151.75</v>
      </c>
      <c r="D774">
        <v>0.87660000000000005</v>
      </c>
      <c r="E774">
        <v>21.44</v>
      </c>
      <c r="F774">
        <v>72.75</v>
      </c>
      <c r="K774" s="3"/>
      <c r="O774" s="3"/>
    </row>
    <row r="775" spans="1:15">
      <c r="A775" s="3">
        <v>37299</v>
      </c>
      <c r="B775" s="3">
        <v>37299</v>
      </c>
      <c r="C775">
        <v>151.75</v>
      </c>
      <c r="D775">
        <v>0.87680000000000002</v>
      </c>
      <c r="E775">
        <v>20.46</v>
      </c>
      <c r="F775">
        <v>73.25</v>
      </c>
      <c r="K775" s="3"/>
      <c r="O775" s="3"/>
    </row>
    <row r="776" spans="1:15">
      <c r="A776" s="3">
        <v>37300</v>
      </c>
      <c r="B776" s="3">
        <v>37300</v>
      </c>
      <c r="C776">
        <v>151.75</v>
      </c>
      <c r="D776">
        <v>0.87090000000000001</v>
      </c>
      <c r="E776">
        <v>20.7</v>
      </c>
      <c r="F776">
        <v>75.150000000000006</v>
      </c>
      <c r="K776" s="3"/>
      <c r="O776" s="3"/>
    </row>
    <row r="777" spans="1:15">
      <c r="A777" s="3">
        <v>37301</v>
      </c>
      <c r="B777" s="3">
        <v>37301</v>
      </c>
      <c r="C777">
        <v>151.75</v>
      </c>
      <c r="D777">
        <v>0.87370000000000003</v>
      </c>
      <c r="E777">
        <v>20.82</v>
      </c>
      <c r="F777">
        <v>74.45</v>
      </c>
      <c r="K777" s="3"/>
      <c r="O777" s="3"/>
    </row>
    <row r="778" spans="1:15">
      <c r="A778" s="3">
        <v>37302</v>
      </c>
      <c r="B778" s="3">
        <v>37302</v>
      </c>
      <c r="C778">
        <v>151.75</v>
      </c>
      <c r="D778">
        <v>0.87339999999999995</v>
      </c>
      <c r="E778">
        <v>20.87</v>
      </c>
      <c r="F778">
        <v>73.400000000000006</v>
      </c>
      <c r="K778" s="3"/>
      <c r="O778" s="3"/>
    </row>
    <row r="779" spans="1:15">
      <c r="A779" s="3">
        <v>37303</v>
      </c>
      <c r="B779" s="3">
        <v>37303</v>
      </c>
      <c r="C779">
        <v>151.75</v>
      </c>
      <c r="D779">
        <v>0.87339999999999995</v>
      </c>
      <c r="E779">
        <v>20.87</v>
      </c>
      <c r="F779">
        <v>73.400000000000006</v>
      </c>
      <c r="K779" s="3"/>
      <c r="O779" s="3"/>
    </row>
    <row r="780" spans="1:15">
      <c r="A780" s="3">
        <v>37304</v>
      </c>
      <c r="B780" s="3">
        <v>37304</v>
      </c>
      <c r="C780">
        <v>151.75</v>
      </c>
      <c r="D780">
        <v>0.87339999999999995</v>
      </c>
      <c r="E780">
        <v>20.87</v>
      </c>
      <c r="F780">
        <v>73.400000000000006</v>
      </c>
      <c r="K780" s="3"/>
      <c r="O780" s="3"/>
    </row>
    <row r="781" spans="1:15">
      <c r="A781" s="3">
        <v>37305</v>
      </c>
      <c r="B781" s="3">
        <v>37305</v>
      </c>
      <c r="C781">
        <v>151.9</v>
      </c>
      <c r="D781">
        <v>0.87050000000000005</v>
      </c>
      <c r="E781">
        <v>20.329999999999998</v>
      </c>
      <c r="F781">
        <v>73.400000000000006</v>
      </c>
      <c r="K781" s="3"/>
      <c r="O781" s="3"/>
    </row>
    <row r="782" spans="1:15">
      <c r="A782" s="3">
        <v>37306</v>
      </c>
      <c r="B782" s="3">
        <v>37306</v>
      </c>
      <c r="C782">
        <v>151.9</v>
      </c>
      <c r="D782">
        <v>0.87629999999999997</v>
      </c>
      <c r="E782">
        <v>20.52</v>
      </c>
      <c r="F782">
        <v>70.75</v>
      </c>
      <c r="K782" s="3"/>
      <c r="O782" s="3"/>
    </row>
    <row r="783" spans="1:15">
      <c r="A783" s="3">
        <v>37307</v>
      </c>
      <c r="B783" s="3">
        <v>37307</v>
      </c>
      <c r="C783">
        <v>151.9</v>
      </c>
      <c r="D783">
        <v>0.86980000000000002</v>
      </c>
      <c r="E783">
        <v>19.86</v>
      </c>
      <c r="F783">
        <v>70.900000000000006</v>
      </c>
      <c r="K783" s="3"/>
      <c r="O783" s="3"/>
    </row>
    <row r="784" spans="1:15">
      <c r="A784" s="3">
        <v>37308</v>
      </c>
      <c r="B784" s="3">
        <v>37308</v>
      </c>
      <c r="C784">
        <v>151.9</v>
      </c>
      <c r="D784">
        <v>0.87039999999999995</v>
      </c>
      <c r="E784">
        <v>20.37</v>
      </c>
      <c r="F784">
        <v>71.45</v>
      </c>
      <c r="K784" s="3"/>
      <c r="O784" s="3"/>
    </row>
    <row r="785" spans="1:15">
      <c r="A785" s="3">
        <v>37309</v>
      </c>
      <c r="B785" s="3">
        <v>37309</v>
      </c>
      <c r="C785">
        <v>151.9</v>
      </c>
      <c r="D785">
        <v>0.87549999999999994</v>
      </c>
      <c r="E785">
        <v>20.37</v>
      </c>
      <c r="F785">
        <v>70</v>
      </c>
      <c r="K785" s="3"/>
      <c r="O785" s="3"/>
    </row>
    <row r="786" spans="1:15">
      <c r="A786" s="3">
        <v>37310</v>
      </c>
      <c r="B786" s="3">
        <v>37310</v>
      </c>
      <c r="C786">
        <v>151.9</v>
      </c>
      <c r="D786">
        <v>0.87549999999999994</v>
      </c>
      <c r="E786">
        <v>20.37</v>
      </c>
      <c r="F786">
        <v>70</v>
      </c>
      <c r="K786" s="3"/>
      <c r="O786" s="3"/>
    </row>
    <row r="787" spans="1:15">
      <c r="A787" s="3">
        <v>37311</v>
      </c>
      <c r="B787" s="3">
        <v>37311</v>
      </c>
      <c r="C787">
        <v>151.9</v>
      </c>
      <c r="D787">
        <v>0.87549999999999994</v>
      </c>
      <c r="E787">
        <v>20.37</v>
      </c>
      <c r="F787">
        <v>70</v>
      </c>
      <c r="K787" s="3"/>
      <c r="O787" s="3"/>
    </row>
    <row r="788" spans="1:15">
      <c r="A788" s="3">
        <v>37312</v>
      </c>
      <c r="B788" s="3">
        <v>37312</v>
      </c>
      <c r="C788">
        <v>151.9</v>
      </c>
      <c r="D788">
        <v>0.86950000000000005</v>
      </c>
      <c r="E788">
        <v>19.98</v>
      </c>
      <c r="F788">
        <v>70.599999999999994</v>
      </c>
      <c r="K788" s="3"/>
      <c r="O788" s="3"/>
    </row>
    <row r="789" spans="1:15">
      <c r="A789" s="3">
        <v>37313</v>
      </c>
      <c r="B789" s="3">
        <v>37313</v>
      </c>
      <c r="C789">
        <v>151.9</v>
      </c>
      <c r="D789">
        <v>0.86399999999999999</v>
      </c>
      <c r="E789">
        <v>20.86</v>
      </c>
      <c r="F789">
        <v>70.150000000000006</v>
      </c>
      <c r="K789" s="3"/>
      <c r="O789" s="3"/>
    </row>
    <row r="790" spans="1:15">
      <c r="A790" s="3">
        <v>37314</v>
      </c>
      <c r="B790" s="3">
        <v>37314</v>
      </c>
      <c r="C790">
        <v>151.9</v>
      </c>
      <c r="D790">
        <v>0.86550000000000005</v>
      </c>
      <c r="E790">
        <v>20.85</v>
      </c>
      <c r="F790">
        <v>71.349999999999994</v>
      </c>
      <c r="K790" s="3"/>
      <c r="O790" s="3"/>
    </row>
    <row r="791" spans="1:15">
      <c r="A791" s="3">
        <v>37315</v>
      </c>
      <c r="B791" s="3">
        <v>37315</v>
      </c>
      <c r="C791">
        <v>151.9</v>
      </c>
      <c r="D791">
        <v>0.86939999999999995</v>
      </c>
      <c r="E791">
        <v>21.33</v>
      </c>
      <c r="F791">
        <v>71.400000000000006</v>
      </c>
      <c r="K791" s="3"/>
      <c r="O791" s="3"/>
    </row>
    <row r="792" spans="1:15">
      <c r="A792" s="3">
        <v>37316</v>
      </c>
      <c r="B792" s="3">
        <v>37316</v>
      </c>
      <c r="C792">
        <v>151.9</v>
      </c>
      <c r="D792">
        <v>0.86550000000000005</v>
      </c>
      <c r="E792">
        <v>21.89</v>
      </c>
      <c r="F792">
        <v>72.650000000000006</v>
      </c>
      <c r="K792" s="3"/>
      <c r="O792" s="3"/>
    </row>
    <row r="793" spans="1:15">
      <c r="A793" s="3">
        <v>37317</v>
      </c>
      <c r="B793" s="3">
        <v>37317</v>
      </c>
      <c r="C793">
        <v>151.9</v>
      </c>
      <c r="D793">
        <v>0.86550000000000005</v>
      </c>
      <c r="E793">
        <v>21.89</v>
      </c>
      <c r="F793">
        <v>72.650000000000006</v>
      </c>
      <c r="K793" s="3"/>
      <c r="O793" s="3"/>
    </row>
    <row r="794" spans="1:15">
      <c r="A794" s="3">
        <v>37318</v>
      </c>
      <c r="B794" s="3">
        <v>37318</v>
      </c>
      <c r="C794">
        <v>151.9</v>
      </c>
      <c r="D794">
        <v>0.86550000000000005</v>
      </c>
      <c r="E794">
        <v>21.89</v>
      </c>
      <c r="F794">
        <v>72.650000000000006</v>
      </c>
      <c r="K794" s="3"/>
      <c r="O794" s="3"/>
    </row>
    <row r="795" spans="1:15">
      <c r="A795" s="3">
        <v>37319</v>
      </c>
      <c r="B795" s="3">
        <v>37319</v>
      </c>
      <c r="C795">
        <v>152.05000000000001</v>
      </c>
      <c r="D795">
        <v>0.86919999999999997</v>
      </c>
      <c r="E795">
        <v>21.94</v>
      </c>
      <c r="F795">
        <v>73.650000000000006</v>
      </c>
      <c r="K795" s="3"/>
      <c r="O795" s="3"/>
    </row>
    <row r="796" spans="1:15">
      <c r="A796" s="3">
        <v>37320</v>
      </c>
      <c r="B796" s="3">
        <v>37320</v>
      </c>
      <c r="C796">
        <v>152.05000000000001</v>
      </c>
      <c r="D796">
        <v>0.87170000000000003</v>
      </c>
      <c r="E796">
        <v>22.79</v>
      </c>
      <c r="F796">
        <v>73.55</v>
      </c>
      <c r="K796" s="3"/>
      <c r="O796" s="3"/>
    </row>
    <row r="797" spans="1:15">
      <c r="A797" s="3">
        <v>37321</v>
      </c>
      <c r="B797" s="3">
        <v>37321</v>
      </c>
      <c r="C797">
        <v>152.05000000000001</v>
      </c>
      <c r="D797">
        <v>0.87649999999999995</v>
      </c>
      <c r="E797">
        <v>22.72</v>
      </c>
      <c r="F797">
        <v>74.45</v>
      </c>
      <c r="K797" s="3"/>
      <c r="O797" s="3"/>
    </row>
    <row r="798" spans="1:15">
      <c r="A798" s="3">
        <v>37322</v>
      </c>
      <c r="B798" s="3">
        <v>37322</v>
      </c>
      <c r="C798">
        <v>152.05000000000001</v>
      </c>
      <c r="D798">
        <v>0.88160000000000005</v>
      </c>
      <c r="E798">
        <v>23.3</v>
      </c>
      <c r="F798">
        <v>74.25</v>
      </c>
      <c r="K798" s="3"/>
      <c r="O798" s="3"/>
    </row>
    <row r="799" spans="1:15">
      <c r="A799" s="3">
        <v>37323</v>
      </c>
      <c r="B799" s="3">
        <v>37323</v>
      </c>
      <c r="C799">
        <v>152.05000000000001</v>
      </c>
      <c r="D799">
        <v>0.87490000000000001</v>
      </c>
      <c r="E799">
        <v>23.33</v>
      </c>
      <c r="F799">
        <v>74.7</v>
      </c>
      <c r="K799" s="3"/>
      <c r="O799" s="3"/>
    </row>
    <row r="800" spans="1:15">
      <c r="A800" s="3">
        <v>37324</v>
      </c>
      <c r="B800" s="3">
        <v>37324</v>
      </c>
      <c r="C800">
        <v>152.05000000000001</v>
      </c>
      <c r="D800">
        <v>0.87490000000000001</v>
      </c>
      <c r="E800">
        <v>23.33</v>
      </c>
      <c r="F800">
        <v>74.7</v>
      </c>
      <c r="K800" s="3"/>
      <c r="O800" s="3"/>
    </row>
    <row r="801" spans="1:15">
      <c r="A801" s="3">
        <v>37325</v>
      </c>
      <c r="B801" s="3">
        <v>37325</v>
      </c>
      <c r="C801">
        <v>152.05000000000001</v>
      </c>
      <c r="D801">
        <v>0.87490000000000001</v>
      </c>
      <c r="E801">
        <v>23.33</v>
      </c>
      <c r="F801">
        <v>74.7</v>
      </c>
      <c r="K801" s="3"/>
      <c r="O801" s="3"/>
    </row>
    <row r="802" spans="1:15">
      <c r="A802" s="3">
        <v>37326</v>
      </c>
      <c r="B802" s="3">
        <v>37326</v>
      </c>
      <c r="C802">
        <v>152.1</v>
      </c>
      <c r="D802">
        <v>0.87519999999999998</v>
      </c>
      <c r="E802">
        <v>23.89</v>
      </c>
      <c r="F802">
        <v>74.05</v>
      </c>
      <c r="K802" s="3"/>
      <c r="O802" s="3"/>
    </row>
    <row r="803" spans="1:15">
      <c r="A803" s="3">
        <v>37327</v>
      </c>
      <c r="B803" s="3">
        <v>37327</v>
      </c>
      <c r="C803">
        <v>152.1</v>
      </c>
      <c r="D803">
        <v>0.87580000000000002</v>
      </c>
      <c r="E803">
        <v>23.7</v>
      </c>
      <c r="F803">
        <v>73.599999999999994</v>
      </c>
      <c r="K803" s="3"/>
      <c r="O803" s="3"/>
    </row>
    <row r="804" spans="1:15">
      <c r="A804" s="3">
        <v>37328</v>
      </c>
      <c r="B804" s="3">
        <v>37328</v>
      </c>
      <c r="C804">
        <v>152.1</v>
      </c>
      <c r="D804">
        <v>0.876</v>
      </c>
      <c r="E804">
        <v>23.89</v>
      </c>
      <c r="F804">
        <v>73.55</v>
      </c>
      <c r="K804" s="3"/>
      <c r="O804" s="3"/>
    </row>
    <row r="805" spans="1:15">
      <c r="A805" s="3">
        <v>37329</v>
      </c>
      <c r="B805" s="3">
        <v>37329</v>
      </c>
      <c r="C805">
        <v>152.1</v>
      </c>
      <c r="D805">
        <v>0.88249999999999995</v>
      </c>
      <c r="E805">
        <v>24.06</v>
      </c>
      <c r="F805">
        <v>74</v>
      </c>
      <c r="K805" s="3"/>
      <c r="O805" s="3"/>
    </row>
    <row r="806" spans="1:15">
      <c r="A806" s="3">
        <v>37330</v>
      </c>
      <c r="B806" s="3">
        <v>37330</v>
      </c>
      <c r="C806">
        <v>152.1</v>
      </c>
      <c r="D806">
        <v>0.88280000000000003</v>
      </c>
      <c r="E806">
        <v>24.55</v>
      </c>
      <c r="F806">
        <v>74.599999999999994</v>
      </c>
      <c r="K806" s="3"/>
      <c r="O806" s="3"/>
    </row>
    <row r="807" spans="1:15">
      <c r="A807" s="3">
        <v>37331</v>
      </c>
      <c r="B807" s="3">
        <v>37331</v>
      </c>
      <c r="C807">
        <v>152.1</v>
      </c>
      <c r="D807">
        <v>0.88280000000000003</v>
      </c>
      <c r="E807">
        <v>24.55</v>
      </c>
      <c r="F807">
        <v>74.599999999999994</v>
      </c>
      <c r="K807" s="3"/>
      <c r="O807" s="3"/>
    </row>
    <row r="808" spans="1:15">
      <c r="A808" s="3">
        <v>37332</v>
      </c>
      <c r="B808" s="3">
        <v>37332</v>
      </c>
      <c r="C808">
        <v>152.1</v>
      </c>
      <c r="D808">
        <v>0.88280000000000003</v>
      </c>
      <c r="E808">
        <v>24.55</v>
      </c>
      <c r="F808">
        <v>74.599999999999994</v>
      </c>
      <c r="K808" s="3"/>
      <c r="O808" s="3"/>
    </row>
    <row r="809" spans="1:15">
      <c r="A809" s="3">
        <v>37333</v>
      </c>
      <c r="B809" s="3">
        <v>37333</v>
      </c>
      <c r="C809">
        <v>152.15</v>
      </c>
      <c r="D809">
        <v>0.88280000000000003</v>
      </c>
      <c r="E809">
        <v>25.07</v>
      </c>
      <c r="F809">
        <v>76</v>
      </c>
      <c r="K809" s="3"/>
      <c r="O809" s="3"/>
    </row>
    <row r="810" spans="1:15">
      <c r="A810" s="3">
        <v>37334</v>
      </c>
      <c r="B810" s="3">
        <v>37334</v>
      </c>
      <c r="C810">
        <v>152.15</v>
      </c>
      <c r="D810">
        <v>0.88239999999999996</v>
      </c>
      <c r="E810">
        <v>24.91</v>
      </c>
      <c r="F810">
        <v>76.599999999999994</v>
      </c>
      <c r="K810" s="3"/>
      <c r="O810" s="3"/>
    </row>
    <row r="811" spans="1:15">
      <c r="A811" s="3">
        <v>37335</v>
      </c>
      <c r="B811" s="3">
        <v>37335</v>
      </c>
      <c r="C811">
        <v>152.15</v>
      </c>
      <c r="D811">
        <v>0.88549999999999995</v>
      </c>
      <c r="E811">
        <v>24.66</v>
      </c>
      <c r="F811">
        <v>76.150000000000006</v>
      </c>
      <c r="K811" s="3"/>
      <c r="O811" s="3"/>
    </row>
    <row r="812" spans="1:15">
      <c r="A812" s="3">
        <v>37336</v>
      </c>
      <c r="B812" s="3">
        <v>37336</v>
      </c>
      <c r="C812">
        <v>152.15</v>
      </c>
      <c r="D812">
        <v>0.88280000000000003</v>
      </c>
      <c r="E812">
        <v>25.42</v>
      </c>
      <c r="F812">
        <v>75.849999999999994</v>
      </c>
      <c r="K812" s="3"/>
      <c r="O812" s="3"/>
    </row>
    <row r="813" spans="1:15">
      <c r="A813" s="3">
        <v>37337</v>
      </c>
      <c r="B813" s="3">
        <v>37337</v>
      </c>
      <c r="C813">
        <v>152.15</v>
      </c>
      <c r="D813">
        <v>0.87790000000000001</v>
      </c>
      <c r="E813">
        <v>25.36</v>
      </c>
      <c r="F813">
        <v>74.5</v>
      </c>
      <c r="K813" s="3"/>
      <c r="O813" s="3"/>
    </row>
    <row r="814" spans="1:15">
      <c r="A814" s="3">
        <v>37338</v>
      </c>
      <c r="B814" s="3">
        <v>37338</v>
      </c>
      <c r="C814">
        <v>152.15</v>
      </c>
      <c r="D814">
        <v>0.87790000000000001</v>
      </c>
      <c r="E814">
        <v>25.36</v>
      </c>
      <c r="F814">
        <v>74.5</v>
      </c>
      <c r="K814" s="3"/>
      <c r="O814" s="3"/>
    </row>
    <row r="815" spans="1:15">
      <c r="A815" s="3">
        <v>37339</v>
      </c>
      <c r="B815" s="3">
        <v>37339</v>
      </c>
      <c r="C815">
        <v>152.15</v>
      </c>
      <c r="D815">
        <v>0.87790000000000001</v>
      </c>
      <c r="E815">
        <v>25.36</v>
      </c>
      <c r="F815">
        <v>74.5</v>
      </c>
      <c r="K815" s="3"/>
      <c r="O815" s="3"/>
    </row>
    <row r="816" spans="1:15">
      <c r="A816" s="3">
        <v>37340</v>
      </c>
      <c r="B816" s="3">
        <v>37340</v>
      </c>
      <c r="C816">
        <v>152.19999999999999</v>
      </c>
      <c r="D816">
        <v>0.877</v>
      </c>
      <c r="E816">
        <v>25.13</v>
      </c>
      <c r="F816">
        <v>73.349999999999994</v>
      </c>
      <c r="K816" s="3"/>
      <c r="O816" s="3"/>
    </row>
    <row r="817" spans="1:15">
      <c r="A817" s="3">
        <v>37341</v>
      </c>
      <c r="B817" s="3">
        <v>37341</v>
      </c>
      <c r="C817">
        <v>152.19999999999999</v>
      </c>
      <c r="D817">
        <v>0.87680000000000002</v>
      </c>
      <c r="E817">
        <v>25.31</v>
      </c>
      <c r="F817">
        <v>74.150000000000006</v>
      </c>
      <c r="K817" s="3"/>
      <c r="O817" s="3"/>
    </row>
    <row r="818" spans="1:15">
      <c r="A818" s="3">
        <v>37342</v>
      </c>
      <c r="B818" s="3">
        <v>37342</v>
      </c>
      <c r="C818">
        <v>152.19999999999999</v>
      </c>
      <c r="D818">
        <v>0.87250000000000005</v>
      </c>
      <c r="E818">
        <v>25.44</v>
      </c>
      <c r="F818">
        <v>75.150000000000006</v>
      </c>
      <c r="K818" s="3"/>
      <c r="O818" s="3"/>
    </row>
    <row r="819" spans="1:15">
      <c r="A819" s="3">
        <v>37343</v>
      </c>
      <c r="B819" s="3">
        <v>37343</v>
      </c>
      <c r="C819">
        <v>152.19999999999999</v>
      </c>
      <c r="D819">
        <v>0.87119999999999997</v>
      </c>
      <c r="E819">
        <v>25.92</v>
      </c>
      <c r="F819">
        <v>76.349999999999994</v>
      </c>
      <c r="K819" s="3"/>
      <c r="O819" s="3"/>
    </row>
    <row r="820" spans="1:15">
      <c r="A820" s="3">
        <v>37344</v>
      </c>
      <c r="B820" s="3">
        <v>37344</v>
      </c>
      <c r="C820">
        <v>152.19999999999999</v>
      </c>
      <c r="D820">
        <v>0.87170000000000003</v>
      </c>
      <c r="E820">
        <v>25.92</v>
      </c>
      <c r="F820">
        <v>76.349999999999994</v>
      </c>
      <c r="K820" s="3"/>
      <c r="O820" s="3"/>
    </row>
    <row r="821" spans="1:15">
      <c r="A821" s="3">
        <v>37345</v>
      </c>
      <c r="B821" s="3">
        <v>37345</v>
      </c>
      <c r="C821">
        <v>152.19999999999999</v>
      </c>
      <c r="D821">
        <v>0.87170000000000003</v>
      </c>
      <c r="E821">
        <v>25.92</v>
      </c>
      <c r="F821">
        <v>76.349999999999994</v>
      </c>
      <c r="K821" s="3"/>
      <c r="O821" s="3"/>
    </row>
    <row r="822" spans="1:15">
      <c r="A822" s="3">
        <v>37346</v>
      </c>
      <c r="B822" s="3">
        <v>37346</v>
      </c>
      <c r="C822">
        <v>152.19999999999999</v>
      </c>
      <c r="D822">
        <v>0.87170000000000003</v>
      </c>
      <c r="E822">
        <v>25.92</v>
      </c>
      <c r="F822">
        <v>76.349999999999994</v>
      </c>
      <c r="K822" s="3"/>
      <c r="O822" s="3"/>
    </row>
    <row r="823" spans="1:15">
      <c r="A823" s="3">
        <v>37347</v>
      </c>
      <c r="B823" s="3">
        <v>37347</v>
      </c>
      <c r="C823">
        <v>152.30000000000001</v>
      </c>
      <c r="D823">
        <v>0.88060000000000005</v>
      </c>
      <c r="E823">
        <v>25.92</v>
      </c>
      <c r="F823">
        <v>76.45</v>
      </c>
      <c r="K823" s="3"/>
      <c r="O823" s="3"/>
    </row>
    <row r="824" spans="1:15">
      <c r="A824" s="3">
        <v>37348</v>
      </c>
      <c r="B824" s="3">
        <v>37348</v>
      </c>
      <c r="C824">
        <v>152.30000000000001</v>
      </c>
      <c r="D824">
        <v>0.87939999999999996</v>
      </c>
      <c r="E824">
        <v>27.66</v>
      </c>
      <c r="F824">
        <v>76.349999999999994</v>
      </c>
      <c r="K824" s="3"/>
      <c r="O824" s="3"/>
    </row>
    <row r="825" spans="1:15">
      <c r="A825" s="3">
        <v>37349</v>
      </c>
      <c r="B825" s="3">
        <v>37349</v>
      </c>
      <c r="C825">
        <v>152.30000000000001</v>
      </c>
      <c r="D825">
        <v>0.88100000000000001</v>
      </c>
      <c r="E825">
        <v>27.27</v>
      </c>
      <c r="F825">
        <v>74.25</v>
      </c>
      <c r="K825" s="3"/>
      <c r="O825" s="3"/>
    </row>
    <row r="826" spans="1:15">
      <c r="A826" s="3">
        <v>37350</v>
      </c>
      <c r="B826" s="3">
        <v>37350</v>
      </c>
      <c r="C826">
        <v>152.30000000000001</v>
      </c>
      <c r="D826">
        <v>0.87849999999999995</v>
      </c>
      <c r="E826">
        <v>27.31</v>
      </c>
      <c r="F826">
        <v>73.25</v>
      </c>
      <c r="K826" s="3"/>
      <c r="O826" s="3"/>
    </row>
    <row r="827" spans="1:15">
      <c r="A827" s="3">
        <v>37351</v>
      </c>
      <c r="B827" s="3">
        <v>37351</v>
      </c>
      <c r="C827">
        <v>152.30000000000001</v>
      </c>
      <c r="D827">
        <v>0.87829999999999997</v>
      </c>
      <c r="E827">
        <v>25.99</v>
      </c>
      <c r="F827">
        <v>72.3</v>
      </c>
      <c r="K827" s="3"/>
      <c r="O827" s="3"/>
    </row>
    <row r="828" spans="1:15">
      <c r="A828" s="3">
        <v>37352</v>
      </c>
      <c r="B828" s="3">
        <v>37352</v>
      </c>
      <c r="C828">
        <v>152.30000000000001</v>
      </c>
      <c r="D828">
        <v>0.87829999999999997</v>
      </c>
      <c r="E828">
        <v>25.99</v>
      </c>
      <c r="F828">
        <v>72.3</v>
      </c>
      <c r="K828" s="3"/>
      <c r="O828" s="3"/>
    </row>
    <row r="829" spans="1:15">
      <c r="A829" s="3">
        <v>37353</v>
      </c>
      <c r="B829" s="3">
        <v>37353</v>
      </c>
      <c r="C829">
        <v>152.30000000000001</v>
      </c>
      <c r="D829">
        <v>0.87829999999999997</v>
      </c>
      <c r="E829">
        <v>25.99</v>
      </c>
      <c r="F829">
        <v>72.3</v>
      </c>
      <c r="K829" s="3"/>
      <c r="O829" s="3"/>
    </row>
    <row r="830" spans="1:15">
      <c r="A830" s="3">
        <v>37354</v>
      </c>
      <c r="B830" s="3">
        <v>37354</v>
      </c>
      <c r="C830">
        <v>152.5</v>
      </c>
      <c r="D830">
        <v>0.875</v>
      </c>
      <c r="E830">
        <v>27.02</v>
      </c>
      <c r="F830">
        <v>72.3</v>
      </c>
      <c r="K830" s="3"/>
      <c r="O830" s="3"/>
    </row>
    <row r="831" spans="1:15">
      <c r="A831" s="3">
        <v>37355</v>
      </c>
      <c r="B831" s="3">
        <v>37355</v>
      </c>
      <c r="C831">
        <v>152.5</v>
      </c>
      <c r="D831">
        <v>0.88109999999999999</v>
      </c>
      <c r="E831">
        <v>26.08</v>
      </c>
      <c r="F831">
        <v>72.7</v>
      </c>
      <c r="K831" s="3"/>
      <c r="O831" s="3"/>
    </row>
    <row r="832" spans="1:15">
      <c r="A832" s="3">
        <v>37356</v>
      </c>
      <c r="B832" s="3">
        <v>37356</v>
      </c>
      <c r="C832">
        <v>152.5</v>
      </c>
      <c r="D832">
        <v>0.88019999999999998</v>
      </c>
      <c r="E832">
        <v>26.01</v>
      </c>
      <c r="F832">
        <v>72.45</v>
      </c>
      <c r="K832" s="3"/>
      <c r="O832" s="3"/>
    </row>
    <row r="833" spans="1:15">
      <c r="A833" s="3">
        <v>37357</v>
      </c>
      <c r="B833" s="3">
        <v>37357</v>
      </c>
      <c r="C833">
        <v>152.5</v>
      </c>
      <c r="D833">
        <v>0.88239999999999996</v>
      </c>
      <c r="E833">
        <v>25.04</v>
      </c>
      <c r="F833">
        <v>72.3</v>
      </c>
      <c r="K833" s="3"/>
      <c r="O833" s="3"/>
    </row>
    <row r="834" spans="1:15">
      <c r="A834" s="3">
        <v>37358</v>
      </c>
      <c r="B834" s="3">
        <v>37358</v>
      </c>
      <c r="C834">
        <v>152.5</v>
      </c>
      <c r="D834">
        <v>0.87939999999999996</v>
      </c>
      <c r="E834">
        <v>24.29</v>
      </c>
      <c r="F834">
        <v>71.7</v>
      </c>
      <c r="K834" s="3"/>
      <c r="O834" s="3"/>
    </row>
    <row r="835" spans="1:15">
      <c r="A835" s="3">
        <v>37359</v>
      </c>
      <c r="B835" s="3">
        <v>37359</v>
      </c>
      <c r="C835">
        <v>152.5</v>
      </c>
      <c r="D835">
        <v>0.87939999999999996</v>
      </c>
      <c r="E835">
        <v>24.29</v>
      </c>
      <c r="F835">
        <v>71.7</v>
      </c>
      <c r="K835" s="3"/>
      <c r="O835" s="3"/>
    </row>
    <row r="836" spans="1:15">
      <c r="A836" s="3">
        <v>37360</v>
      </c>
      <c r="B836" s="3">
        <v>37360</v>
      </c>
      <c r="C836">
        <v>152.5</v>
      </c>
      <c r="D836">
        <v>0.87939999999999996</v>
      </c>
      <c r="E836">
        <v>24.29</v>
      </c>
      <c r="F836">
        <v>71.7</v>
      </c>
      <c r="K836" s="3"/>
      <c r="O836" s="3"/>
    </row>
    <row r="837" spans="1:15">
      <c r="A837" s="3">
        <v>37361</v>
      </c>
      <c r="B837" s="3">
        <v>37361</v>
      </c>
      <c r="C837">
        <v>152.55000000000001</v>
      </c>
      <c r="D837">
        <v>0.87949999999999995</v>
      </c>
      <c r="E837">
        <v>24.7</v>
      </c>
      <c r="F837">
        <v>71.599999999999994</v>
      </c>
      <c r="K837" s="3"/>
      <c r="O837" s="3"/>
    </row>
    <row r="838" spans="1:15">
      <c r="A838" s="3">
        <v>37362</v>
      </c>
      <c r="B838" s="3">
        <v>37362</v>
      </c>
      <c r="C838">
        <v>152.55000000000001</v>
      </c>
      <c r="D838">
        <v>0.88270000000000004</v>
      </c>
      <c r="E838">
        <v>24.58</v>
      </c>
      <c r="F838">
        <v>72.599999999999994</v>
      </c>
      <c r="K838" s="3"/>
      <c r="O838" s="3"/>
    </row>
    <row r="839" spans="1:15">
      <c r="A839" s="3">
        <v>37363</v>
      </c>
      <c r="B839" s="3">
        <v>37363</v>
      </c>
      <c r="C839">
        <v>152.55000000000001</v>
      </c>
      <c r="D839">
        <v>0.89039999999999997</v>
      </c>
      <c r="E839">
        <v>25.38</v>
      </c>
      <c r="F839">
        <v>73.650000000000006</v>
      </c>
      <c r="K839" s="3"/>
      <c r="O839" s="3"/>
    </row>
    <row r="840" spans="1:15">
      <c r="A840" s="3">
        <v>37364</v>
      </c>
      <c r="B840" s="3">
        <v>37364</v>
      </c>
      <c r="C840">
        <v>152.55000000000001</v>
      </c>
      <c r="D840">
        <v>0.8911</v>
      </c>
      <c r="E840">
        <v>25.77</v>
      </c>
      <c r="F840">
        <v>72.7</v>
      </c>
      <c r="K840" s="3"/>
      <c r="O840" s="3"/>
    </row>
    <row r="841" spans="1:15">
      <c r="A841" s="3">
        <v>37365</v>
      </c>
      <c r="B841" s="3">
        <v>37365</v>
      </c>
      <c r="C841">
        <v>152.55000000000001</v>
      </c>
      <c r="D841">
        <v>0.89259999999999995</v>
      </c>
      <c r="E841">
        <v>25.85</v>
      </c>
      <c r="F841">
        <v>73.3</v>
      </c>
      <c r="K841" s="3"/>
      <c r="O841" s="3"/>
    </row>
    <row r="842" spans="1:15">
      <c r="A842" s="3">
        <v>37366</v>
      </c>
      <c r="B842" s="3">
        <v>37366</v>
      </c>
      <c r="C842">
        <v>152.55000000000001</v>
      </c>
      <c r="D842">
        <v>0.89259999999999995</v>
      </c>
      <c r="E842">
        <v>25.85</v>
      </c>
      <c r="F842">
        <v>73.3</v>
      </c>
      <c r="K842" s="3"/>
      <c r="O842" s="3"/>
    </row>
    <row r="843" spans="1:15">
      <c r="A843" s="3">
        <v>37367</v>
      </c>
      <c r="B843" s="3">
        <v>37367</v>
      </c>
      <c r="C843">
        <v>152.55000000000001</v>
      </c>
      <c r="D843">
        <v>0.89259999999999995</v>
      </c>
      <c r="E843">
        <v>25.85</v>
      </c>
      <c r="F843">
        <v>73.3</v>
      </c>
      <c r="K843" s="3"/>
      <c r="O843" s="3"/>
    </row>
    <row r="844" spans="1:15">
      <c r="A844" s="3">
        <v>37368</v>
      </c>
      <c r="B844" s="3">
        <v>37368</v>
      </c>
      <c r="C844">
        <v>152.69999999999999</v>
      </c>
      <c r="D844">
        <v>0.88939999999999997</v>
      </c>
      <c r="E844">
        <v>25.89</v>
      </c>
      <c r="F844">
        <v>74.349999999999994</v>
      </c>
      <c r="K844" s="3"/>
      <c r="O844" s="3"/>
    </row>
    <row r="845" spans="1:15">
      <c r="A845" s="3">
        <v>37369</v>
      </c>
      <c r="B845" s="3">
        <v>37369</v>
      </c>
      <c r="C845">
        <v>152.69999999999999</v>
      </c>
      <c r="D845">
        <v>0.88849999999999996</v>
      </c>
      <c r="E845">
        <v>26</v>
      </c>
      <c r="F845">
        <v>73.150000000000006</v>
      </c>
      <c r="K845" s="3"/>
      <c r="O845" s="3"/>
    </row>
    <row r="846" spans="1:15">
      <c r="A846" s="3">
        <v>37370</v>
      </c>
      <c r="B846" s="3">
        <v>37370</v>
      </c>
      <c r="C846">
        <v>152.69999999999999</v>
      </c>
      <c r="D846">
        <v>0.89270000000000005</v>
      </c>
      <c r="E846">
        <v>25.76</v>
      </c>
      <c r="F846">
        <v>73.55</v>
      </c>
      <c r="K846" s="3"/>
      <c r="O846" s="3"/>
    </row>
    <row r="847" spans="1:15">
      <c r="A847" s="3">
        <v>37371</v>
      </c>
      <c r="B847" s="3">
        <v>37371</v>
      </c>
      <c r="C847">
        <v>152.69999999999999</v>
      </c>
      <c r="D847">
        <v>0.89800000000000002</v>
      </c>
      <c r="E847">
        <v>25.93</v>
      </c>
      <c r="F847">
        <v>72.95</v>
      </c>
      <c r="K847" s="3"/>
      <c r="O847" s="3"/>
    </row>
    <row r="848" spans="1:15">
      <c r="A848" s="3">
        <v>37372</v>
      </c>
      <c r="B848" s="3">
        <v>37372</v>
      </c>
      <c r="C848">
        <v>152.69999999999999</v>
      </c>
      <c r="D848">
        <v>0.90190000000000003</v>
      </c>
      <c r="E848">
        <v>26.19</v>
      </c>
      <c r="F848">
        <v>73.599999999999994</v>
      </c>
      <c r="K848" s="3"/>
      <c r="O848" s="3"/>
    </row>
    <row r="849" spans="1:15">
      <c r="A849" s="3">
        <v>37373</v>
      </c>
      <c r="B849" s="3">
        <v>37373</v>
      </c>
      <c r="C849">
        <v>152.69999999999999</v>
      </c>
      <c r="D849">
        <v>0.90190000000000003</v>
      </c>
      <c r="E849">
        <v>26.19</v>
      </c>
      <c r="F849">
        <v>73.599999999999994</v>
      </c>
      <c r="K849" s="3"/>
      <c r="O849" s="3"/>
    </row>
    <row r="850" spans="1:15">
      <c r="A850" s="3">
        <v>37374</v>
      </c>
      <c r="B850" s="3">
        <v>37374</v>
      </c>
      <c r="C850">
        <v>152.69999999999999</v>
      </c>
      <c r="D850">
        <v>0.90190000000000003</v>
      </c>
      <c r="E850">
        <v>26.19</v>
      </c>
      <c r="F850">
        <v>73.599999999999994</v>
      </c>
      <c r="K850" s="3"/>
      <c r="O850" s="3"/>
    </row>
    <row r="851" spans="1:15">
      <c r="A851" s="3">
        <v>37375</v>
      </c>
      <c r="B851" s="3">
        <v>37375</v>
      </c>
      <c r="C851">
        <v>152.80000000000001</v>
      </c>
      <c r="D851">
        <v>0.90329999999999999</v>
      </c>
      <c r="E851">
        <v>26.68</v>
      </c>
      <c r="F851">
        <v>73.400000000000006</v>
      </c>
      <c r="K851" s="3"/>
      <c r="O851" s="3"/>
    </row>
    <row r="852" spans="1:15">
      <c r="A852" s="3">
        <v>37376</v>
      </c>
      <c r="B852" s="3">
        <v>37376</v>
      </c>
      <c r="C852">
        <v>152.80000000000001</v>
      </c>
      <c r="D852">
        <v>0.90049999999999997</v>
      </c>
      <c r="E852">
        <v>26.47</v>
      </c>
      <c r="F852">
        <v>73.25</v>
      </c>
      <c r="K852" s="3"/>
      <c r="O852" s="3"/>
    </row>
    <row r="853" spans="1:15">
      <c r="A853" s="3">
        <v>37377</v>
      </c>
      <c r="B853" s="3">
        <v>37377</v>
      </c>
      <c r="C853">
        <v>152.80000000000001</v>
      </c>
      <c r="D853">
        <v>0.90639999999999998</v>
      </c>
      <c r="E853">
        <v>25.87</v>
      </c>
      <c r="F853">
        <v>72.3</v>
      </c>
      <c r="K853" s="3"/>
      <c r="O853" s="3"/>
    </row>
    <row r="854" spans="1:15">
      <c r="A854" s="3">
        <v>37378</v>
      </c>
      <c r="B854" s="3">
        <v>37378</v>
      </c>
      <c r="C854">
        <v>152.80000000000001</v>
      </c>
      <c r="D854">
        <v>0.9032</v>
      </c>
      <c r="E854">
        <v>25.43</v>
      </c>
      <c r="F854">
        <v>73</v>
      </c>
      <c r="K854" s="3"/>
      <c r="O854" s="3"/>
    </row>
    <row r="855" spans="1:15">
      <c r="A855" s="3">
        <v>37379</v>
      </c>
      <c r="B855" s="3">
        <v>37379</v>
      </c>
      <c r="C855">
        <v>152.84</v>
      </c>
      <c r="D855">
        <v>0.9173</v>
      </c>
      <c r="E855">
        <v>25.75</v>
      </c>
      <c r="F855">
        <v>71.900000000000006</v>
      </c>
      <c r="K855" s="3"/>
      <c r="O855" s="3"/>
    </row>
    <row r="856" spans="1:15">
      <c r="A856" s="3">
        <v>37380</v>
      </c>
      <c r="B856" s="3">
        <v>37380</v>
      </c>
      <c r="C856">
        <v>152.84</v>
      </c>
      <c r="D856">
        <v>0.9173</v>
      </c>
      <c r="E856">
        <v>25.75</v>
      </c>
      <c r="F856">
        <v>71.900000000000006</v>
      </c>
      <c r="K856" s="3"/>
      <c r="O856" s="3"/>
    </row>
    <row r="857" spans="1:15">
      <c r="A857" s="3">
        <v>37381</v>
      </c>
      <c r="B857" s="3">
        <v>37381</v>
      </c>
      <c r="C857">
        <v>152.84</v>
      </c>
      <c r="D857">
        <v>0.9173</v>
      </c>
      <c r="E857">
        <v>25.75</v>
      </c>
      <c r="F857">
        <v>71.900000000000006</v>
      </c>
      <c r="K857" s="3"/>
      <c r="O857" s="3"/>
    </row>
    <row r="858" spans="1:15">
      <c r="A858" s="3">
        <v>37382</v>
      </c>
      <c r="B858" s="3">
        <v>37382</v>
      </c>
      <c r="C858">
        <v>152.9</v>
      </c>
      <c r="D858">
        <v>0.91830000000000001</v>
      </c>
      <c r="E858">
        <v>25.75</v>
      </c>
      <c r="F858">
        <v>71</v>
      </c>
      <c r="K858" s="3"/>
      <c r="O858" s="3"/>
    </row>
    <row r="859" spans="1:15">
      <c r="A859" s="3">
        <v>37383</v>
      </c>
      <c r="B859" s="3">
        <v>37383</v>
      </c>
      <c r="C859">
        <v>152.9</v>
      </c>
      <c r="D859">
        <v>0.91479999999999995</v>
      </c>
      <c r="E859">
        <v>25.41</v>
      </c>
      <c r="F859">
        <v>72.05</v>
      </c>
      <c r="K859" s="3"/>
      <c r="O859" s="3"/>
    </row>
    <row r="860" spans="1:15">
      <c r="A860" s="3">
        <v>37384</v>
      </c>
      <c r="B860" s="3">
        <v>37384</v>
      </c>
      <c r="C860">
        <v>152.9</v>
      </c>
      <c r="D860">
        <v>0.90459999999999996</v>
      </c>
      <c r="E860">
        <v>26.03</v>
      </c>
      <c r="F860">
        <v>72.75</v>
      </c>
      <c r="K860" s="3"/>
      <c r="O860" s="3"/>
    </row>
    <row r="861" spans="1:15">
      <c r="A861" s="3">
        <v>37385</v>
      </c>
      <c r="B861" s="3">
        <v>37385</v>
      </c>
      <c r="C861">
        <v>152.9</v>
      </c>
      <c r="D861">
        <v>0.9093</v>
      </c>
      <c r="E861">
        <v>25.94</v>
      </c>
      <c r="F861">
        <v>72.5</v>
      </c>
      <c r="K861" s="3"/>
      <c r="O861" s="3"/>
    </row>
    <row r="862" spans="1:15">
      <c r="A862" s="3">
        <v>37386</v>
      </c>
      <c r="B862" s="3">
        <v>37386</v>
      </c>
      <c r="C862">
        <v>152.9</v>
      </c>
      <c r="D862">
        <v>0.91400000000000003</v>
      </c>
      <c r="E862">
        <v>26.38</v>
      </c>
      <c r="F862">
        <v>73.3</v>
      </c>
      <c r="K862" s="3"/>
      <c r="O862" s="3"/>
    </row>
    <row r="863" spans="1:15">
      <c r="A863" s="3">
        <v>37387</v>
      </c>
      <c r="B863" s="3">
        <v>37387</v>
      </c>
      <c r="C863">
        <v>152.9</v>
      </c>
      <c r="D863">
        <v>0.91400000000000003</v>
      </c>
      <c r="E863">
        <v>26.38</v>
      </c>
      <c r="F863">
        <v>73.3</v>
      </c>
      <c r="K863" s="3"/>
      <c r="O863" s="3"/>
    </row>
    <row r="864" spans="1:15">
      <c r="A864" s="3">
        <v>37388</v>
      </c>
      <c r="B864" s="3">
        <v>37388</v>
      </c>
      <c r="C864">
        <v>152.9</v>
      </c>
      <c r="D864">
        <v>0.91400000000000003</v>
      </c>
      <c r="E864">
        <v>26.38</v>
      </c>
      <c r="F864">
        <v>73.3</v>
      </c>
      <c r="K864" s="3"/>
      <c r="O864" s="3"/>
    </row>
    <row r="865" spans="1:15">
      <c r="A865" s="3">
        <v>37389</v>
      </c>
      <c r="B865" s="3">
        <v>37389</v>
      </c>
      <c r="C865">
        <v>152.9</v>
      </c>
      <c r="D865">
        <v>0.91210000000000002</v>
      </c>
      <c r="E865">
        <v>26.58</v>
      </c>
      <c r="F865">
        <v>73.2</v>
      </c>
      <c r="K865" s="3"/>
      <c r="O865" s="3"/>
    </row>
    <row r="866" spans="1:15">
      <c r="A866" s="3">
        <v>37390</v>
      </c>
      <c r="B866" s="3">
        <v>37390</v>
      </c>
      <c r="C866">
        <v>152.94999999999999</v>
      </c>
      <c r="D866">
        <v>0.90259999999999996</v>
      </c>
      <c r="E866">
        <v>27.31</v>
      </c>
      <c r="F866">
        <v>74</v>
      </c>
      <c r="K866" s="3"/>
      <c r="O866" s="3"/>
    </row>
    <row r="867" spans="1:15">
      <c r="A867" s="3">
        <v>37391</v>
      </c>
      <c r="B867" s="3">
        <v>37391</v>
      </c>
      <c r="C867">
        <v>152.94999999999999</v>
      </c>
      <c r="D867">
        <v>0.91190000000000004</v>
      </c>
      <c r="E867">
        <v>26.17</v>
      </c>
      <c r="F867">
        <v>74.3</v>
      </c>
      <c r="K867" s="3"/>
      <c r="O867" s="3"/>
    </row>
    <row r="868" spans="1:15">
      <c r="A868" s="3">
        <v>37392</v>
      </c>
      <c r="B868" s="3">
        <v>37392</v>
      </c>
      <c r="C868">
        <v>152.94999999999999</v>
      </c>
      <c r="D868">
        <v>0.91090000000000004</v>
      </c>
      <c r="E868">
        <v>26.22</v>
      </c>
      <c r="F868">
        <v>73.400000000000006</v>
      </c>
      <c r="K868" s="3"/>
      <c r="O868" s="3"/>
    </row>
    <row r="869" spans="1:15">
      <c r="A869" s="3">
        <v>37393</v>
      </c>
      <c r="B869" s="3">
        <v>37393</v>
      </c>
      <c r="C869">
        <v>152.94999999999999</v>
      </c>
      <c r="D869">
        <v>0.92030000000000001</v>
      </c>
      <c r="E869">
        <v>26.36</v>
      </c>
      <c r="F869">
        <v>72.400000000000006</v>
      </c>
      <c r="K869" s="3"/>
      <c r="O869" s="3"/>
    </row>
    <row r="870" spans="1:15">
      <c r="A870" s="3">
        <v>37394</v>
      </c>
      <c r="B870" s="3">
        <v>37394</v>
      </c>
      <c r="C870">
        <v>152.94999999999999</v>
      </c>
      <c r="D870">
        <v>0.92030000000000001</v>
      </c>
      <c r="E870">
        <v>26.36</v>
      </c>
      <c r="F870">
        <v>72.400000000000006</v>
      </c>
      <c r="K870" s="3"/>
      <c r="O870" s="3"/>
    </row>
    <row r="871" spans="1:15">
      <c r="A871" s="3">
        <v>37395</v>
      </c>
      <c r="B871" s="3">
        <v>37395</v>
      </c>
      <c r="C871">
        <v>152.94999999999999</v>
      </c>
      <c r="D871">
        <v>0.92030000000000001</v>
      </c>
      <c r="E871">
        <v>26.36</v>
      </c>
      <c r="F871">
        <v>72.400000000000006</v>
      </c>
      <c r="K871" s="3"/>
      <c r="O871" s="3"/>
    </row>
    <row r="872" spans="1:15">
      <c r="A872" s="3">
        <v>37396</v>
      </c>
      <c r="B872" s="3">
        <v>37396</v>
      </c>
      <c r="C872">
        <v>152.9</v>
      </c>
      <c r="D872">
        <v>0.92120000000000002</v>
      </c>
      <c r="E872">
        <v>26.38</v>
      </c>
      <c r="F872">
        <v>72.2</v>
      </c>
      <c r="K872" s="3"/>
      <c r="O872" s="3"/>
    </row>
    <row r="873" spans="1:15">
      <c r="A873" s="3">
        <v>37397</v>
      </c>
      <c r="B873" s="3">
        <v>37397</v>
      </c>
      <c r="C873">
        <v>152.9</v>
      </c>
      <c r="D873">
        <v>0.92</v>
      </c>
      <c r="E873">
        <v>25.6</v>
      </c>
      <c r="F873">
        <v>72.3</v>
      </c>
      <c r="K873" s="3"/>
      <c r="O873" s="3"/>
    </row>
    <row r="874" spans="1:15">
      <c r="A874" s="3">
        <v>37398</v>
      </c>
      <c r="B874" s="3">
        <v>37398</v>
      </c>
      <c r="C874">
        <v>152.9</v>
      </c>
      <c r="D874">
        <v>0.92600000000000005</v>
      </c>
      <c r="E874">
        <v>25.5</v>
      </c>
      <c r="F874">
        <v>72.400000000000006</v>
      </c>
      <c r="K874" s="3"/>
      <c r="O874" s="3"/>
    </row>
    <row r="875" spans="1:15">
      <c r="A875" s="3">
        <v>37399</v>
      </c>
      <c r="B875" s="3">
        <v>37399</v>
      </c>
      <c r="C875">
        <v>152.9</v>
      </c>
      <c r="D875">
        <v>0.92110000000000003</v>
      </c>
      <c r="E875">
        <v>25.39</v>
      </c>
      <c r="F875">
        <v>73.2</v>
      </c>
      <c r="K875" s="3"/>
      <c r="O875" s="3"/>
    </row>
    <row r="876" spans="1:15">
      <c r="A876" s="3">
        <v>37400</v>
      </c>
      <c r="B876" s="3">
        <v>37400</v>
      </c>
      <c r="C876">
        <v>152.9</v>
      </c>
      <c r="D876">
        <v>0.92079999999999995</v>
      </c>
      <c r="E876">
        <v>25.18</v>
      </c>
      <c r="F876">
        <v>73.5</v>
      </c>
      <c r="K876" s="3"/>
      <c r="O876" s="3"/>
    </row>
    <row r="877" spans="1:15">
      <c r="A877" s="3">
        <v>37401</v>
      </c>
      <c r="B877" s="3">
        <v>37401</v>
      </c>
      <c r="C877">
        <v>152.9</v>
      </c>
      <c r="D877">
        <v>0.92079999999999995</v>
      </c>
      <c r="E877">
        <v>25.18</v>
      </c>
      <c r="F877">
        <v>73.5</v>
      </c>
      <c r="K877" s="3"/>
      <c r="O877" s="3"/>
    </row>
    <row r="878" spans="1:15">
      <c r="A878" s="3">
        <v>37402</v>
      </c>
      <c r="B878" s="3">
        <v>37402</v>
      </c>
      <c r="C878">
        <v>152.9</v>
      </c>
      <c r="D878">
        <v>0.92079999999999995</v>
      </c>
      <c r="E878">
        <v>25.18</v>
      </c>
      <c r="F878">
        <v>73.5</v>
      </c>
      <c r="K878" s="3"/>
      <c r="O878" s="3"/>
    </row>
    <row r="879" spans="1:15">
      <c r="A879" s="3">
        <v>37403</v>
      </c>
      <c r="B879" s="3">
        <v>37403</v>
      </c>
      <c r="C879">
        <v>152.9</v>
      </c>
      <c r="D879">
        <v>0.92059999999999997</v>
      </c>
      <c r="E879">
        <v>24.94</v>
      </c>
      <c r="F879">
        <v>73.5</v>
      </c>
      <c r="K879" s="3"/>
      <c r="O879" s="3"/>
    </row>
    <row r="880" spans="1:15">
      <c r="A880" s="3">
        <v>37404</v>
      </c>
      <c r="B880" s="3">
        <v>37404</v>
      </c>
      <c r="C880">
        <v>152.9</v>
      </c>
      <c r="D880">
        <v>0.92859999999999998</v>
      </c>
      <c r="E880">
        <v>24.76</v>
      </c>
      <c r="F880">
        <v>75.349999999999994</v>
      </c>
      <c r="K880" s="3"/>
      <c r="O880" s="3"/>
    </row>
    <row r="881" spans="1:15">
      <c r="A881" s="3">
        <v>37405</v>
      </c>
      <c r="B881" s="3">
        <v>37405</v>
      </c>
      <c r="C881">
        <v>152.9</v>
      </c>
      <c r="D881">
        <v>0.93500000000000005</v>
      </c>
      <c r="E881">
        <v>25.12</v>
      </c>
      <c r="F881">
        <v>74.75</v>
      </c>
      <c r="K881" s="3"/>
      <c r="O881" s="3"/>
    </row>
    <row r="882" spans="1:15">
      <c r="A882" s="3">
        <v>37406</v>
      </c>
      <c r="B882" s="3">
        <v>37406</v>
      </c>
      <c r="C882">
        <v>152.9</v>
      </c>
      <c r="D882">
        <v>0.93700000000000006</v>
      </c>
      <c r="E882">
        <v>24.05</v>
      </c>
      <c r="F882">
        <v>75.2</v>
      </c>
      <c r="K882" s="3"/>
      <c r="O882" s="3"/>
    </row>
    <row r="883" spans="1:15">
      <c r="A883" s="3">
        <v>37407</v>
      </c>
      <c r="B883" s="3">
        <v>37407</v>
      </c>
      <c r="C883">
        <v>152.9</v>
      </c>
      <c r="D883">
        <v>0.93420000000000003</v>
      </c>
      <c r="E883">
        <v>24.45</v>
      </c>
      <c r="F883">
        <v>76.400000000000006</v>
      </c>
      <c r="K883" s="3"/>
      <c r="O883" s="3"/>
    </row>
    <row r="884" spans="1:15">
      <c r="A884" s="3">
        <v>37408</v>
      </c>
      <c r="B884" s="3">
        <v>37408</v>
      </c>
      <c r="C884">
        <v>152.9</v>
      </c>
      <c r="D884">
        <v>0.93420000000000003</v>
      </c>
      <c r="E884">
        <v>24.45</v>
      </c>
      <c r="F884">
        <v>76.400000000000006</v>
      </c>
      <c r="K884" s="3"/>
      <c r="O884" s="3"/>
    </row>
    <row r="885" spans="1:15">
      <c r="A885" s="3">
        <v>37409</v>
      </c>
      <c r="B885" s="3">
        <v>37409</v>
      </c>
      <c r="C885">
        <v>152.9</v>
      </c>
      <c r="D885">
        <v>0.93420000000000003</v>
      </c>
      <c r="E885">
        <v>24.45</v>
      </c>
      <c r="F885">
        <v>76.400000000000006</v>
      </c>
      <c r="K885" s="3"/>
      <c r="O885" s="3"/>
    </row>
    <row r="886" spans="1:15">
      <c r="A886" s="3">
        <v>37410</v>
      </c>
      <c r="B886" s="3">
        <v>37410</v>
      </c>
      <c r="C886">
        <v>153.1</v>
      </c>
      <c r="D886">
        <v>0.94189999999999996</v>
      </c>
      <c r="E886">
        <v>24.45</v>
      </c>
      <c r="F886">
        <v>77.55</v>
      </c>
      <c r="K886" s="3"/>
      <c r="O886" s="3"/>
    </row>
    <row r="887" spans="1:15">
      <c r="A887" s="3">
        <v>37411</v>
      </c>
      <c r="B887" s="3">
        <v>37411</v>
      </c>
      <c r="C887">
        <v>153.1</v>
      </c>
      <c r="D887">
        <v>0.93940000000000001</v>
      </c>
      <c r="E887">
        <v>24.45</v>
      </c>
      <c r="F887">
        <v>78.599999999999994</v>
      </c>
      <c r="K887" s="3"/>
      <c r="O887" s="3"/>
    </row>
    <row r="888" spans="1:15">
      <c r="A888" s="3">
        <v>37412</v>
      </c>
      <c r="B888" s="3">
        <v>37412</v>
      </c>
      <c r="C888">
        <v>153.1</v>
      </c>
      <c r="D888">
        <v>0.93899999999999995</v>
      </c>
      <c r="E888">
        <v>24.18</v>
      </c>
      <c r="F888">
        <v>78.349999999999994</v>
      </c>
      <c r="K888" s="3"/>
      <c r="O888" s="3"/>
    </row>
    <row r="889" spans="1:15">
      <c r="A889" s="3">
        <v>37413</v>
      </c>
      <c r="B889" s="3">
        <v>37413</v>
      </c>
      <c r="C889">
        <v>153.1</v>
      </c>
      <c r="D889">
        <v>0.94740000000000002</v>
      </c>
      <c r="E889">
        <v>24.22</v>
      </c>
      <c r="F889">
        <v>77.900000000000006</v>
      </c>
      <c r="K889" s="3"/>
      <c r="O889" s="3"/>
    </row>
    <row r="890" spans="1:15">
      <c r="A890" s="3">
        <v>37414</v>
      </c>
      <c r="B890" s="3">
        <v>37414</v>
      </c>
      <c r="C890">
        <v>153.1</v>
      </c>
      <c r="D890">
        <v>0.94350000000000001</v>
      </c>
      <c r="E890">
        <v>23.99</v>
      </c>
      <c r="F890">
        <v>78</v>
      </c>
      <c r="K890" s="3"/>
      <c r="O890" s="3"/>
    </row>
    <row r="891" spans="1:15">
      <c r="A891" s="3">
        <v>37415</v>
      </c>
      <c r="B891" s="3">
        <v>37415</v>
      </c>
      <c r="C891">
        <v>153.1</v>
      </c>
      <c r="D891">
        <v>0.94350000000000001</v>
      </c>
      <c r="E891">
        <v>23.99</v>
      </c>
      <c r="F891">
        <v>78</v>
      </c>
      <c r="K891" s="3"/>
      <c r="O891" s="3"/>
    </row>
    <row r="892" spans="1:15">
      <c r="A892" s="3">
        <v>37416</v>
      </c>
      <c r="B892" s="3">
        <v>37416</v>
      </c>
      <c r="C892">
        <v>153.1</v>
      </c>
      <c r="D892">
        <v>0.94350000000000001</v>
      </c>
      <c r="E892">
        <v>23.99</v>
      </c>
      <c r="F892">
        <v>78</v>
      </c>
      <c r="K892" s="3"/>
      <c r="O892" s="3"/>
    </row>
    <row r="893" spans="1:15">
      <c r="A893" s="3">
        <v>37417</v>
      </c>
      <c r="B893" s="3">
        <v>37417</v>
      </c>
      <c r="C893">
        <v>153.1</v>
      </c>
      <c r="D893">
        <v>0.94450000000000001</v>
      </c>
      <c r="E893">
        <v>23.66</v>
      </c>
      <c r="F893">
        <v>78.05</v>
      </c>
      <c r="K893" s="3"/>
      <c r="O893" s="3"/>
    </row>
    <row r="894" spans="1:15">
      <c r="A894" s="3">
        <v>37418</v>
      </c>
      <c r="B894" s="3">
        <v>37418</v>
      </c>
      <c r="C894">
        <v>153.1</v>
      </c>
      <c r="D894">
        <v>0.94810000000000005</v>
      </c>
      <c r="E894">
        <v>23.3</v>
      </c>
      <c r="F894">
        <v>76.5</v>
      </c>
      <c r="K894" s="3"/>
      <c r="O894" s="3"/>
    </row>
    <row r="895" spans="1:15">
      <c r="A895" s="3">
        <v>37419</v>
      </c>
      <c r="B895" s="3">
        <v>37419</v>
      </c>
      <c r="C895">
        <v>153.1</v>
      </c>
      <c r="D895">
        <v>0.94350000000000001</v>
      </c>
      <c r="E895">
        <v>23.51</v>
      </c>
      <c r="F895">
        <v>76.400000000000006</v>
      </c>
      <c r="K895" s="3"/>
      <c r="O895" s="3"/>
    </row>
    <row r="896" spans="1:15">
      <c r="A896" s="3">
        <v>37420</v>
      </c>
      <c r="B896" s="3">
        <v>37420</v>
      </c>
      <c r="C896">
        <v>153.1</v>
      </c>
      <c r="D896">
        <v>0.94340000000000002</v>
      </c>
      <c r="E896">
        <v>24.06</v>
      </c>
      <c r="F896">
        <v>76.599999999999994</v>
      </c>
      <c r="K896" s="3"/>
      <c r="O896" s="3"/>
    </row>
    <row r="897" spans="1:15">
      <c r="A897" s="3">
        <v>37421</v>
      </c>
      <c r="B897" s="3">
        <v>37421</v>
      </c>
      <c r="C897">
        <v>153.1</v>
      </c>
      <c r="D897">
        <v>0.94610000000000005</v>
      </c>
      <c r="E897">
        <v>24.99</v>
      </c>
      <c r="F897">
        <v>76.5</v>
      </c>
      <c r="K897" s="3"/>
      <c r="O897" s="3"/>
    </row>
    <row r="898" spans="1:15">
      <c r="A898" s="3">
        <v>37422</v>
      </c>
      <c r="B898" s="3">
        <v>37422</v>
      </c>
      <c r="C898">
        <v>153.1</v>
      </c>
      <c r="D898">
        <v>0.94610000000000005</v>
      </c>
      <c r="E898">
        <v>24.99</v>
      </c>
      <c r="F898">
        <v>76.5</v>
      </c>
      <c r="K898" s="3"/>
      <c r="O898" s="3"/>
    </row>
    <row r="899" spans="1:15">
      <c r="A899" s="3">
        <v>37423</v>
      </c>
      <c r="B899" s="3">
        <v>37423</v>
      </c>
      <c r="C899">
        <v>153.1</v>
      </c>
      <c r="D899">
        <v>0.94610000000000005</v>
      </c>
      <c r="E899">
        <v>24.99</v>
      </c>
      <c r="F899">
        <v>76.5</v>
      </c>
      <c r="K899" s="3"/>
      <c r="O899" s="3"/>
    </row>
    <row r="900" spans="1:15">
      <c r="A900" s="3">
        <v>37424</v>
      </c>
      <c r="B900" s="3">
        <v>37424</v>
      </c>
      <c r="C900">
        <v>153.1</v>
      </c>
      <c r="D900">
        <v>0.94479999999999997</v>
      </c>
      <c r="E900">
        <v>25.24</v>
      </c>
      <c r="F900">
        <v>76.099999999999994</v>
      </c>
      <c r="K900" s="3"/>
      <c r="O900" s="3"/>
    </row>
    <row r="901" spans="1:15">
      <c r="A901" s="3">
        <v>37425</v>
      </c>
      <c r="B901" s="3">
        <v>37425</v>
      </c>
      <c r="C901">
        <v>153.1</v>
      </c>
      <c r="D901">
        <v>0.95169999999999999</v>
      </c>
      <c r="E901">
        <v>24.79</v>
      </c>
      <c r="F901">
        <v>76</v>
      </c>
      <c r="K901" s="3"/>
      <c r="O901" s="3"/>
    </row>
    <row r="902" spans="1:15">
      <c r="A902" s="3">
        <v>37426</v>
      </c>
      <c r="B902" s="3">
        <v>37426</v>
      </c>
      <c r="C902">
        <v>153.1</v>
      </c>
      <c r="D902">
        <v>0.95779999999999998</v>
      </c>
      <c r="E902">
        <v>24.55</v>
      </c>
      <c r="F902">
        <v>75.75</v>
      </c>
      <c r="K902" s="3"/>
      <c r="O902" s="3"/>
    </row>
    <row r="903" spans="1:15">
      <c r="A903" s="3">
        <v>37427</v>
      </c>
      <c r="B903" s="3">
        <v>37427</v>
      </c>
      <c r="C903">
        <v>153.1</v>
      </c>
      <c r="D903">
        <v>0.96479999999999999</v>
      </c>
      <c r="E903">
        <v>25.07</v>
      </c>
      <c r="F903">
        <v>75.150000000000006</v>
      </c>
      <c r="K903" s="3"/>
      <c r="O903" s="3"/>
    </row>
    <row r="904" spans="1:15">
      <c r="A904" s="3">
        <v>37428</v>
      </c>
      <c r="B904" s="3">
        <v>37428</v>
      </c>
      <c r="C904">
        <v>153.1</v>
      </c>
      <c r="D904">
        <v>0.97089999999999999</v>
      </c>
      <c r="E904">
        <v>24.75</v>
      </c>
      <c r="F904">
        <v>74.3</v>
      </c>
      <c r="K904" s="3"/>
      <c r="O904" s="3"/>
    </row>
    <row r="905" spans="1:15">
      <c r="A905" s="3">
        <v>37429</v>
      </c>
      <c r="B905" s="3">
        <v>37429</v>
      </c>
      <c r="C905">
        <v>153.1</v>
      </c>
      <c r="D905">
        <v>0.97089999999999999</v>
      </c>
      <c r="E905">
        <v>24.75</v>
      </c>
      <c r="F905">
        <v>74.3</v>
      </c>
      <c r="K905" s="3"/>
      <c r="O905" s="3"/>
    </row>
    <row r="906" spans="1:15">
      <c r="A906" s="3">
        <v>37430</v>
      </c>
      <c r="B906" s="3">
        <v>37430</v>
      </c>
      <c r="C906">
        <v>153.1</v>
      </c>
      <c r="D906">
        <v>0.97089999999999999</v>
      </c>
      <c r="E906">
        <v>24.75</v>
      </c>
      <c r="F906">
        <v>74.3</v>
      </c>
      <c r="K906" s="3"/>
      <c r="O906" s="3"/>
    </row>
    <row r="907" spans="1:15">
      <c r="A907" s="3">
        <v>37431</v>
      </c>
      <c r="B907" s="3">
        <v>37431</v>
      </c>
      <c r="C907">
        <v>153.1</v>
      </c>
      <c r="D907">
        <v>0.97070000000000001</v>
      </c>
      <c r="E907">
        <v>25.27</v>
      </c>
      <c r="F907">
        <v>74.05</v>
      </c>
      <c r="K907" s="3"/>
      <c r="O907" s="3"/>
    </row>
    <row r="908" spans="1:15">
      <c r="A908" s="3">
        <v>37432</v>
      </c>
      <c r="B908" s="3">
        <v>37432</v>
      </c>
      <c r="C908">
        <v>153.1</v>
      </c>
      <c r="D908">
        <v>0.97960000000000003</v>
      </c>
      <c r="E908">
        <v>25.2</v>
      </c>
      <c r="F908">
        <v>74.95</v>
      </c>
      <c r="K908" s="3"/>
      <c r="O908" s="3"/>
    </row>
    <row r="909" spans="1:15">
      <c r="A909" s="3">
        <v>37433</v>
      </c>
      <c r="B909" s="3">
        <v>37433</v>
      </c>
      <c r="C909">
        <v>153.1</v>
      </c>
      <c r="D909">
        <v>0.98260000000000003</v>
      </c>
      <c r="E909">
        <v>25.24</v>
      </c>
      <c r="F909">
        <v>75.099999999999994</v>
      </c>
      <c r="K909" s="3"/>
      <c r="O909" s="3"/>
    </row>
    <row r="910" spans="1:15">
      <c r="A910" s="3">
        <v>37434</v>
      </c>
      <c r="B910" s="3">
        <v>37434</v>
      </c>
      <c r="C910">
        <v>153.1</v>
      </c>
      <c r="D910">
        <v>0.98829999999999996</v>
      </c>
      <c r="E910">
        <v>25.45</v>
      </c>
      <c r="F910">
        <v>75.25</v>
      </c>
      <c r="K910" s="3"/>
      <c r="O910" s="3"/>
    </row>
    <row r="911" spans="1:15">
      <c r="A911" s="3">
        <v>37435</v>
      </c>
      <c r="B911" s="3">
        <v>37435</v>
      </c>
      <c r="C911">
        <v>153.1</v>
      </c>
      <c r="D911">
        <v>0.99150000000000005</v>
      </c>
      <c r="E911">
        <v>25.58</v>
      </c>
      <c r="F911">
        <v>76.75</v>
      </c>
      <c r="K911" s="3"/>
      <c r="O911" s="3"/>
    </row>
    <row r="912" spans="1:15">
      <c r="A912" s="3">
        <v>37436</v>
      </c>
      <c r="B912" s="3">
        <v>37436</v>
      </c>
      <c r="C912">
        <v>153.1</v>
      </c>
      <c r="D912">
        <v>0.99150000000000005</v>
      </c>
      <c r="E912">
        <v>25.58</v>
      </c>
      <c r="F912">
        <v>76.75</v>
      </c>
      <c r="K912" s="3"/>
      <c r="O912" s="3"/>
    </row>
    <row r="913" spans="1:15">
      <c r="A913" s="3">
        <v>37437</v>
      </c>
      <c r="B913" s="3">
        <v>37437</v>
      </c>
      <c r="C913">
        <v>153.1</v>
      </c>
      <c r="D913">
        <v>0.99150000000000005</v>
      </c>
      <c r="E913">
        <v>25.58</v>
      </c>
      <c r="F913">
        <v>76.75</v>
      </c>
      <c r="K913" s="3"/>
      <c r="O913" s="3"/>
    </row>
    <row r="914" spans="1:15">
      <c r="A914" s="3">
        <v>37438</v>
      </c>
      <c r="B914" s="3">
        <v>37438</v>
      </c>
      <c r="C914">
        <v>153.15</v>
      </c>
      <c r="D914">
        <v>0.99180000000000001</v>
      </c>
      <c r="E914">
        <v>25.64</v>
      </c>
      <c r="F914">
        <v>76.8</v>
      </c>
      <c r="K914" s="3"/>
      <c r="O914" s="3"/>
    </row>
    <row r="915" spans="1:15">
      <c r="A915" s="3">
        <v>37439</v>
      </c>
      <c r="B915" s="3">
        <v>37439</v>
      </c>
      <c r="C915">
        <v>153.15</v>
      </c>
      <c r="D915">
        <v>0.98650000000000004</v>
      </c>
      <c r="E915">
        <v>25.75</v>
      </c>
      <c r="F915">
        <v>75.599999999999994</v>
      </c>
      <c r="K915" s="3"/>
      <c r="O915" s="3"/>
    </row>
    <row r="916" spans="1:15">
      <c r="A916" s="3">
        <v>37440</v>
      </c>
      <c r="B916" s="3">
        <v>37440</v>
      </c>
      <c r="C916">
        <v>153.15</v>
      </c>
      <c r="D916">
        <v>0.98050000000000004</v>
      </c>
      <c r="E916">
        <v>25.84</v>
      </c>
      <c r="F916">
        <v>74.849999999999994</v>
      </c>
      <c r="K916" s="3"/>
      <c r="O916" s="3"/>
    </row>
    <row r="917" spans="1:15">
      <c r="A917" s="3">
        <v>37441</v>
      </c>
      <c r="B917" s="3">
        <v>37441</v>
      </c>
      <c r="C917">
        <v>153.15</v>
      </c>
      <c r="D917">
        <v>0.97870000000000001</v>
      </c>
      <c r="E917">
        <v>25.55</v>
      </c>
      <c r="F917">
        <v>74.849999999999994</v>
      </c>
      <c r="K917" s="3"/>
      <c r="O917" s="3"/>
    </row>
    <row r="918" spans="1:15">
      <c r="A918" s="3">
        <v>37442</v>
      </c>
      <c r="B918" s="3">
        <v>37442</v>
      </c>
      <c r="C918">
        <v>153.15</v>
      </c>
      <c r="D918">
        <v>0.97270000000000001</v>
      </c>
      <c r="E918">
        <v>25.73</v>
      </c>
      <c r="F918">
        <v>74.849999999999994</v>
      </c>
      <c r="K918" s="3"/>
      <c r="O918" s="3"/>
    </row>
    <row r="919" spans="1:15">
      <c r="A919" s="3">
        <v>37443</v>
      </c>
      <c r="B919" s="3">
        <v>37443</v>
      </c>
      <c r="C919">
        <v>153.15</v>
      </c>
      <c r="D919">
        <v>0.97270000000000001</v>
      </c>
      <c r="E919">
        <v>25.73</v>
      </c>
      <c r="F919">
        <v>74.849999999999994</v>
      </c>
      <c r="K919" s="3"/>
      <c r="O919" s="3"/>
    </row>
    <row r="920" spans="1:15">
      <c r="A920" s="3">
        <v>37444</v>
      </c>
      <c r="B920" s="3">
        <v>37444</v>
      </c>
      <c r="C920">
        <v>153.15</v>
      </c>
      <c r="D920">
        <v>0.97270000000000001</v>
      </c>
      <c r="E920">
        <v>25.73</v>
      </c>
      <c r="F920">
        <v>74.849999999999994</v>
      </c>
      <c r="K920" s="3"/>
      <c r="O920" s="3"/>
    </row>
    <row r="921" spans="1:15">
      <c r="A921" s="3">
        <v>37445</v>
      </c>
      <c r="B921" s="3">
        <v>37445</v>
      </c>
      <c r="C921">
        <v>153.15</v>
      </c>
      <c r="D921">
        <v>0.99080000000000001</v>
      </c>
      <c r="E921">
        <v>25.08</v>
      </c>
      <c r="F921">
        <v>75.599999999999994</v>
      </c>
      <c r="K921" s="3"/>
      <c r="O921" s="3"/>
    </row>
    <row r="922" spans="1:15">
      <c r="A922" s="3">
        <v>37446</v>
      </c>
      <c r="B922" s="3">
        <v>37446</v>
      </c>
      <c r="C922">
        <v>153.4</v>
      </c>
      <c r="D922">
        <v>0.99309999999999998</v>
      </c>
      <c r="E922">
        <v>25.17</v>
      </c>
      <c r="F922">
        <v>75.55</v>
      </c>
      <c r="K922" s="3"/>
      <c r="O922" s="3"/>
    </row>
    <row r="923" spans="1:15">
      <c r="A923" s="3">
        <v>37447</v>
      </c>
      <c r="B923" s="3">
        <v>37447</v>
      </c>
      <c r="C923">
        <v>153.4</v>
      </c>
      <c r="D923">
        <v>0.98929999999999996</v>
      </c>
      <c r="E923">
        <v>25.93</v>
      </c>
      <c r="F923">
        <v>75.25</v>
      </c>
      <c r="K923" s="3"/>
      <c r="O923" s="3"/>
    </row>
    <row r="924" spans="1:15">
      <c r="A924" s="3">
        <v>37448</v>
      </c>
      <c r="B924" s="3">
        <v>37448</v>
      </c>
      <c r="C924">
        <v>153.4</v>
      </c>
      <c r="D924">
        <v>0.98780000000000001</v>
      </c>
      <c r="E924">
        <v>25.96</v>
      </c>
      <c r="F924">
        <v>74.55</v>
      </c>
      <c r="K924" s="3"/>
      <c r="O924" s="3"/>
    </row>
    <row r="925" spans="1:15">
      <c r="A925" s="3">
        <v>37449</v>
      </c>
      <c r="B925" s="3">
        <v>37449</v>
      </c>
      <c r="C925">
        <v>153.4</v>
      </c>
      <c r="D925">
        <v>0.99139999999999995</v>
      </c>
      <c r="E925">
        <v>26.32</v>
      </c>
      <c r="F925">
        <v>73.95</v>
      </c>
      <c r="K925" s="3"/>
      <c r="O925" s="3"/>
    </row>
    <row r="926" spans="1:15">
      <c r="A926" s="3">
        <v>37450</v>
      </c>
      <c r="B926" s="3">
        <v>37450</v>
      </c>
      <c r="C926">
        <v>153.4</v>
      </c>
      <c r="D926">
        <v>0.99139999999999995</v>
      </c>
      <c r="E926">
        <v>26.32</v>
      </c>
      <c r="F926">
        <v>73.95</v>
      </c>
      <c r="K926" s="3"/>
      <c r="O926" s="3"/>
    </row>
    <row r="927" spans="1:15">
      <c r="A927" s="3">
        <v>37451</v>
      </c>
      <c r="B927" s="3">
        <v>37451</v>
      </c>
      <c r="C927">
        <v>153.4</v>
      </c>
      <c r="D927">
        <v>0.99139999999999995</v>
      </c>
      <c r="E927">
        <v>26.32</v>
      </c>
      <c r="F927">
        <v>73.95</v>
      </c>
      <c r="K927" s="3"/>
      <c r="O927" s="3"/>
    </row>
    <row r="928" spans="1:15">
      <c r="A928" s="3">
        <v>37452</v>
      </c>
      <c r="B928" s="3">
        <v>37452</v>
      </c>
      <c r="C928">
        <v>153.65</v>
      </c>
      <c r="D928">
        <v>1.0026999999999999</v>
      </c>
      <c r="E928">
        <v>26.06</v>
      </c>
      <c r="F928">
        <v>73.349999999999994</v>
      </c>
      <c r="K928" s="3"/>
      <c r="O928" s="3"/>
    </row>
    <row r="929" spans="1:15">
      <c r="A929" s="3">
        <v>37453</v>
      </c>
      <c r="B929" s="3">
        <v>37453</v>
      </c>
      <c r="C929">
        <v>153.65</v>
      </c>
      <c r="D929">
        <v>1.0117</v>
      </c>
      <c r="E929">
        <v>26.28</v>
      </c>
      <c r="F929">
        <v>73.849999999999994</v>
      </c>
      <c r="K929" s="3"/>
      <c r="O929" s="3"/>
    </row>
    <row r="930" spans="1:15">
      <c r="A930" s="3">
        <v>37454</v>
      </c>
      <c r="B930" s="3">
        <v>37454</v>
      </c>
      <c r="C930">
        <v>153.65</v>
      </c>
      <c r="D930">
        <v>1.0074000000000001</v>
      </c>
      <c r="E930">
        <v>26.44</v>
      </c>
      <c r="F930">
        <v>73.099999999999994</v>
      </c>
      <c r="K930" s="3"/>
      <c r="O930" s="3"/>
    </row>
    <row r="931" spans="1:15">
      <c r="A931" s="3">
        <v>37455</v>
      </c>
      <c r="B931" s="3">
        <v>37455</v>
      </c>
      <c r="C931">
        <v>153.65</v>
      </c>
      <c r="D931">
        <v>1.0116000000000001</v>
      </c>
      <c r="E931">
        <v>26.28</v>
      </c>
      <c r="F931">
        <v>72.75</v>
      </c>
      <c r="K931" s="3"/>
      <c r="O931" s="3"/>
    </row>
    <row r="932" spans="1:15">
      <c r="A932" s="3">
        <v>37456</v>
      </c>
      <c r="B932" s="3">
        <v>37456</v>
      </c>
      <c r="C932">
        <v>153.65</v>
      </c>
      <c r="D932">
        <v>1.0116000000000001</v>
      </c>
      <c r="E932">
        <v>26.43</v>
      </c>
      <c r="F932">
        <v>71.45</v>
      </c>
      <c r="K932" s="3"/>
      <c r="O932" s="3"/>
    </row>
    <row r="933" spans="1:15">
      <c r="A933" s="3">
        <v>37457</v>
      </c>
      <c r="B933" s="3">
        <v>37457</v>
      </c>
      <c r="C933">
        <v>153.65</v>
      </c>
      <c r="D933">
        <v>1.0116000000000001</v>
      </c>
      <c r="E933">
        <v>26.43</v>
      </c>
      <c r="F933">
        <v>71.45</v>
      </c>
      <c r="K933" s="3"/>
      <c r="O933" s="3"/>
    </row>
    <row r="934" spans="1:15">
      <c r="A934" s="3">
        <v>37458</v>
      </c>
      <c r="B934" s="3">
        <v>37458</v>
      </c>
      <c r="C934">
        <v>153.65</v>
      </c>
      <c r="D934">
        <v>1.0116000000000001</v>
      </c>
      <c r="E934">
        <v>26.43</v>
      </c>
      <c r="F934">
        <v>71.45</v>
      </c>
      <c r="K934" s="3"/>
      <c r="O934" s="3"/>
    </row>
    <row r="935" spans="1:15">
      <c r="A935" s="3">
        <v>37459</v>
      </c>
      <c r="B935" s="3">
        <v>37459</v>
      </c>
      <c r="C935">
        <v>153.69999999999999</v>
      </c>
      <c r="D935">
        <v>1.0085999999999999</v>
      </c>
      <c r="E935">
        <v>25.42</v>
      </c>
      <c r="F935">
        <v>70.099999999999994</v>
      </c>
      <c r="K935" s="3"/>
      <c r="O935" s="3"/>
    </row>
    <row r="936" spans="1:15">
      <c r="A936" s="3">
        <v>37460</v>
      </c>
      <c r="B936" s="3">
        <v>37460</v>
      </c>
      <c r="C936">
        <v>153.69999999999999</v>
      </c>
      <c r="D936">
        <v>0.98880000000000001</v>
      </c>
      <c r="E936">
        <v>25.04</v>
      </c>
      <c r="F936">
        <v>69.349999999999994</v>
      </c>
      <c r="K936" s="3"/>
      <c r="O936" s="3"/>
    </row>
    <row r="937" spans="1:15">
      <c r="A937" s="3">
        <v>37461</v>
      </c>
      <c r="B937" s="3">
        <v>37461</v>
      </c>
      <c r="C937">
        <v>153.69999999999999</v>
      </c>
      <c r="D937">
        <v>0.99570000000000003</v>
      </c>
      <c r="E937">
        <v>25.33</v>
      </c>
      <c r="F937">
        <v>69.25</v>
      </c>
      <c r="K937" s="3"/>
      <c r="O937" s="3"/>
    </row>
    <row r="938" spans="1:15">
      <c r="A938" s="3">
        <v>37462</v>
      </c>
      <c r="B938" s="3">
        <v>37462</v>
      </c>
      <c r="C938">
        <v>153.69999999999999</v>
      </c>
      <c r="D938">
        <v>1.0047999999999999</v>
      </c>
      <c r="E938">
        <v>25.26</v>
      </c>
      <c r="F938">
        <v>68.7</v>
      </c>
      <c r="K938" s="3"/>
      <c r="O938" s="3"/>
    </row>
    <row r="939" spans="1:15">
      <c r="A939" s="3">
        <v>37463</v>
      </c>
      <c r="B939" s="3">
        <v>37463</v>
      </c>
      <c r="C939">
        <v>153.69999999999999</v>
      </c>
      <c r="D939">
        <v>0.98650000000000004</v>
      </c>
      <c r="E939">
        <v>25.03</v>
      </c>
      <c r="F939">
        <v>68.7</v>
      </c>
      <c r="K939" s="3"/>
      <c r="O939" s="3"/>
    </row>
    <row r="940" spans="1:15">
      <c r="A940" s="3">
        <v>37464</v>
      </c>
      <c r="B940" s="3">
        <v>37464</v>
      </c>
      <c r="C940">
        <v>153.69999999999999</v>
      </c>
      <c r="D940">
        <v>0.98650000000000004</v>
      </c>
      <c r="E940">
        <v>25.03</v>
      </c>
      <c r="F940">
        <v>68.7</v>
      </c>
      <c r="K940" s="3"/>
      <c r="O940" s="3"/>
    </row>
    <row r="941" spans="1:15">
      <c r="A941" s="3">
        <v>37465</v>
      </c>
      <c r="B941" s="3">
        <v>37465</v>
      </c>
      <c r="C941">
        <v>153.69999999999999</v>
      </c>
      <c r="D941">
        <v>0.98650000000000004</v>
      </c>
      <c r="E941">
        <v>25.03</v>
      </c>
      <c r="F941">
        <v>68.7</v>
      </c>
      <c r="K941" s="3"/>
      <c r="O941" s="3"/>
    </row>
    <row r="942" spans="1:15">
      <c r="A942" s="3">
        <v>37466</v>
      </c>
      <c r="B942" s="3">
        <v>37466</v>
      </c>
      <c r="C942">
        <v>153.85</v>
      </c>
      <c r="D942">
        <v>0.98140000000000005</v>
      </c>
      <c r="E942">
        <v>25</v>
      </c>
      <c r="F942">
        <v>69.5</v>
      </c>
      <c r="K942" s="3"/>
      <c r="O942" s="3"/>
    </row>
    <row r="943" spans="1:15">
      <c r="A943" s="3">
        <v>37467</v>
      </c>
      <c r="B943" s="3">
        <v>37467</v>
      </c>
      <c r="C943">
        <v>153.85</v>
      </c>
      <c r="D943">
        <v>0.98299999999999998</v>
      </c>
      <c r="E943">
        <v>25.68</v>
      </c>
      <c r="F943">
        <v>69.25</v>
      </c>
      <c r="K943" s="3"/>
      <c r="O943" s="3"/>
    </row>
    <row r="944" spans="1:15">
      <c r="A944" s="3">
        <v>37468</v>
      </c>
      <c r="B944" s="3">
        <v>37468</v>
      </c>
      <c r="C944">
        <v>153.85</v>
      </c>
      <c r="D944">
        <v>0.97760000000000002</v>
      </c>
      <c r="E944">
        <v>25.44</v>
      </c>
      <c r="F944">
        <v>68.099999999999994</v>
      </c>
      <c r="K944" s="3"/>
      <c r="O944" s="3"/>
    </row>
    <row r="945" spans="1:15">
      <c r="A945" s="3">
        <v>37469</v>
      </c>
      <c r="B945" s="3">
        <v>37469</v>
      </c>
      <c r="C945">
        <v>153.85</v>
      </c>
      <c r="D945">
        <v>0.98450000000000004</v>
      </c>
      <c r="E945">
        <v>25.01</v>
      </c>
      <c r="F945">
        <v>68.5</v>
      </c>
      <c r="K945" s="3"/>
      <c r="O945" s="3"/>
    </row>
    <row r="946" spans="1:15">
      <c r="A946" s="3">
        <v>37470</v>
      </c>
      <c r="B946" s="3">
        <v>37470</v>
      </c>
      <c r="C946">
        <v>153.85</v>
      </c>
      <c r="D946">
        <v>0.98670000000000002</v>
      </c>
      <c r="E946">
        <v>25.31</v>
      </c>
      <c r="F946">
        <v>68.2</v>
      </c>
      <c r="K946" s="3"/>
      <c r="O946" s="3"/>
    </row>
    <row r="947" spans="1:15">
      <c r="A947" s="3">
        <v>37471</v>
      </c>
      <c r="B947" s="3">
        <v>37471</v>
      </c>
      <c r="C947">
        <v>153.85</v>
      </c>
      <c r="D947">
        <v>0.98670000000000002</v>
      </c>
      <c r="E947">
        <v>25.31</v>
      </c>
      <c r="F947">
        <v>68.2</v>
      </c>
      <c r="K947" s="3"/>
      <c r="O947" s="3"/>
    </row>
    <row r="948" spans="1:15">
      <c r="A948" s="3">
        <v>37472</v>
      </c>
      <c r="B948" s="3">
        <v>37472</v>
      </c>
      <c r="C948">
        <v>153.85</v>
      </c>
      <c r="D948">
        <v>0.98670000000000002</v>
      </c>
      <c r="E948">
        <v>25.31</v>
      </c>
      <c r="F948">
        <v>68.2</v>
      </c>
      <c r="K948" s="3"/>
      <c r="O948" s="3"/>
    </row>
    <row r="949" spans="1:15">
      <c r="A949" s="3">
        <v>37473</v>
      </c>
      <c r="B949" s="3">
        <v>37473</v>
      </c>
      <c r="C949">
        <v>154.05000000000001</v>
      </c>
      <c r="D949">
        <v>0.98019999999999996</v>
      </c>
      <c r="E949">
        <v>24.89</v>
      </c>
      <c r="F949">
        <v>67.2</v>
      </c>
      <c r="K949" s="3"/>
      <c r="O949" s="3"/>
    </row>
    <row r="950" spans="1:15">
      <c r="A950" s="3">
        <v>37474</v>
      </c>
      <c r="B950" s="3">
        <v>37474</v>
      </c>
      <c r="C950">
        <v>154.05000000000001</v>
      </c>
      <c r="D950">
        <v>0.96599999999999997</v>
      </c>
      <c r="E950">
        <v>25.53</v>
      </c>
      <c r="F950">
        <v>67.55</v>
      </c>
      <c r="K950" s="3"/>
      <c r="O950" s="3"/>
    </row>
    <row r="951" spans="1:15">
      <c r="A951" s="3">
        <v>37475</v>
      </c>
      <c r="B951" s="3">
        <v>37475</v>
      </c>
      <c r="C951">
        <v>154.05000000000001</v>
      </c>
      <c r="D951">
        <v>0.97470000000000001</v>
      </c>
      <c r="E951">
        <v>24.95</v>
      </c>
      <c r="F951">
        <v>67.150000000000006</v>
      </c>
      <c r="K951" s="3"/>
      <c r="O951" s="3"/>
    </row>
    <row r="952" spans="1:15">
      <c r="A952" s="3">
        <v>37476</v>
      </c>
      <c r="B952" s="3">
        <v>37476</v>
      </c>
      <c r="C952">
        <v>154.05000000000001</v>
      </c>
      <c r="D952">
        <v>0.96709999999999996</v>
      </c>
      <c r="E952">
        <v>25.11</v>
      </c>
      <c r="F952">
        <v>67.5</v>
      </c>
      <c r="K952" s="3"/>
      <c r="O952" s="3"/>
    </row>
    <row r="953" spans="1:15">
      <c r="A953" s="3">
        <v>37477</v>
      </c>
      <c r="B953" s="3">
        <v>37477</v>
      </c>
      <c r="C953">
        <v>154.05000000000001</v>
      </c>
      <c r="D953">
        <v>0.97009999999999996</v>
      </c>
      <c r="E953">
        <v>25.34</v>
      </c>
      <c r="F953">
        <v>67.8</v>
      </c>
      <c r="K953" s="3"/>
      <c r="O953" s="3"/>
    </row>
    <row r="954" spans="1:15">
      <c r="A954" s="3">
        <v>37478</v>
      </c>
      <c r="B954" s="3">
        <v>37478</v>
      </c>
      <c r="C954">
        <v>154.05000000000001</v>
      </c>
      <c r="D954">
        <v>0.97009999999999996</v>
      </c>
      <c r="E954">
        <v>25.34</v>
      </c>
      <c r="F954">
        <v>67.8</v>
      </c>
      <c r="K954" s="3"/>
      <c r="O954" s="3"/>
    </row>
    <row r="955" spans="1:15">
      <c r="A955" s="3">
        <v>37479</v>
      </c>
      <c r="B955" s="3">
        <v>37479</v>
      </c>
      <c r="C955">
        <v>154.05000000000001</v>
      </c>
      <c r="D955">
        <v>0.97009999999999996</v>
      </c>
      <c r="E955">
        <v>25.34</v>
      </c>
      <c r="F955">
        <v>67.8</v>
      </c>
      <c r="K955" s="3"/>
      <c r="O955" s="3"/>
    </row>
    <row r="956" spans="1:15">
      <c r="A956" s="3">
        <v>37480</v>
      </c>
      <c r="B956" s="3">
        <v>37480</v>
      </c>
      <c r="C956">
        <v>154.1</v>
      </c>
      <c r="D956">
        <v>0.97870000000000001</v>
      </c>
      <c r="E956">
        <v>26.04</v>
      </c>
      <c r="F956">
        <v>67.849999999999994</v>
      </c>
      <c r="K956" s="3"/>
      <c r="O956" s="3"/>
    </row>
    <row r="957" spans="1:15">
      <c r="A957" s="3">
        <v>37481</v>
      </c>
      <c r="B957" s="3">
        <v>37481</v>
      </c>
      <c r="C957">
        <v>154.1</v>
      </c>
      <c r="D957">
        <v>0.98370000000000002</v>
      </c>
      <c r="E957">
        <v>26.15</v>
      </c>
      <c r="F957">
        <v>67.599999999999994</v>
      </c>
      <c r="K957" s="3"/>
      <c r="O957" s="3"/>
    </row>
    <row r="958" spans="1:15">
      <c r="A958" s="3">
        <v>37482</v>
      </c>
      <c r="B958" s="3">
        <v>37482</v>
      </c>
      <c r="C958">
        <v>154.1</v>
      </c>
      <c r="D958">
        <v>0.97819999999999996</v>
      </c>
      <c r="E958">
        <v>26.38</v>
      </c>
      <c r="F958">
        <v>67</v>
      </c>
      <c r="K958" s="3"/>
      <c r="O958" s="3"/>
    </row>
    <row r="959" spans="1:15">
      <c r="A959" s="3">
        <v>37483</v>
      </c>
      <c r="B959" s="3">
        <v>37483</v>
      </c>
      <c r="C959">
        <v>154.1</v>
      </c>
      <c r="D959">
        <v>0.98160000000000003</v>
      </c>
      <c r="E959">
        <v>26.8</v>
      </c>
      <c r="F959">
        <v>68.25</v>
      </c>
      <c r="K959" s="3"/>
      <c r="O959" s="3"/>
    </row>
    <row r="960" spans="1:15">
      <c r="A960" s="3">
        <v>37484</v>
      </c>
      <c r="B960" s="3">
        <v>37484</v>
      </c>
      <c r="C960">
        <v>154.1</v>
      </c>
      <c r="D960">
        <v>0.98470000000000002</v>
      </c>
      <c r="E960">
        <v>27</v>
      </c>
      <c r="F960">
        <v>67.5</v>
      </c>
      <c r="K960" s="3"/>
      <c r="O960" s="3"/>
    </row>
    <row r="961" spans="1:15">
      <c r="A961" s="3">
        <v>37485</v>
      </c>
      <c r="B961" s="3">
        <v>37485</v>
      </c>
      <c r="C961">
        <v>154.1</v>
      </c>
      <c r="D961">
        <v>0.98470000000000002</v>
      </c>
      <c r="E961">
        <v>27</v>
      </c>
      <c r="F961">
        <v>67.5</v>
      </c>
      <c r="K961" s="3"/>
      <c r="O961" s="3"/>
    </row>
    <row r="962" spans="1:15">
      <c r="A962" s="3">
        <v>37486</v>
      </c>
      <c r="B962" s="3">
        <v>37486</v>
      </c>
      <c r="C962">
        <v>154.1</v>
      </c>
      <c r="D962">
        <v>0.98470000000000002</v>
      </c>
      <c r="E962">
        <v>27</v>
      </c>
      <c r="F962">
        <v>67.5</v>
      </c>
      <c r="K962" s="3"/>
      <c r="O962" s="3"/>
    </row>
    <row r="963" spans="1:15">
      <c r="A963" s="3">
        <v>37487</v>
      </c>
      <c r="B963" s="3">
        <v>37487</v>
      </c>
      <c r="C963">
        <v>154.1</v>
      </c>
      <c r="D963">
        <v>0.97589999999999999</v>
      </c>
      <c r="E963">
        <v>27.26</v>
      </c>
      <c r="F963">
        <v>67.45</v>
      </c>
      <c r="K963" s="3"/>
      <c r="O963" s="3"/>
    </row>
    <row r="964" spans="1:15">
      <c r="A964" s="3">
        <v>37488</v>
      </c>
      <c r="B964" s="3">
        <v>37488</v>
      </c>
      <c r="C964">
        <v>154.1</v>
      </c>
      <c r="D964">
        <v>0.9788</v>
      </c>
      <c r="E964">
        <v>27.1</v>
      </c>
      <c r="F964">
        <v>68.25</v>
      </c>
      <c r="K964" s="3"/>
      <c r="O964" s="3"/>
    </row>
    <row r="965" spans="1:15">
      <c r="A965" s="3">
        <v>37489</v>
      </c>
      <c r="B965" s="3">
        <v>37489</v>
      </c>
      <c r="C965">
        <v>154.1</v>
      </c>
      <c r="D965">
        <v>0.98099999999999998</v>
      </c>
      <c r="E965">
        <v>27.41</v>
      </c>
      <c r="F965">
        <v>67.599999999999994</v>
      </c>
      <c r="K965" s="3"/>
      <c r="O965" s="3"/>
    </row>
    <row r="966" spans="1:15">
      <c r="A966" s="3">
        <v>37490</v>
      </c>
      <c r="B966" s="3">
        <v>37490</v>
      </c>
      <c r="C966">
        <v>154.1</v>
      </c>
      <c r="D966">
        <v>0.96879999999999999</v>
      </c>
      <c r="E966">
        <v>27.02</v>
      </c>
      <c r="F966">
        <v>68.5</v>
      </c>
      <c r="K966" s="3"/>
      <c r="O966" s="3"/>
    </row>
    <row r="967" spans="1:15">
      <c r="A967" s="3">
        <v>37491</v>
      </c>
      <c r="B967" s="3">
        <v>37491</v>
      </c>
      <c r="C967">
        <v>154.1</v>
      </c>
      <c r="D967">
        <v>0.97309999999999997</v>
      </c>
      <c r="E967">
        <v>26.99</v>
      </c>
      <c r="F967">
        <v>68.55</v>
      </c>
      <c r="K967" s="3"/>
      <c r="O967" s="3"/>
    </row>
    <row r="968" spans="1:15">
      <c r="A968" s="3">
        <v>37492</v>
      </c>
      <c r="B968" s="3">
        <v>37492</v>
      </c>
      <c r="C968">
        <v>154.1</v>
      </c>
      <c r="D968">
        <v>0.97309999999999997</v>
      </c>
      <c r="E968">
        <v>26.99</v>
      </c>
      <c r="F968">
        <v>68.55</v>
      </c>
      <c r="K968" s="3"/>
      <c r="O968" s="3"/>
    </row>
    <row r="969" spans="1:15">
      <c r="A969" s="3">
        <v>37493</v>
      </c>
      <c r="B969" s="3">
        <v>37493</v>
      </c>
      <c r="C969">
        <v>154.1</v>
      </c>
      <c r="D969">
        <v>0.97309999999999997</v>
      </c>
      <c r="E969">
        <v>26.99</v>
      </c>
      <c r="F969">
        <v>68.55</v>
      </c>
      <c r="K969" s="3"/>
      <c r="O969" s="3"/>
    </row>
    <row r="970" spans="1:15">
      <c r="A970" s="3">
        <v>37494</v>
      </c>
      <c r="B970" s="3">
        <v>37494</v>
      </c>
      <c r="C970">
        <v>154.15</v>
      </c>
      <c r="D970">
        <v>0.9718</v>
      </c>
      <c r="E970">
        <v>26.99</v>
      </c>
      <c r="F970">
        <v>68.849999999999994</v>
      </c>
      <c r="K970" s="3"/>
      <c r="O970" s="3"/>
    </row>
    <row r="971" spans="1:15">
      <c r="A971" s="3">
        <v>37495</v>
      </c>
      <c r="B971" s="3">
        <v>37495</v>
      </c>
      <c r="C971">
        <v>154.15</v>
      </c>
      <c r="D971">
        <v>0.98270000000000002</v>
      </c>
      <c r="E971">
        <v>27.22</v>
      </c>
      <c r="F971">
        <v>68.900000000000006</v>
      </c>
      <c r="K971" s="3"/>
      <c r="O971" s="3"/>
    </row>
    <row r="972" spans="1:15">
      <c r="A972" s="3">
        <v>37496</v>
      </c>
      <c r="B972" s="3">
        <v>37496</v>
      </c>
      <c r="C972">
        <v>154.15</v>
      </c>
      <c r="D972">
        <v>0.97860000000000003</v>
      </c>
      <c r="E972">
        <v>26.95</v>
      </c>
      <c r="F972">
        <v>68.349999999999994</v>
      </c>
      <c r="K972" s="3"/>
      <c r="O972" s="3"/>
    </row>
    <row r="973" spans="1:15">
      <c r="A973" s="3">
        <v>37497</v>
      </c>
      <c r="B973" s="3">
        <v>37497</v>
      </c>
      <c r="C973">
        <v>154.15</v>
      </c>
      <c r="D973">
        <v>0.98399999999999999</v>
      </c>
      <c r="E973">
        <v>27.52</v>
      </c>
      <c r="F973">
        <v>68.400000000000006</v>
      </c>
      <c r="K973" s="3"/>
      <c r="O973" s="3"/>
    </row>
    <row r="974" spans="1:15">
      <c r="A974" s="3">
        <v>37498</v>
      </c>
      <c r="B974" s="3">
        <v>37498</v>
      </c>
      <c r="C974">
        <v>154.15</v>
      </c>
      <c r="D974">
        <v>0.98229999999999995</v>
      </c>
      <c r="E974">
        <v>27.47</v>
      </c>
      <c r="F974">
        <v>68.7</v>
      </c>
      <c r="K974" s="3"/>
      <c r="O974" s="3"/>
    </row>
    <row r="975" spans="1:15">
      <c r="A975" s="3">
        <v>37499</v>
      </c>
      <c r="B975" s="3">
        <v>37499</v>
      </c>
      <c r="C975">
        <v>154.15</v>
      </c>
      <c r="D975">
        <v>0.98229999999999995</v>
      </c>
      <c r="E975">
        <v>27.47</v>
      </c>
      <c r="F975">
        <v>68.7</v>
      </c>
      <c r="K975" s="3"/>
      <c r="O975" s="3"/>
    </row>
    <row r="976" spans="1:15">
      <c r="A976" s="3">
        <v>37500</v>
      </c>
      <c r="B976" s="3">
        <v>37500</v>
      </c>
      <c r="C976">
        <v>154.15</v>
      </c>
      <c r="D976">
        <v>0.98229999999999995</v>
      </c>
      <c r="E976">
        <v>27.47</v>
      </c>
      <c r="F976">
        <v>68.7</v>
      </c>
      <c r="K976" s="3"/>
      <c r="O976" s="3"/>
    </row>
    <row r="977" spans="1:15">
      <c r="A977" s="3">
        <v>37501</v>
      </c>
      <c r="B977" s="3">
        <v>37501</v>
      </c>
      <c r="C977">
        <v>154.35</v>
      </c>
      <c r="D977">
        <v>0.98450000000000004</v>
      </c>
      <c r="E977">
        <v>27.54</v>
      </c>
      <c r="F977">
        <v>68.7</v>
      </c>
      <c r="K977" s="3"/>
      <c r="O977" s="3"/>
    </row>
    <row r="978" spans="1:15">
      <c r="A978" s="3">
        <v>37502</v>
      </c>
      <c r="B978" s="3">
        <v>37502</v>
      </c>
      <c r="C978">
        <v>154.35</v>
      </c>
      <c r="D978">
        <v>0.99750000000000005</v>
      </c>
      <c r="E978">
        <v>26.57</v>
      </c>
      <c r="F978">
        <v>67.45</v>
      </c>
      <c r="K978" s="3"/>
      <c r="O978" s="3"/>
    </row>
    <row r="979" spans="1:15">
      <c r="A979" s="3">
        <v>37503</v>
      </c>
      <c r="B979" s="3">
        <v>37503</v>
      </c>
      <c r="C979">
        <v>154.35</v>
      </c>
      <c r="D979">
        <v>0.9919</v>
      </c>
      <c r="E979">
        <v>27.1</v>
      </c>
      <c r="F979">
        <v>67.3</v>
      </c>
      <c r="K979" s="3"/>
      <c r="O979" s="3"/>
    </row>
    <row r="980" spans="1:15">
      <c r="A980" s="3">
        <v>37504</v>
      </c>
      <c r="B980" s="3">
        <v>37504</v>
      </c>
      <c r="C980">
        <v>154.35</v>
      </c>
      <c r="D980">
        <v>0.99160000000000004</v>
      </c>
      <c r="E980">
        <v>27.66</v>
      </c>
      <c r="F980">
        <v>66.8</v>
      </c>
      <c r="K980" s="3"/>
      <c r="O980" s="3"/>
    </row>
    <row r="981" spans="1:15">
      <c r="A981" s="3">
        <v>37505</v>
      </c>
      <c r="B981" s="3">
        <v>37505</v>
      </c>
      <c r="C981">
        <v>154.63</v>
      </c>
      <c r="D981">
        <v>0.9819</v>
      </c>
      <c r="E981">
        <v>28.29</v>
      </c>
      <c r="F981">
        <v>67.400000000000006</v>
      </c>
      <c r="K981" s="3"/>
      <c r="O981" s="3"/>
    </row>
    <row r="982" spans="1:15">
      <c r="A982" s="3">
        <v>37506</v>
      </c>
      <c r="B982" s="3">
        <v>37506</v>
      </c>
      <c r="C982">
        <v>154.63</v>
      </c>
      <c r="D982">
        <v>0.9819</v>
      </c>
      <c r="E982">
        <v>28.29</v>
      </c>
      <c r="F982">
        <v>67.400000000000006</v>
      </c>
      <c r="K982" s="3"/>
      <c r="O982" s="3"/>
    </row>
    <row r="983" spans="1:15">
      <c r="A983" s="3">
        <v>37507</v>
      </c>
      <c r="B983" s="3">
        <v>37507</v>
      </c>
      <c r="C983">
        <v>154.63</v>
      </c>
      <c r="D983">
        <v>0.9819</v>
      </c>
      <c r="E983">
        <v>28.29</v>
      </c>
      <c r="F983">
        <v>67.400000000000006</v>
      </c>
      <c r="K983" s="3"/>
      <c r="O983" s="3"/>
    </row>
    <row r="984" spans="1:15">
      <c r="A984" s="3">
        <v>37508</v>
      </c>
      <c r="B984" s="3">
        <v>37508</v>
      </c>
      <c r="C984">
        <v>154.44999999999999</v>
      </c>
      <c r="D984">
        <v>0.97960000000000003</v>
      </c>
      <c r="E984">
        <v>28.49</v>
      </c>
      <c r="F984">
        <v>68.900000000000006</v>
      </c>
      <c r="K984" s="3"/>
      <c r="O984" s="3"/>
    </row>
    <row r="985" spans="1:15">
      <c r="A985" s="3">
        <v>37509</v>
      </c>
      <c r="B985" s="3">
        <v>37509</v>
      </c>
      <c r="C985">
        <v>154.44999999999999</v>
      </c>
      <c r="D985">
        <v>0.9748</v>
      </c>
      <c r="E985">
        <v>28.58</v>
      </c>
      <c r="F985">
        <v>70.05</v>
      </c>
      <c r="K985" s="3"/>
      <c r="O985" s="3"/>
    </row>
    <row r="986" spans="1:15">
      <c r="A986" s="3">
        <v>37510</v>
      </c>
      <c r="B986" s="3">
        <v>37510</v>
      </c>
      <c r="C986">
        <v>154.44999999999999</v>
      </c>
      <c r="D986">
        <v>0.97609999999999997</v>
      </c>
      <c r="E986">
        <v>28.39</v>
      </c>
      <c r="F986">
        <v>69.849999999999994</v>
      </c>
      <c r="K986" s="3"/>
      <c r="O986" s="3"/>
    </row>
    <row r="987" spans="1:15">
      <c r="A987" s="3">
        <v>37511</v>
      </c>
      <c r="B987" s="3">
        <v>37511</v>
      </c>
      <c r="C987">
        <v>154.44999999999999</v>
      </c>
      <c r="D987">
        <v>0.98150000000000004</v>
      </c>
      <c r="E987">
        <v>27.73</v>
      </c>
      <c r="F987">
        <v>69.7</v>
      </c>
      <c r="K987" s="3"/>
      <c r="O987" s="3"/>
    </row>
    <row r="988" spans="1:15">
      <c r="A988" s="3">
        <v>37512</v>
      </c>
      <c r="B988" s="3">
        <v>37512</v>
      </c>
      <c r="C988">
        <v>154.44999999999999</v>
      </c>
      <c r="D988">
        <v>0.9718</v>
      </c>
      <c r="E988">
        <v>28.31</v>
      </c>
      <c r="F988">
        <v>69.2</v>
      </c>
      <c r="K988" s="3"/>
      <c r="O988" s="3"/>
    </row>
    <row r="989" spans="1:15">
      <c r="A989" s="3">
        <v>37513</v>
      </c>
      <c r="B989" s="3">
        <v>37513</v>
      </c>
      <c r="C989">
        <v>154.44999999999999</v>
      </c>
      <c r="D989">
        <v>0.9718</v>
      </c>
      <c r="E989">
        <v>28.31</v>
      </c>
      <c r="F989">
        <v>69.2</v>
      </c>
      <c r="K989" s="3"/>
      <c r="O989" s="3"/>
    </row>
    <row r="990" spans="1:15">
      <c r="A990" s="3">
        <v>37514</v>
      </c>
      <c r="B990" s="3">
        <v>37514</v>
      </c>
      <c r="C990">
        <v>154.44999999999999</v>
      </c>
      <c r="D990">
        <v>0.9718</v>
      </c>
      <c r="E990">
        <v>28.31</v>
      </c>
      <c r="F990">
        <v>69.2</v>
      </c>
      <c r="K990" s="3"/>
      <c r="O990" s="3"/>
    </row>
    <row r="991" spans="1:15">
      <c r="A991" s="3">
        <v>37515</v>
      </c>
      <c r="B991" s="3">
        <v>37515</v>
      </c>
      <c r="C991">
        <v>154.44999999999999</v>
      </c>
      <c r="D991">
        <v>0.96889999999999998</v>
      </c>
      <c r="E991">
        <v>28.52</v>
      </c>
      <c r="F991">
        <v>68.099999999999994</v>
      </c>
      <c r="K991" s="3"/>
      <c r="O991" s="3"/>
    </row>
    <row r="992" spans="1:15">
      <c r="A992" s="3">
        <v>37516</v>
      </c>
      <c r="B992" s="3">
        <v>37516</v>
      </c>
      <c r="C992">
        <v>154.44999999999999</v>
      </c>
      <c r="D992">
        <v>0.97399999999999998</v>
      </c>
      <c r="E992">
        <v>27.97</v>
      </c>
      <c r="F992">
        <v>68.05</v>
      </c>
      <c r="K992" s="3"/>
      <c r="O992" s="3"/>
    </row>
    <row r="993" spans="1:15">
      <c r="A993" s="3">
        <v>37517</v>
      </c>
      <c r="B993" s="3">
        <v>37517</v>
      </c>
      <c r="C993">
        <v>154.44999999999999</v>
      </c>
      <c r="D993">
        <v>0.9778</v>
      </c>
      <c r="E993">
        <v>28.32</v>
      </c>
      <c r="F993">
        <v>67</v>
      </c>
      <c r="K993" s="3"/>
      <c r="O993" s="3"/>
    </row>
    <row r="994" spans="1:15">
      <c r="A994" s="3">
        <v>37518</v>
      </c>
      <c r="B994" s="3">
        <v>37518</v>
      </c>
      <c r="C994">
        <v>154.44999999999999</v>
      </c>
      <c r="D994">
        <v>0.98729999999999996</v>
      </c>
      <c r="E994">
        <v>28.38</v>
      </c>
      <c r="F994">
        <v>66.95</v>
      </c>
      <c r="K994" s="3"/>
      <c r="O994" s="3"/>
    </row>
    <row r="995" spans="1:15">
      <c r="A995" s="3">
        <v>37519</v>
      </c>
      <c r="B995" s="3">
        <v>37519</v>
      </c>
      <c r="C995">
        <v>154.44999999999999</v>
      </c>
      <c r="D995">
        <v>0.98260000000000003</v>
      </c>
      <c r="E995">
        <v>28.43</v>
      </c>
      <c r="F995">
        <v>67.5</v>
      </c>
      <c r="K995" s="3"/>
      <c r="O995" s="3"/>
    </row>
    <row r="996" spans="1:15">
      <c r="A996" s="3">
        <v>37520</v>
      </c>
      <c r="B996" s="3">
        <v>37520</v>
      </c>
      <c r="C996">
        <v>154.44999999999999</v>
      </c>
      <c r="D996">
        <v>0.98260000000000003</v>
      </c>
      <c r="E996">
        <v>28.43</v>
      </c>
      <c r="F996">
        <v>67.5</v>
      </c>
      <c r="K996" s="3"/>
      <c r="O996" s="3"/>
    </row>
    <row r="997" spans="1:15">
      <c r="A997" s="3">
        <v>37521</v>
      </c>
      <c r="B997" s="3">
        <v>37521</v>
      </c>
      <c r="C997">
        <v>154.44999999999999</v>
      </c>
      <c r="D997">
        <v>0.98260000000000003</v>
      </c>
      <c r="E997">
        <v>28.43</v>
      </c>
      <c r="F997">
        <v>67.5</v>
      </c>
      <c r="K997" s="3"/>
      <c r="O997" s="3"/>
    </row>
    <row r="998" spans="1:15">
      <c r="A998" s="3">
        <v>37522</v>
      </c>
      <c r="B998" s="3">
        <v>37522</v>
      </c>
      <c r="C998">
        <v>154.44999999999999</v>
      </c>
      <c r="D998">
        <v>0.97860000000000003</v>
      </c>
      <c r="E998">
        <v>29.13</v>
      </c>
      <c r="F998">
        <v>67.05</v>
      </c>
      <c r="K998" s="3"/>
      <c r="O998" s="3"/>
    </row>
    <row r="999" spans="1:15">
      <c r="A999" s="3">
        <v>37523</v>
      </c>
      <c r="B999" s="3">
        <v>37523</v>
      </c>
      <c r="C999">
        <v>154.44999999999999</v>
      </c>
      <c r="D999">
        <v>0.98180000000000001</v>
      </c>
      <c r="E999">
        <v>29.11</v>
      </c>
      <c r="F999">
        <v>66.55</v>
      </c>
      <c r="K999" s="3"/>
      <c r="O999" s="3"/>
    </row>
    <row r="1000" spans="1:15">
      <c r="A1000" s="3">
        <v>37524</v>
      </c>
      <c r="B1000" s="3">
        <v>37524</v>
      </c>
      <c r="C1000">
        <v>154.44999999999999</v>
      </c>
      <c r="D1000">
        <v>0.97640000000000005</v>
      </c>
      <c r="E1000">
        <v>29.06</v>
      </c>
      <c r="F1000">
        <v>67</v>
      </c>
      <c r="K1000" s="3"/>
      <c r="O1000" s="3"/>
    </row>
    <row r="1001" spans="1:15">
      <c r="A1001" s="3">
        <v>37525</v>
      </c>
      <c r="B1001" s="3">
        <v>37525</v>
      </c>
      <c r="C1001">
        <v>154.44999999999999</v>
      </c>
      <c r="D1001">
        <v>0.97719999999999996</v>
      </c>
      <c r="E1001">
        <v>28.89</v>
      </c>
      <c r="F1001">
        <v>67.2</v>
      </c>
      <c r="K1001" s="3"/>
      <c r="O1001" s="3"/>
    </row>
    <row r="1002" spans="1:15">
      <c r="A1002" s="3">
        <v>37526</v>
      </c>
      <c r="B1002" s="3">
        <v>37526</v>
      </c>
      <c r="C1002">
        <v>154.44999999999999</v>
      </c>
      <c r="D1002">
        <v>0.98070000000000002</v>
      </c>
      <c r="E1002">
        <v>28.88</v>
      </c>
      <c r="F1002">
        <v>66.7</v>
      </c>
      <c r="K1002" s="3"/>
      <c r="O1002" s="3"/>
    </row>
    <row r="1003" spans="1:15">
      <c r="A1003" s="3">
        <v>37527</v>
      </c>
      <c r="B1003" s="3">
        <v>37527</v>
      </c>
      <c r="C1003">
        <v>154.44999999999999</v>
      </c>
      <c r="D1003">
        <v>0.98070000000000002</v>
      </c>
      <c r="E1003">
        <v>28.88</v>
      </c>
      <c r="F1003">
        <v>66.7</v>
      </c>
      <c r="K1003" s="3"/>
      <c r="O1003" s="3"/>
    </row>
    <row r="1004" spans="1:15">
      <c r="A1004" s="3">
        <v>37528</v>
      </c>
      <c r="B1004" s="3">
        <v>37528</v>
      </c>
      <c r="C1004">
        <v>154.44999999999999</v>
      </c>
      <c r="D1004">
        <v>0.98070000000000002</v>
      </c>
      <c r="E1004">
        <v>28.88</v>
      </c>
      <c r="F1004">
        <v>66.7</v>
      </c>
      <c r="K1004" s="3"/>
      <c r="O1004" s="3"/>
    </row>
    <row r="1005" spans="1:15">
      <c r="A1005" s="3">
        <v>37529</v>
      </c>
      <c r="B1005" s="3">
        <v>37529</v>
      </c>
      <c r="C1005">
        <v>154.55000000000001</v>
      </c>
      <c r="D1005">
        <v>0.98660000000000003</v>
      </c>
      <c r="E1005">
        <v>28.75</v>
      </c>
      <c r="F1005">
        <v>66.599999999999994</v>
      </c>
      <c r="K1005" s="3"/>
      <c r="O1005" s="3"/>
    </row>
    <row r="1006" spans="1:15">
      <c r="A1006" s="3">
        <v>37530</v>
      </c>
      <c r="B1006" s="3">
        <v>37530</v>
      </c>
      <c r="C1006">
        <v>154.55000000000001</v>
      </c>
      <c r="D1006">
        <v>0.98260000000000003</v>
      </c>
      <c r="E1006">
        <v>29.01</v>
      </c>
      <c r="F1006">
        <v>67.05</v>
      </c>
      <c r="K1006" s="3"/>
      <c r="O1006" s="3"/>
    </row>
    <row r="1007" spans="1:15">
      <c r="A1007" s="3">
        <v>37531</v>
      </c>
      <c r="B1007" s="3">
        <v>37531</v>
      </c>
      <c r="C1007">
        <v>154.55000000000001</v>
      </c>
      <c r="D1007">
        <v>0.98660000000000003</v>
      </c>
      <c r="E1007">
        <v>28.82</v>
      </c>
      <c r="F1007">
        <v>67.599999999999994</v>
      </c>
      <c r="K1007" s="3"/>
      <c r="O1007" s="3"/>
    </row>
    <row r="1008" spans="1:15">
      <c r="A1008" s="3">
        <v>37532</v>
      </c>
      <c r="B1008" s="3">
        <v>37532</v>
      </c>
      <c r="C1008">
        <v>154.55000000000001</v>
      </c>
      <c r="D1008">
        <v>0.98799999999999999</v>
      </c>
      <c r="E1008">
        <v>28.26</v>
      </c>
      <c r="F1008">
        <v>66.8</v>
      </c>
      <c r="K1008" s="3"/>
      <c r="O1008" s="3"/>
    </row>
    <row r="1009" spans="1:15">
      <c r="A1009" s="3">
        <v>37533</v>
      </c>
      <c r="B1009" s="3">
        <v>37533</v>
      </c>
      <c r="C1009">
        <v>154.55000000000001</v>
      </c>
      <c r="D1009">
        <v>0.9788</v>
      </c>
      <c r="E1009">
        <v>28.12</v>
      </c>
      <c r="F1009">
        <v>66.2</v>
      </c>
      <c r="K1009" s="3"/>
      <c r="O1009" s="3"/>
    </row>
    <row r="1010" spans="1:15">
      <c r="A1010" s="3">
        <v>37534</v>
      </c>
      <c r="B1010" s="3">
        <v>37534</v>
      </c>
      <c r="C1010">
        <v>154.55000000000001</v>
      </c>
      <c r="D1010">
        <v>0.9788</v>
      </c>
      <c r="E1010">
        <v>28.12</v>
      </c>
      <c r="F1010">
        <v>66.2</v>
      </c>
      <c r="K1010" s="3"/>
      <c r="O1010" s="3"/>
    </row>
    <row r="1011" spans="1:15">
      <c r="A1011" s="3">
        <v>37535</v>
      </c>
      <c r="B1011" s="3">
        <v>37535</v>
      </c>
      <c r="C1011">
        <v>154.55000000000001</v>
      </c>
      <c r="D1011">
        <v>0.9788</v>
      </c>
      <c r="E1011">
        <v>28.12</v>
      </c>
      <c r="F1011">
        <v>66.2</v>
      </c>
      <c r="K1011" s="3"/>
      <c r="O1011" s="3"/>
    </row>
    <row r="1012" spans="1:15">
      <c r="A1012" s="3">
        <v>37536</v>
      </c>
      <c r="B1012" s="3">
        <v>37536</v>
      </c>
      <c r="C1012">
        <v>154.5</v>
      </c>
      <c r="D1012">
        <v>0.9829</v>
      </c>
      <c r="E1012">
        <v>28.23</v>
      </c>
      <c r="F1012">
        <v>66.5</v>
      </c>
      <c r="K1012" s="3"/>
      <c r="O1012" s="3"/>
    </row>
    <row r="1013" spans="1:15">
      <c r="A1013" s="3">
        <v>37537</v>
      </c>
      <c r="B1013" s="3">
        <v>37537</v>
      </c>
      <c r="C1013">
        <v>154.5</v>
      </c>
      <c r="D1013">
        <v>0.97909999999999997</v>
      </c>
      <c r="E1013">
        <v>28.09</v>
      </c>
      <c r="F1013">
        <v>66.45</v>
      </c>
      <c r="K1013" s="3"/>
      <c r="O1013" s="3"/>
    </row>
    <row r="1014" spans="1:15">
      <c r="A1014" s="3">
        <v>37538</v>
      </c>
      <c r="B1014" s="3">
        <v>37538</v>
      </c>
      <c r="C1014">
        <v>154.5</v>
      </c>
      <c r="D1014">
        <v>0.99019999999999997</v>
      </c>
      <c r="E1014">
        <v>28.13</v>
      </c>
      <c r="F1014">
        <v>66.400000000000006</v>
      </c>
      <c r="K1014" s="3"/>
      <c r="O1014" s="3"/>
    </row>
    <row r="1015" spans="1:15">
      <c r="A1015" s="3">
        <v>37539</v>
      </c>
      <c r="B1015" s="3">
        <v>37539</v>
      </c>
      <c r="C1015">
        <v>154.5</v>
      </c>
      <c r="D1015">
        <v>0.98619999999999997</v>
      </c>
      <c r="E1015">
        <v>27.74</v>
      </c>
      <c r="F1015">
        <v>67.099999999999994</v>
      </c>
      <c r="K1015" s="3"/>
      <c r="O1015" s="3"/>
    </row>
    <row r="1016" spans="1:15">
      <c r="A1016" s="3">
        <v>37540</v>
      </c>
      <c r="B1016" s="3">
        <v>37540</v>
      </c>
      <c r="C1016">
        <v>154.5</v>
      </c>
      <c r="D1016">
        <v>0.98750000000000004</v>
      </c>
      <c r="E1016">
        <v>27.99</v>
      </c>
      <c r="F1016">
        <v>68.349999999999994</v>
      </c>
      <c r="K1016" s="3"/>
      <c r="O1016" s="3"/>
    </row>
    <row r="1017" spans="1:15">
      <c r="A1017" s="3">
        <v>37541</v>
      </c>
      <c r="B1017" s="3">
        <v>37541</v>
      </c>
      <c r="C1017">
        <v>154.5</v>
      </c>
      <c r="D1017">
        <v>0.98750000000000004</v>
      </c>
      <c r="E1017">
        <v>27.99</v>
      </c>
      <c r="F1017">
        <v>68.349999999999994</v>
      </c>
      <c r="K1017" s="3"/>
      <c r="O1017" s="3"/>
    </row>
    <row r="1018" spans="1:15">
      <c r="A1018" s="3">
        <v>37542</v>
      </c>
      <c r="B1018" s="3">
        <v>37542</v>
      </c>
      <c r="C1018">
        <v>154.5</v>
      </c>
      <c r="D1018">
        <v>0.98750000000000004</v>
      </c>
      <c r="E1018">
        <v>27.99</v>
      </c>
      <c r="F1018">
        <v>68.349999999999994</v>
      </c>
      <c r="K1018" s="3"/>
      <c r="O1018" s="3"/>
    </row>
    <row r="1019" spans="1:15">
      <c r="A1019" s="3">
        <v>37543</v>
      </c>
      <c r="B1019" s="3">
        <v>37543</v>
      </c>
      <c r="C1019">
        <v>154.35</v>
      </c>
      <c r="D1019">
        <v>0.98719999999999997</v>
      </c>
      <c r="E1019">
        <v>28.5</v>
      </c>
      <c r="F1019">
        <v>67.099999999999994</v>
      </c>
      <c r="K1019" s="3"/>
      <c r="O1019" s="3"/>
    </row>
    <row r="1020" spans="1:15">
      <c r="A1020" s="3">
        <v>37544</v>
      </c>
      <c r="B1020" s="3">
        <v>37544</v>
      </c>
      <c r="C1020">
        <v>154.35</v>
      </c>
      <c r="D1020">
        <v>0.98180000000000001</v>
      </c>
      <c r="E1020">
        <v>28.5</v>
      </c>
      <c r="F1020">
        <v>67.650000000000006</v>
      </c>
      <c r="K1020" s="3"/>
      <c r="O1020" s="3"/>
    </row>
    <row r="1021" spans="1:15">
      <c r="A1021" s="3">
        <v>37545</v>
      </c>
      <c r="B1021" s="3">
        <v>37545</v>
      </c>
      <c r="C1021">
        <v>154.35</v>
      </c>
      <c r="D1021">
        <v>0.98089999999999999</v>
      </c>
      <c r="E1021">
        <v>28.58</v>
      </c>
      <c r="F1021">
        <v>67.5</v>
      </c>
      <c r="K1021" s="3"/>
      <c r="O1021" s="3"/>
    </row>
    <row r="1022" spans="1:15">
      <c r="A1022" s="3">
        <v>37546</v>
      </c>
      <c r="B1022" s="3">
        <v>37546</v>
      </c>
      <c r="C1022">
        <v>154.35</v>
      </c>
      <c r="D1022">
        <v>0.97070000000000001</v>
      </c>
      <c r="E1022">
        <v>27.97</v>
      </c>
      <c r="F1022">
        <v>69.7</v>
      </c>
      <c r="K1022" s="3"/>
      <c r="O1022" s="3"/>
    </row>
    <row r="1023" spans="1:15">
      <c r="A1023" s="3">
        <v>37547</v>
      </c>
      <c r="B1023" s="3">
        <v>37547</v>
      </c>
      <c r="C1023">
        <v>154.35</v>
      </c>
      <c r="D1023">
        <v>0.97140000000000004</v>
      </c>
      <c r="E1023">
        <v>27.84</v>
      </c>
      <c r="F1023">
        <v>69.25</v>
      </c>
      <c r="K1023" s="3"/>
      <c r="O1023" s="3"/>
    </row>
    <row r="1024" spans="1:15">
      <c r="A1024" s="3">
        <v>37548</v>
      </c>
      <c r="B1024" s="3">
        <v>37548</v>
      </c>
      <c r="C1024">
        <v>154.35</v>
      </c>
      <c r="D1024">
        <v>0.97140000000000004</v>
      </c>
      <c r="E1024">
        <v>27.84</v>
      </c>
      <c r="F1024">
        <v>69.25</v>
      </c>
      <c r="K1024" s="3"/>
      <c r="O1024" s="3"/>
    </row>
    <row r="1025" spans="1:15">
      <c r="A1025" s="3">
        <v>37549</v>
      </c>
      <c r="B1025" s="3">
        <v>37549</v>
      </c>
      <c r="C1025">
        <v>154.35</v>
      </c>
      <c r="D1025">
        <v>0.97140000000000004</v>
      </c>
      <c r="E1025">
        <v>27.84</v>
      </c>
      <c r="F1025">
        <v>69.25</v>
      </c>
      <c r="K1025" s="3"/>
      <c r="O1025" s="3"/>
    </row>
    <row r="1026" spans="1:15">
      <c r="A1026" s="3">
        <v>37550</v>
      </c>
      <c r="B1026" s="3">
        <v>37550</v>
      </c>
      <c r="C1026">
        <v>154.25</v>
      </c>
      <c r="D1026">
        <v>0.97360000000000002</v>
      </c>
      <c r="E1026">
        <v>26.59</v>
      </c>
      <c r="F1026">
        <v>70.349999999999994</v>
      </c>
      <c r="K1026" s="3"/>
      <c r="O1026" s="3"/>
    </row>
    <row r="1027" spans="1:15">
      <c r="A1027" s="3">
        <v>37551</v>
      </c>
      <c r="B1027" s="3">
        <v>37551</v>
      </c>
      <c r="C1027">
        <v>154.25</v>
      </c>
      <c r="D1027">
        <v>0.97760000000000002</v>
      </c>
      <c r="E1027">
        <v>26.43</v>
      </c>
      <c r="F1027">
        <v>69.75</v>
      </c>
      <c r="K1027" s="3"/>
      <c r="O1027" s="3"/>
    </row>
    <row r="1028" spans="1:15">
      <c r="A1028" s="3">
        <v>37552</v>
      </c>
      <c r="B1028" s="3">
        <v>37552</v>
      </c>
      <c r="C1028">
        <v>154.25</v>
      </c>
      <c r="D1028">
        <v>0.97529999999999994</v>
      </c>
      <c r="E1028">
        <v>26.51</v>
      </c>
      <c r="F1028">
        <v>69.45</v>
      </c>
      <c r="K1028" s="3"/>
      <c r="O1028" s="3"/>
    </row>
    <row r="1029" spans="1:15">
      <c r="A1029" s="3">
        <v>37553</v>
      </c>
      <c r="B1029" s="3">
        <v>37553</v>
      </c>
      <c r="C1029">
        <v>154.25</v>
      </c>
      <c r="D1029">
        <v>0.97789999999999999</v>
      </c>
      <c r="E1029">
        <v>26.46</v>
      </c>
      <c r="F1029">
        <v>70.3</v>
      </c>
      <c r="K1029" s="3"/>
      <c r="O1029" s="3"/>
    </row>
    <row r="1030" spans="1:15">
      <c r="A1030" s="3">
        <v>37554</v>
      </c>
      <c r="B1030" s="3">
        <v>37554</v>
      </c>
      <c r="C1030">
        <v>154.25</v>
      </c>
      <c r="D1030">
        <v>0.9758</v>
      </c>
      <c r="E1030">
        <v>25.46</v>
      </c>
      <c r="F1030">
        <v>71.45</v>
      </c>
      <c r="K1030" s="3"/>
      <c r="O1030" s="3"/>
    </row>
    <row r="1031" spans="1:15">
      <c r="A1031" s="3">
        <v>37555</v>
      </c>
      <c r="B1031" s="3">
        <v>37555</v>
      </c>
      <c r="C1031">
        <v>154.25</v>
      </c>
      <c r="D1031">
        <v>0.9758</v>
      </c>
      <c r="E1031">
        <v>25.46</v>
      </c>
      <c r="F1031">
        <v>71.45</v>
      </c>
      <c r="K1031" s="3"/>
      <c r="O1031" s="3"/>
    </row>
    <row r="1032" spans="1:15">
      <c r="A1032" s="3">
        <v>37556</v>
      </c>
      <c r="B1032" s="3">
        <v>37556</v>
      </c>
      <c r="C1032">
        <v>154.25</v>
      </c>
      <c r="D1032">
        <v>0.9758</v>
      </c>
      <c r="E1032">
        <v>25.46</v>
      </c>
      <c r="F1032">
        <v>71.45</v>
      </c>
      <c r="K1032" s="3"/>
      <c r="O1032" s="3"/>
    </row>
    <row r="1033" spans="1:15">
      <c r="A1033" s="3">
        <v>37557</v>
      </c>
      <c r="B1033" s="3">
        <v>37557</v>
      </c>
      <c r="C1033">
        <v>154.35</v>
      </c>
      <c r="D1033">
        <v>0.98399999999999999</v>
      </c>
      <c r="E1033">
        <v>25.68</v>
      </c>
      <c r="F1033">
        <v>71.349999999999994</v>
      </c>
      <c r="K1033" s="3"/>
      <c r="O1033" s="3"/>
    </row>
    <row r="1034" spans="1:15">
      <c r="A1034" s="3">
        <v>37558</v>
      </c>
      <c r="B1034" s="3">
        <v>37558</v>
      </c>
      <c r="C1034">
        <v>154.35</v>
      </c>
      <c r="D1034">
        <v>0.98309999999999997</v>
      </c>
      <c r="E1034">
        <v>25.31</v>
      </c>
      <c r="F1034">
        <v>70.400000000000006</v>
      </c>
      <c r="K1034" s="3"/>
      <c r="O1034" s="3"/>
    </row>
    <row r="1035" spans="1:15">
      <c r="A1035" s="3">
        <v>37559</v>
      </c>
      <c r="B1035" s="3">
        <v>37559</v>
      </c>
      <c r="C1035">
        <v>154.35</v>
      </c>
      <c r="D1035">
        <v>0.98399999999999999</v>
      </c>
      <c r="E1035">
        <v>25.3</v>
      </c>
      <c r="F1035">
        <v>70.349999999999994</v>
      </c>
      <c r="K1035" s="3"/>
      <c r="O1035" s="3"/>
    </row>
    <row r="1036" spans="1:15">
      <c r="A1036" s="3">
        <v>37560</v>
      </c>
      <c r="B1036" s="3">
        <v>37560</v>
      </c>
      <c r="C1036">
        <v>154.35</v>
      </c>
      <c r="D1036">
        <v>0.99029999999999996</v>
      </c>
      <c r="E1036">
        <v>25.72</v>
      </c>
      <c r="F1036">
        <v>71.7</v>
      </c>
      <c r="K1036" s="3"/>
      <c r="O1036" s="3"/>
    </row>
    <row r="1037" spans="1:15">
      <c r="A1037" s="3">
        <v>37561</v>
      </c>
      <c r="B1037" s="3">
        <v>37561</v>
      </c>
      <c r="C1037">
        <v>154.35</v>
      </c>
      <c r="D1037">
        <v>0.99660000000000004</v>
      </c>
      <c r="E1037">
        <v>25.41</v>
      </c>
      <c r="F1037">
        <v>72.599999999999994</v>
      </c>
      <c r="K1037" s="3"/>
      <c r="O1037" s="3"/>
    </row>
    <row r="1038" spans="1:15">
      <c r="A1038" s="3">
        <v>37562</v>
      </c>
      <c r="B1038" s="3">
        <v>37562</v>
      </c>
      <c r="C1038">
        <v>154.35</v>
      </c>
      <c r="D1038">
        <v>0.99660000000000004</v>
      </c>
      <c r="E1038">
        <v>25.41</v>
      </c>
      <c r="F1038">
        <v>72.599999999999994</v>
      </c>
      <c r="K1038" s="3"/>
      <c r="O1038" s="3"/>
    </row>
    <row r="1039" spans="1:15">
      <c r="A1039" s="3">
        <v>37563</v>
      </c>
      <c r="B1039" s="3">
        <v>37563</v>
      </c>
      <c r="C1039">
        <v>154.35</v>
      </c>
      <c r="D1039">
        <v>0.99660000000000004</v>
      </c>
      <c r="E1039">
        <v>25.41</v>
      </c>
      <c r="F1039">
        <v>72.599999999999994</v>
      </c>
      <c r="K1039" s="3"/>
      <c r="O1039" s="3"/>
    </row>
    <row r="1040" spans="1:15">
      <c r="A1040" s="3">
        <v>37564</v>
      </c>
      <c r="B1040" s="3">
        <v>37564</v>
      </c>
      <c r="C1040">
        <v>154.4</v>
      </c>
      <c r="D1040">
        <v>0.998</v>
      </c>
      <c r="E1040">
        <v>25.02</v>
      </c>
      <c r="F1040">
        <v>72.849999999999994</v>
      </c>
      <c r="K1040" s="3"/>
      <c r="O1040" s="3"/>
    </row>
    <row r="1041" spans="1:15">
      <c r="A1041" s="3">
        <v>37565</v>
      </c>
      <c r="B1041" s="3">
        <v>37565</v>
      </c>
      <c r="C1041">
        <v>154.4</v>
      </c>
      <c r="D1041">
        <v>0.99980000000000002</v>
      </c>
      <c r="E1041">
        <v>24.12</v>
      </c>
      <c r="F1041">
        <v>72.55</v>
      </c>
      <c r="K1041" s="3"/>
      <c r="O1041" s="3"/>
    </row>
    <row r="1042" spans="1:15">
      <c r="A1042" s="3">
        <v>37566</v>
      </c>
      <c r="B1042" s="3">
        <v>37566</v>
      </c>
      <c r="C1042">
        <v>154.4</v>
      </c>
      <c r="D1042">
        <v>1.0039</v>
      </c>
      <c r="E1042">
        <v>23.7</v>
      </c>
      <c r="F1042">
        <v>73.05</v>
      </c>
      <c r="K1042" s="3"/>
      <c r="O1042" s="3"/>
    </row>
    <row r="1043" spans="1:15">
      <c r="A1043" s="3">
        <v>37567</v>
      </c>
      <c r="B1043" s="3">
        <v>37567</v>
      </c>
      <c r="C1043">
        <v>154.4</v>
      </c>
      <c r="D1043">
        <v>1.0097</v>
      </c>
      <c r="E1043">
        <v>23.48</v>
      </c>
      <c r="F1043">
        <v>71.55</v>
      </c>
      <c r="K1043" s="3"/>
      <c r="O1043" s="3"/>
    </row>
    <row r="1044" spans="1:15">
      <c r="A1044" s="3">
        <v>37568</v>
      </c>
      <c r="B1044" s="3">
        <v>37568</v>
      </c>
      <c r="C1044">
        <v>154.4</v>
      </c>
      <c r="D1044">
        <v>1.0132000000000001</v>
      </c>
      <c r="E1044">
        <v>23.58</v>
      </c>
      <c r="F1044">
        <v>71.599999999999994</v>
      </c>
      <c r="K1044" s="3"/>
      <c r="O1044" s="3"/>
    </row>
    <row r="1045" spans="1:15">
      <c r="A1045" s="3">
        <v>37569</v>
      </c>
      <c r="B1045" s="3">
        <v>37569</v>
      </c>
      <c r="C1045">
        <v>154.4</v>
      </c>
      <c r="D1045">
        <v>1.0132000000000001</v>
      </c>
      <c r="E1045">
        <v>23.58</v>
      </c>
      <c r="F1045">
        <v>71.599999999999994</v>
      </c>
      <c r="K1045" s="3"/>
      <c r="O1045" s="3"/>
    </row>
    <row r="1046" spans="1:15">
      <c r="A1046" s="3">
        <v>37570</v>
      </c>
      <c r="B1046" s="3">
        <v>37570</v>
      </c>
      <c r="C1046">
        <v>154.4</v>
      </c>
      <c r="D1046">
        <v>1.0132000000000001</v>
      </c>
      <c r="E1046">
        <v>23.58</v>
      </c>
      <c r="F1046">
        <v>71.599999999999994</v>
      </c>
      <c r="K1046" s="3"/>
      <c r="O1046" s="3"/>
    </row>
    <row r="1047" spans="1:15">
      <c r="A1047" s="3">
        <v>37571</v>
      </c>
      <c r="B1047" s="3">
        <v>37571</v>
      </c>
      <c r="C1047">
        <v>154.35</v>
      </c>
      <c r="D1047">
        <v>1.0107999999999999</v>
      </c>
      <c r="E1047">
        <v>23.79</v>
      </c>
      <c r="F1047">
        <v>72.099999999999994</v>
      </c>
      <c r="K1047" s="3"/>
      <c r="O1047" s="3"/>
    </row>
    <row r="1048" spans="1:15">
      <c r="A1048" s="3">
        <v>37572</v>
      </c>
      <c r="B1048" s="3">
        <v>37572</v>
      </c>
      <c r="C1048">
        <v>154.35</v>
      </c>
      <c r="D1048">
        <v>1.0129999999999999</v>
      </c>
      <c r="E1048">
        <v>23.72</v>
      </c>
      <c r="F1048">
        <v>72.099999999999994</v>
      </c>
      <c r="K1048" s="3"/>
      <c r="O1048" s="3"/>
    </row>
    <row r="1049" spans="1:15">
      <c r="A1049" s="3">
        <v>37573</v>
      </c>
      <c r="B1049" s="3">
        <v>37573</v>
      </c>
      <c r="C1049">
        <v>154.35</v>
      </c>
      <c r="D1049">
        <v>1.0084</v>
      </c>
      <c r="E1049">
        <v>22.7</v>
      </c>
      <c r="F1049">
        <v>71.75</v>
      </c>
      <c r="K1049" s="3"/>
      <c r="O1049" s="3"/>
    </row>
    <row r="1050" spans="1:15">
      <c r="A1050" s="3">
        <v>37574</v>
      </c>
      <c r="B1050" s="3">
        <v>37574</v>
      </c>
      <c r="C1050">
        <v>154.35</v>
      </c>
      <c r="D1050">
        <v>1.0041</v>
      </c>
      <c r="E1050">
        <v>22.81</v>
      </c>
      <c r="F1050">
        <v>71.2</v>
      </c>
      <c r="K1050" s="3"/>
      <c r="O1050" s="3"/>
    </row>
    <row r="1051" spans="1:15">
      <c r="A1051" s="3">
        <v>37575</v>
      </c>
      <c r="B1051" s="3">
        <v>37575</v>
      </c>
      <c r="C1051">
        <v>154.35</v>
      </c>
      <c r="D1051">
        <v>1.0098</v>
      </c>
      <c r="E1051">
        <v>23.35</v>
      </c>
      <c r="F1051">
        <v>71.849999999999994</v>
      </c>
      <c r="K1051" s="3"/>
      <c r="O1051" s="3"/>
    </row>
    <row r="1052" spans="1:15">
      <c r="A1052" s="3">
        <v>37576</v>
      </c>
      <c r="B1052" s="3">
        <v>37576</v>
      </c>
      <c r="C1052">
        <v>154.35</v>
      </c>
      <c r="D1052">
        <v>1.0098</v>
      </c>
      <c r="E1052">
        <v>23.35</v>
      </c>
      <c r="F1052">
        <v>71.849999999999994</v>
      </c>
      <c r="K1052" s="3"/>
      <c r="O1052" s="3"/>
    </row>
    <row r="1053" spans="1:15">
      <c r="A1053" s="3">
        <v>37577</v>
      </c>
      <c r="B1053" s="3">
        <v>37577</v>
      </c>
      <c r="C1053">
        <v>154.35</v>
      </c>
      <c r="D1053">
        <v>1.0098</v>
      </c>
      <c r="E1053">
        <v>23.35</v>
      </c>
      <c r="F1053">
        <v>71.849999999999994</v>
      </c>
      <c r="K1053" s="3"/>
      <c r="O1053" s="3"/>
    </row>
    <row r="1054" spans="1:15">
      <c r="A1054" s="3">
        <v>37578</v>
      </c>
      <c r="B1054" s="3">
        <v>37578</v>
      </c>
      <c r="C1054">
        <v>154.25</v>
      </c>
      <c r="D1054">
        <v>1.0091000000000001</v>
      </c>
      <c r="E1054">
        <v>24.28</v>
      </c>
      <c r="F1054">
        <v>72.8</v>
      </c>
      <c r="K1054" s="3"/>
      <c r="O1054" s="3"/>
    </row>
    <row r="1055" spans="1:15">
      <c r="A1055" s="3">
        <v>37579</v>
      </c>
      <c r="B1055" s="3">
        <v>37579</v>
      </c>
      <c r="C1055">
        <v>154.25</v>
      </c>
      <c r="D1055">
        <v>1.0024</v>
      </c>
      <c r="E1055">
        <v>24.08</v>
      </c>
      <c r="F1055">
        <v>72.7</v>
      </c>
      <c r="K1055" s="3"/>
      <c r="O1055" s="3"/>
    </row>
    <row r="1056" spans="1:15">
      <c r="A1056" s="3">
        <v>37580</v>
      </c>
      <c r="B1056" s="3">
        <v>37580</v>
      </c>
      <c r="C1056">
        <v>154.25</v>
      </c>
      <c r="D1056">
        <v>1.0013000000000001</v>
      </c>
      <c r="E1056">
        <v>24.53</v>
      </c>
      <c r="F1056">
        <v>73.900000000000006</v>
      </c>
      <c r="K1056" s="3"/>
      <c r="O1056" s="3"/>
    </row>
    <row r="1057" spans="1:15">
      <c r="A1057" s="3">
        <v>37581</v>
      </c>
      <c r="B1057" s="3">
        <v>37581</v>
      </c>
      <c r="C1057">
        <v>154.25</v>
      </c>
      <c r="D1057">
        <v>1.0025999999999999</v>
      </c>
      <c r="E1057">
        <v>24.83</v>
      </c>
      <c r="F1057">
        <v>73.95</v>
      </c>
      <c r="K1057" s="3"/>
      <c r="O1057" s="3"/>
    </row>
    <row r="1058" spans="1:15">
      <c r="A1058" s="3">
        <v>37582</v>
      </c>
      <c r="B1058" s="3">
        <v>37582</v>
      </c>
      <c r="C1058">
        <v>154.25</v>
      </c>
      <c r="D1058">
        <v>0.99680000000000002</v>
      </c>
      <c r="E1058">
        <v>25.21</v>
      </c>
      <c r="F1058">
        <v>73.650000000000006</v>
      </c>
      <c r="K1058" s="3"/>
      <c r="O1058" s="3"/>
    </row>
    <row r="1059" spans="1:15">
      <c r="A1059" s="3">
        <v>37583</v>
      </c>
      <c r="B1059" s="3">
        <v>37583</v>
      </c>
      <c r="C1059">
        <v>154.25</v>
      </c>
      <c r="D1059">
        <v>0.99680000000000002</v>
      </c>
      <c r="E1059">
        <v>25.21</v>
      </c>
      <c r="F1059">
        <v>73.650000000000006</v>
      </c>
      <c r="K1059" s="3"/>
      <c r="O1059" s="3"/>
    </row>
    <row r="1060" spans="1:15">
      <c r="A1060" s="3">
        <v>37584</v>
      </c>
      <c r="B1060" s="3">
        <v>37584</v>
      </c>
      <c r="C1060">
        <v>154.25</v>
      </c>
      <c r="D1060">
        <v>0.99680000000000002</v>
      </c>
      <c r="E1060">
        <v>25.21</v>
      </c>
      <c r="F1060">
        <v>73.650000000000006</v>
      </c>
      <c r="K1060" s="3"/>
      <c r="O1060" s="3"/>
    </row>
    <row r="1061" spans="1:15">
      <c r="A1061" s="3">
        <v>37585</v>
      </c>
      <c r="B1061" s="3">
        <v>37585</v>
      </c>
      <c r="C1061">
        <v>154.19999999999999</v>
      </c>
      <c r="D1061">
        <v>0.99229999999999996</v>
      </c>
      <c r="E1061">
        <v>24.67</v>
      </c>
      <c r="F1061">
        <v>73.599999999999994</v>
      </c>
      <c r="K1061" s="3"/>
      <c r="O1061" s="3"/>
    </row>
    <row r="1062" spans="1:15">
      <c r="A1062" s="3">
        <v>37586</v>
      </c>
      <c r="B1062" s="3">
        <v>37586</v>
      </c>
      <c r="C1062">
        <v>154.19999999999999</v>
      </c>
      <c r="D1062">
        <v>0.99370000000000003</v>
      </c>
      <c r="E1062">
        <v>24.85</v>
      </c>
      <c r="F1062">
        <v>72.849999999999994</v>
      </c>
      <c r="K1062" s="3"/>
      <c r="O1062" s="3"/>
    </row>
    <row r="1063" spans="1:15">
      <c r="A1063" s="3">
        <v>37587</v>
      </c>
      <c r="B1063" s="3">
        <v>37587</v>
      </c>
      <c r="C1063">
        <v>154.19999999999999</v>
      </c>
      <c r="D1063">
        <v>0.99029999999999996</v>
      </c>
      <c r="E1063">
        <v>25.25</v>
      </c>
      <c r="F1063">
        <v>74.95</v>
      </c>
      <c r="K1063" s="3"/>
      <c r="O1063" s="3"/>
    </row>
    <row r="1064" spans="1:15">
      <c r="A1064" s="3">
        <v>37588</v>
      </c>
      <c r="B1064" s="3">
        <v>37588</v>
      </c>
      <c r="C1064">
        <v>154.19999999999999</v>
      </c>
      <c r="D1064">
        <v>0.99370000000000003</v>
      </c>
      <c r="E1064">
        <v>25.01</v>
      </c>
      <c r="F1064">
        <v>74.95</v>
      </c>
      <c r="K1064" s="3"/>
      <c r="O1064" s="3"/>
    </row>
    <row r="1065" spans="1:15">
      <c r="A1065" s="3">
        <v>37589</v>
      </c>
      <c r="B1065" s="3">
        <v>37589</v>
      </c>
      <c r="C1065">
        <v>154.19999999999999</v>
      </c>
      <c r="D1065">
        <v>0.99429999999999996</v>
      </c>
      <c r="E1065">
        <v>25.16</v>
      </c>
      <c r="F1065">
        <v>74.95</v>
      </c>
      <c r="K1065" s="3"/>
      <c r="O1065" s="3"/>
    </row>
    <row r="1066" spans="1:15">
      <c r="A1066" s="3">
        <v>37590</v>
      </c>
      <c r="B1066" s="3">
        <v>37590</v>
      </c>
      <c r="C1066">
        <v>154.19999999999999</v>
      </c>
      <c r="D1066">
        <v>0.99429999999999996</v>
      </c>
      <c r="E1066">
        <v>25.16</v>
      </c>
      <c r="F1066">
        <v>74.95</v>
      </c>
      <c r="K1066" s="3"/>
      <c r="O1066" s="3"/>
    </row>
    <row r="1067" spans="1:15">
      <c r="A1067" s="3">
        <v>37591</v>
      </c>
      <c r="B1067" s="3">
        <v>37591</v>
      </c>
      <c r="C1067">
        <v>154.19999999999999</v>
      </c>
      <c r="D1067">
        <v>0.99429999999999996</v>
      </c>
      <c r="E1067">
        <v>25.16</v>
      </c>
      <c r="F1067">
        <v>74.95</v>
      </c>
      <c r="K1067" s="3"/>
      <c r="O1067" s="3"/>
    </row>
    <row r="1068" spans="1:15">
      <c r="A1068" s="3">
        <v>37592</v>
      </c>
      <c r="B1068" s="3">
        <v>37592</v>
      </c>
      <c r="C1068">
        <v>154.5</v>
      </c>
      <c r="D1068">
        <v>0.99680000000000002</v>
      </c>
      <c r="E1068">
        <v>25.62</v>
      </c>
      <c r="F1068">
        <v>75.650000000000006</v>
      </c>
      <c r="K1068" s="3"/>
      <c r="O1068" s="3"/>
    </row>
    <row r="1069" spans="1:15">
      <c r="A1069" s="3">
        <v>37593</v>
      </c>
      <c r="B1069" s="3">
        <v>37593</v>
      </c>
      <c r="C1069">
        <v>154.5</v>
      </c>
      <c r="D1069">
        <v>0.99719999999999998</v>
      </c>
      <c r="E1069">
        <v>25.85</v>
      </c>
      <c r="F1069">
        <v>75.3</v>
      </c>
      <c r="K1069" s="3"/>
      <c r="O1069" s="3"/>
    </row>
    <row r="1070" spans="1:15">
      <c r="A1070" s="3">
        <v>37594</v>
      </c>
      <c r="B1070" s="3">
        <v>37594</v>
      </c>
      <c r="C1070">
        <v>154.5</v>
      </c>
      <c r="D1070">
        <v>1.0008999999999999</v>
      </c>
      <c r="E1070">
        <v>25.18</v>
      </c>
      <c r="F1070">
        <v>75.3</v>
      </c>
      <c r="K1070" s="3"/>
      <c r="O1070" s="3"/>
    </row>
    <row r="1071" spans="1:15">
      <c r="A1071" s="3">
        <v>37595</v>
      </c>
      <c r="B1071" s="3">
        <v>37595</v>
      </c>
      <c r="C1071">
        <v>154.5</v>
      </c>
      <c r="D1071">
        <v>1.0005999999999999</v>
      </c>
      <c r="E1071">
        <v>25.8</v>
      </c>
      <c r="F1071">
        <v>74</v>
      </c>
      <c r="K1071" s="3"/>
      <c r="O1071" s="3"/>
    </row>
    <row r="1072" spans="1:15">
      <c r="A1072" s="3">
        <v>37596</v>
      </c>
      <c r="B1072" s="3">
        <v>37596</v>
      </c>
      <c r="C1072">
        <v>154.5</v>
      </c>
      <c r="D1072">
        <v>1.0091000000000001</v>
      </c>
      <c r="E1072">
        <v>25.46</v>
      </c>
      <c r="F1072">
        <v>74.05</v>
      </c>
      <c r="K1072" s="3"/>
      <c r="O1072" s="3"/>
    </row>
    <row r="1073" spans="1:15">
      <c r="A1073" s="3">
        <v>37597</v>
      </c>
      <c r="B1073" s="3">
        <v>37597</v>
      </c>
      <c r="C1073">
        <v>154.5</v>
      </c>
      <c r="D1073">
        <v>1.0091000000000001</v>
      </c>
      <c r="E1073">
        <v>25.46</v>
      </c>
      <c r="F1073">
        <v>74.05</v>
      </c>
      <c r="K1073" s="3"/>
      <c r="O1073" s="3"/>
    </row>
    <row r="1074" spans="1:15">
      <c r="A1074" s="3">
        <v>37598</v>
      </c>
      <c r="B1074" s="3">
        <v>37598</v>
      </c>
      <c r="C1074">
        <v>154.5</v>
      </c>
      <c r="D1074">
        <v>1.0091000000000001</v>
      </c>
      <c r="E1074">
        <v>25.46</v>
      </c>
      <c r="F1074">
        <v>74.05</v>
      </c>
      <c r="K1074" s="3"/>
      <c r="O1074" s="3"/>
    </row>
    <row r="1075" spans="1:15">
      <c r="A1075" s="3">
        <v>37599</v>
      </c>
      <c r="B1075" s="3">
        <v>37599</v>
      </c>
      <c r="C1075">
        <v>155</v>
      </c>
      <c r="D1075">
        <v>1.0108999999999999</v>
      </c>
      <c r="E1075">
        <v>25.76</v>
      </c>
      <c r="F1075">
        <v>73.05</v>
      </c>
      <c r="K1075" s="3"/>
      <c r="O1075" s="3"/>
    </row>
    <row r="1076" spans="1:15">
      <c r="A1076" s="3">
        <v>37600</v>
      </c>
      <c r="B1076" s="3">
        <v>37600</v>
      </c>
      <c r="C1076">
        <v>155</v>
      </c>
      <c r="D1076">
        <v>1.0082</v>
      </c>
      <c r="E1076">
        <v>26.42</v>
      </c>
      <c r="F1076">
        <v>73.7</v>
      </c>
      <c r="K1076" s="3"/>
      <c r="O1076" s="3"/>
    </row>
    <row r="1077" spans="1:15">
      <c r="A1077" s="3">
        <v>37601</v>
      </c>
      <c r="B1077" s="3">
        <v>37601</v>
      </c>
      <c r="C1077">
        <v>155</v>
      </c>
      <c r="D1077">
        <v>1.0086999999999999</v>
      </c>
      <c r="E1077">
        <v>26.25</v>
      </c>
      <c r="F1077">
        <v>73.599999999999994</v>
      </c>
      <c r="K1077" s="3"/>
      <c r="O1077" s="3"/>
    </row>
    <row r="1078" spans="1:15">
      <c r="A1078" s="3">
        <v>37602</v>
      </c>
      <c r="B1078" s="3">
        <v>37602</v>
      </c>
      <c r="C1078">
        <v>155</v>
      </c>
      <c r="D1078">
        <v>1.0185999999999999</v>
      </c>
      <c r="E1078">
        <v>26.87</v>
      </c>
      <c r="F1078">
        <v>73.3</v>
      </c>
      <c r="K1078" s="3"/>
      <c r="O1078" s="3"/>
    </row>
    <row r="1079" spans="1:15">
      <c r="A1079" s="3">
        <v>37603</v>
      </c>
      <c r="B1079" s="3">
        <v>37603</v>
      </c>
      <c r="C1079">
        <v>155</v>
      </c>
      <c r="D1079">
        <v>1.0241</v>
      </c>
      <c r="E1079">
        <v>27.21</v>
      </c>
      <c r="F1079">
        <v>72.400000000000006</v>
      </c>
      <c r="K1079" s="3"/>
      <c r="O1079" s="3"/>
    </row>
    <row r="1080" spans="1:15">
      <c r="A1080" s="3">
        <v>37604</v>
      </c>
      <c r="B1080" s="3">
        <v>37604</v>
      </c>
      <c r="C1080">
        <v>155</v>
      </c>
      <c r="D1080">
        <v>1.0241</v>
      </c>
      <c r="E1080">
        <v>27.21</v>
      </c>
      <c r="F1080">
        <v>72.400000000000006</v>
      </c>
      <c r="K1080" s="3"/>
      <c r="O1080" s="3"/>
    </row>
    <row r="1081" spans="1:15">
      <c r="A1081" s="3">
        <v>37605</v>
      </c>
      <c r="B1081" s="3">
        <v>37605</v>
      </c>
      <c r="C1081">
        <v>155</v>
      </c>
      <c r="D1081">
        <v>1.0241</v>
      </c>
      <c r="E1081">
        <v>27.21</v>
      </c>
      <c r="F1081">
        <v>72.400000000000006</v>
      </c>
      <c r="K1081" s="3"/>
      <c r="O1081" s="3"/>
    </row>
    <row r="1082" spans="1:15">
      <c r="A1082" s="3">
        <v>37606</v>
      </c>
      <c r="B1082" s="3">
        <v>37606</v>
      </c>
      <c r="C1082">
        <v>155.4</v>
      </c>
      <c r="D1082">
        <v>1.0223</v>
      </c>
      <c r="E1082">
        <v>28.38</v>
      </c>
      <c r="F1082">
        <v>72.3</v>
      </c>
      <c r="K1082" s="3"/>
      <c r="O1082" s="3"/>
    </row>
    <row r="1083" spans="1:15">
      <c r="A1083" s="3">
        <v>37607</v>
      </c>
      <c r="B1083" s="3">
        <v>37607</v>
      </c>
      <c r="C1083">
        <v>155.4</v>
      </c>
      <c r="D1083">
        <v>1.0277000000000001</v>
      </c>
      <c r="E1083">
        <v>27.92</v>
      </c>
      <c r="F1083">
        <v>72.45</v>
      </c>
      <c r="K1083" s="3"/>
      <c r="O1083" s="3"/>
    </row>
    <row r="1084" spans="1:15">
      <c r="A1084" s="3">
        <v>37608</v>
      </c>
      <c r="B1084" s="3">
        <v>37608</v>
      </c>
      <c r="C1084">
        <v>155.4</v>
      </c>
      <c r="D1084">
        <v>1.0279</v>
      </c>
      <c r="E1084">
        <v>28.49</v>
      </c>
      <c r="F1084">
        <v>71.8</v>
      </c>
      <c r="K1084" s="3"/>
      <c r="O1084" s="3"/>
    </row>
    <row r="1085" spans="1:15">
      <c r="A1085" s="3">
        <v>37609</v>
      </c>
      <c r="B1085" s="3">
        <v>37609</v>
      </c>
      <c r="C1085">
        <v>155.4</v>
      </c>
      <c r="D1085">
        <v>1.0270999999999999</v>
      </c>
      <c r="E1085">
        <v>28.22</v>
      </c>
      <c r="F1085">
        <v>71.349999999999994</v>
      </c>
      <c r="K1085" s="3"/>
      <c r="O1085" s="3"/>
    </row>
    <row r="1086" spans="1:15">
      <c r="A1086" s="3">
        <v>37610</v>
      </c>
      <c r="B1086" s="3">
        <v>37610</v>
      </c>
      <c r="C1086">
        <v>155.4</v>
      </c>
      <c r="D1086">
        <v>1.0276000000000001</v>
      </c>
      <c r="E1086">
        <v>28.34</v>
      </c>
      <c r="F1086">
        <v>71.099999999999994</v>
      </c>
      <c r="K1086" s="3"/>
      <c r="O1086" s="3"/>
    </row>
    <row r="1087" spans="1:15">
      <c r="A1087" s="3">
        <v>37611</v>
      </c>
      <c r="B1087" s="3">
        <v>37611</v>
      </c>
      <c r="C1087">
        <v>155.4</v>
      </c>
      <c r="D1087">
        <v>1.0276000000000001</v>
      </c>
      <c r="E1087">
        <v>28.34</v>
      </c>
      <c r="F1087">
        <v>71.099999999999994</v>
      </c>
      <c r="K1087" s="3"/>
      <c r="O1087" s="3"/>
    </row>
    <row r="1088" spans="1:15">
      <c r="A1088" s="3">
        <v>37612</v>
      </c>
      <c r="B1088" s="3">
        <v>37612</v>
      </c>
      <c r="C1088">
        <v>155.4</v>
      </c>
      <c r="D1088">
        <v>1.0276000000000001</v>
      </c>
      <c r="E1088">
        <v>28.34</v>
      </c>
      <c r="F1088">
        <v>71.099999999999994</v>
      </c>
      <c r="K1088" s="3"/>
      <c r="O1088" s="3"/>
    </row>
    <row r="1089" spans="1:15">
      <c r="A1089" s="3">
        <v>37613</v>
      </c>
      <c r="B1089" s="3">
        <v>37613</v>
      </c>
      <c r="C1089">
        <v>155.4</v>
      </c>
      <c r="D1089">
        <v>1.0266999999999999</v>
      </c>
      <c r="E1089">
        <v>29.72</v>
      </c>
      <c r="F1089">
        <v>71.349999999999994</v>
      </c>
      <c r="K1089" s="3"/>
      <c r="O1089" s="3"/>
    </row>
    <row r="1090" spans="1:15">
      <c r="A1090" s="3">
        <v>37614</v>
      </c>
      <c r="B1090" s="3">
        <v>37614</v>
      </c>
      <c r="C1090">
        <v>155.4</v>
      </c>
      <c r="D1090">
        <v>1.0302</v>
      </c>
      <c r="E1090">
        <v>29.61</v>
      </c>
      <c r="F1090">
        <v>70.2</v>
      </c>
      <c r="K1090" s="3"/>
      <c r="O1090" s="3"/>
    </row>
    <row r="1091" spans="1:15">
      <c r="A1091" s="3">
        <v>37615</v>
      </c>
      <c r="B1091" s="3">
        <v>37615</v>
      </c>
      <c r="C1091">
        <v>155.4</v>
      </c>
      <c r="D1091">
        <v>1.0323</v>
      </c>
      <c r="E1091">
        <v>29.61</v>
      </c>
      <c r="F1091">
        <v>70.2</v>
      </c>
      <c r="K1091" s="3"/>
      <c r="O1091" s="3"/>
    </row>
    <row r="1092" spans="1:15">
      <c r="A1092" s="3">
        <v>37616</v>
      </c>
      <c r="B1092" s="3">
        <v>37616</v>
      </c>
      <c r="C1092">
        <v>155.4</v>
      </c>
      <c r="D1092">
        <v>1.0375000000000001</v>
      </c>
      <c r="E1092">
        <v>29.61</v>
      </c>
      <c r="F1092">
        <v>69.599999999999994</v>
      </c>
      <c r="K1092" s="3"/>
      <c r="O1092" s="3"/>
    </row>
    <row r="1093" spans="1:15">
      <c r="A1093" s="3">
        <v>37617</v>
      </c>
      <c r="B1093" s="3">
        <v>37617</v>
      </c>
      <c r="C1093">
        <v>155.4</v>
      </c>
      <c r="D1093">
        <v>1.0441</v>
      </c>
      <c r="E1093">
        <v>30.16</v>
      </c>
      <c r="F1093">
        <v>69.95</v>
      </c>
      <c r="K1093" s="3"/>
      <c r="O1093" s="3"/>
    </row>
    <row r="1094" spans="1:15">
      <c r="A1094" s="3">
        <v>37618</v>
      </c>
      <c r="B1094" s="3">
        <v>37618</v>
      </c>
      <c r="C1094">
        <v>155.4</v>
      </c>
      <c r="D1094">
        <v>1.0441</v>
      </c>
      <c r="E1094">
        <v>30.16</v>
      </c>
      <c r="F1094">
        <v>69.95</v>
      </c>
      <c r="K1094" s="3"/>
      <c r="O1094" s="3"/>
    </row>
    <row r="1095" spans="1:15">
      <c r="A1095" s="3">
        <v>37619</v>
      </c>
      <c r="B1095" s="3">
        <v>37619</v>
      </c>
      <c r="C1095">
        <v>155.4</v>
      </c>
      <c r="D1095">
        <v>1.0441</v>
      </c>
      <c r="E1095">
        <v>30.16</v>
      </c>
      <c r="F1095">
        <v>69.95</v>
      </c>
      <c r="K1095" s="3"/>
      <c r="O1095" s="3"/>
    </row>
    <row r="1096" spans="1:15">
      <c r="A1096" s="3">
        <v>37620</v>
      </c>
      <c r="B1096" s="3">
        <v>37620</v>
      </c>
      <c r="C1096">
        <v>155.6</v>
      </c>
      <c r="D1096">
        <v>1.0479000000000001</v>
      </c>
      <c r="E1096">
        <v>29.66</v>
      </c>
      <c r="F1096">
        <v>70.400000000000006</v>
      </c>
      <c r="K1096" s="3"/>
      <c r="O1096" s="3"/>
    </row>
    <row r="1097" spans="1:15">
      <c r="A1097" s="3">
        <v>37621</v>
      </c>
      <c r="B1097" s="3">
        <v>37621</v>
      </c>
      <c r="C1097">
        <v>155.6</v>
      </c>
      <c r="D1097">
        <v>1.0491999999999999</v>
      </c>
      <c r="E1097">
        <v>28.66</v>
      </c>
      <c r="F1097">
        <v>70.25</v>
      </c>
      <c r="K1097" s="3"/>
      <c r="O1097" s="3"/>
    </row>
    <row r="1098" spans="1:15">
      <c r="A1098" s="3">
        <v>37622</v>
      </c>
      <c r="B1098" s="3">
        <v>37622</v>
      </c>
      <c r="C1098">
        <v>155.6</v>
      </c>
      <c r="D1098">
        <v>1.0491999999999999</v>
      </c>
      <c r="E1098">
        <v>28.66</v>
      </c>
      <c r="F1098">
        <v>70.25</v>
      </c>
      <c r="K1098" s="3"/>
      <c r="O1098" s="3"/>
    </row>
    <row r="1099" spans="1:15">
      <c r="A1099" s="3">
        <v>37623</v>
      </c>
      <c r="B1099" s="3">
        <v>37623</v>
      </c>
      <c r="C1099">
        <v>155.6</v>
      </c>
      <c r="D1099">
        <v>1.0362</v>
      </c>
      <c r="E1099">
        <v>29.43</v>
      </c>
      <c r="F1099">
        <v>71.8</v>
      </c>
      <c r="K1099" s="3"/>
      <c r="O1099" s="3"/>
    </row>
    <row r="1100" spans="1:15">
      <c r="A1100" s="3">
        <v>37624</v>
      </c>
      <c r="B1100" s="3">
        <v>37624</v>
      </c>
      <c r="C1100">
        <v>155.6</v>
      </c>
      <c r="D1100">
        <v>1.0427999999999999</v>
      </c>
      <c r="E1100">
        <v>30.77</v>
      </c>
      <c r="F1100">
        <v>73.150000000000006</v>
      </c>
      <c r="K1100" s="3"/>
      <c r="O1100" s="3"/>
    </row>
    <row r="1101" spans="1:15">
      <c r="A1101" s="3">
        <v>37625</v>
      </c>
      <c r="B1101" s="3">
        <v>37625</v>
      </c>
      <c r="C1101">
        <v>155.6</v>
      </c>
      <c r="D1101">
        <v>1.0427999999999999</v>
      </c>
      <c r="E1101">
        <v>30.77</v>
      </c>
      <c r="F1101">
        <v>73.150000000000006</v>
      </c>
      <c r="K1101" s="3"/>
      <c r="O1101" s="3"/>
    </row>
    <row r="1102" spans="1:15">
      <c r="A1102" s="3">
        <v>37626</v>
      </c>
      <c r="B1102" s="3">
        <v>37626</v>
      </c>
      <c r="C1102">
        <v>155.6</v>
      </c>
      <c r="D1102">
        <v>1.0427999999999999</v>
      </c>
      <c r="E1102">
        <v>30.77</v>
      </c>
      <c r="F1102">
        <v>73.150000000000006</v>
      </c>
      <c r="K1102" s="3"/>
      <c r="O1102" s="3"/>
    </row>
    <row r="1103" spans="1:15">
      <c r="A1103" s="3">
        <v>37627</v>
      </c>
      <c r="B1103" s="3">
        <v>37627</v>
      </c>
      <c r="C1103">
        <v>155.6</v>
      </c>
      <c r="D1103">
        <v>1.0456000000000001</v>
      </c>
      <c r="E1103">
        <v>30.2</v>
      </c>
      <c r="F1103">
        <v>73.900000000000006</v>
      </c>
      <c r="K1103" s="3"/>
      <c r="O1103" s="3"/>
    </row>
    <row r="1104" spans="1:15">
      <c r="A1104" s="3">
        <v>37628</v>
      </c>
      <c r="B1104" s="3">
        <v>37628</v>
      </c>
      <c r="C1104">
        <v>155.6</v>
      </c>
      <c r="D1104">
        <v>1.0408999999999999</v>
      </c>
      <c r="E1104">
        <v>29.33</v>
      </c>
      <c r="F1104">
        <v>73.599999999999994</v>
      </c>
      <c r="K1104" s="3"/>
      <c r="O1104" s="3"/>
    </row>
    <row r="1105" spans="1:15">
      <c r="A1105" s="3">
        <v>37629</v>
      </c>
      <c r="B1105" s="3">
        <v>37629</v>
      </c>
      <c r="C1105">
        <v>155.75</v>
      </c>
      <c r="D1105">
        <v>1.0499000000000001</v>
      </c>
      <c r="E1105">
        <v>28.79</v>
      </c>
      <c r="F1105">
        <v>74.650000000000006</v>
      </c>
      <c r="K1105" s="3"/>
      <c r="O1105" s="3"/>
    </row>
    <row r="1106" spans="1:15">
      <c r="A1106" s="3">
        <v>37630</v>
      </c>
      <c r="B1106" s="3">
        <v>37630</v>
      </c>
      <c r="C1106">
        <v>155.75</v>
      </c>
      <c r="D1106">
        <v>1.0485</v>
      </c>
      <c r="E1106">
        <v>29.64</v>
      </c>
      <c r="F1106">
        <v>75.05</v>
      </c>
      <c r="K1106" s="3"/>
      <c r="O1106" s="3"/>
    </row>
    <row r="1107" spans="1:15">
      <c r="A1107" s="3">
        <v>37631</v>
      </c>
      <c r="B1107" s="3">
        <v>37631</v>
      </c>
      <c r="C1107">
        <v>155.75</v>
      </c>
      <c r="D1107">
        <v>1.0576000000000001</v>
      </c>
      <c r="E1107">
        <v>29.67</v>
      </c>
      <c r="F1107">
        <v>74.45</v>
      </c>
      <c r="K1107" s="3"/>
      <c r="O1107" s="3"/>
    </row>
    <row r="1108" spans="1:15">
      <c r="A1108" s="3">
        <v>37632</v>
      </c>
      <c r="B1108" s="3">
        <v>37632</v>
      </c>
      <c r="C1108">
        <v>155.75</v>
      </c>
      <c r="D1108">
        <v>1.0576000000000001</v>
      </c>
      <c r="E1108">
        <v>29.67</v>
      </c>
      <c r="F1108">
        <v>74.45</v>
      </c>
      <c r="K1108" s="3"/>
      <c r="O1108" s="3"/>
    </row>
    <row r="1109" spans="1:15">
      <c r="A1109" s="3">
        <v>37633</v>
      </c>
      <c r="B1109" s="3">
        <v>37633</v>
      </c>
      <c r="C1109">
        <v>155.75</v>
      </c>
      <c r="D1109">
        <v>1.0576000000000001</v>
      </c>
      <c r="E1109">
        <v>29.67</v>
      </c>
      <c r="F1109">
        <v>74.45</v>
      </c>
      <c r="K1109" s="3"/>
      <c r="O1109" s="3"/>
    </row>
    <row r="1110" spans="1:15">
      <c r="A1110" s="3">
        <v>37634</v>
      </c>
      <c r="B1110" s="3">
        <v>37634</v>
      </c>
      <c r="C1110">
        <v>155.75</v>
      </c>
      <c r="D1110">
        <v>1.054</v>
      </c>
      <c r="E1110">
        <v>30.2</v>
      </c>
      <c r="F1110">
        <v>75.25</v>
      </c>
      <c r="K1110" s="3"/>
      <c r="O1110" s="3"/>
    </row>
    <row r="1111" spans="1:15">
      <c r="A1111" s="3">
        <v>37635</v>
      </c>
      <c r="B1111" s="3">
        <v>37635</v>
      </c>
      <c r="C1111">
        <v>155.75</v>
      </c>
      <c r="D1111">
        <v>1.0551999999999999</v>
      </c>
      <c r="E1111">
        <v>30.61</v>
      </c>
      <c r="F1111">
        <v>76</v>
      </c>
      <c r="K1111" s="3"/>
      <c r="O1111" s="3"/>
    </row>
    <row r="1112" spans="1:15">
      <c r="A1112" s="3">
        <v>37636</v>
      </c>
      <c r="B1112" s="3">
        <v>37636</v>
      </c>
      <c r="C1112">
        <v>155.75</v>
      </c>
      <c r="D1112">
        <v>1.0559000000000001</v>
      </c>
      <c r="E1112">
        <v>31.22</v>
      </c>
      <c r="F1112">
        <v>76.5</v>
      </c>
      <c r="K1112" s="3"/>
      <c r="O1112" s="3"/>
    </row>
    <row r="1113" spans="1:15">
      <c r="A1113" s="3">
        <v>37637</v>
      </c>
      <c r="B1113" s="3">
        <v>37637</v>
      </c>
      <c r="C1113">
        <v>155.75</v>
      </c>
      <c r="D1113">
        <v>1.0619000000000001</v>
      </c>
      <c r="E1113">
        <v>31.66</v>
      </c>
      <c r="F1113">
        <v>76.099999999999994</v>
      </c>
      <c r="K1113" s="3"/>
      <c r="O1113" s="3"/>
    </row>
    <row r="1114" spans="1:15">
      <c r="A1114" s="3">
        <v>37638</v>
      </c>
      <c r="B1114" s="3">
        <v>37638</v>
      </c>
      <c r="C1114">
        <v>155.75</v>
      </c>
      <c r="D1114">
        <v>1.0678000000000001</v>
      </c>
      <c r="E1114">
        <v>30.54</v>
      </c>
      <c r="F1114">
        <v>75.8</v>
      </c>
      <c r="K1114" s="3"/>
      <c r="O1114" s="3"/>
    </row>
    <row r="1115" spans="1:15">
      <c r="A1115" s="3">
        <v>37639</v>
      </c>
      <c r="B1115" s="3">
        <v>37639</v>
      </c>
      <c r="C1115">
        <v>155.75</v>
      </c>
      <c r="D1115">
        <v>1.0678000000000001</v>
      </c>
      <c r="E1115">
        <v>30.54</v>
      </c>
      <c r="F1115">
        <v>75.8</v>
      </c>
      <c r="K1115" s="3"/>
      <c r="O1115" s="3"/>
    </row>
    <row r="1116" spans="1:15">
      <c r="A1116" s="3">
        <v>37640</v>
      </c>
      <c r="B1116" s="3">
        <v>37640</v>
      </c>
      <c r="C1116">
        <v>155.75</v>
      </c>
      <c r="D1116">
        <v>1.0678000000000001</v>
      </c>
      <c r="E1116">
        <v>30.54</v>
      </c>
      <c r="F1116">
        <v>75.8</v>
      </c>
      <c r="K1116" s="3"/>
      <c r="O1116" s="3"/>
    </row>
    <row r="1117" spans="1:15">
      <c r="A1117" s="3">
        <v>37641</v>
      </c>
      <c r="B1117" s="3">
        <v>37641</v>
      </c>
      <c r="C1117">
        <v>155.75</v>
      </c>
      <c r="D1117">
        <v>1.0684</v>
      </c>
      <c r="E1117">
        <v>30.65</v>
      </c>
      <c r="F1117">
        <v>75.8</v>
      </c>
      <c r="K1117" s="3"/>
      <c r="O1117" s="3"/>
    </row>
    <row r="1118" spans="1:15">
      <c r="A1118" s="3">
        <v>37642</v>
      </c>
      <c r="B1118" s="3">
        <v>37642</v>
      </c>
      <c r="C1118">
        <v>155.4</v>
      </c>
      <c r="D1118">
        <v>1.0721000000000001</v>
      </c>
      <c r="E1118">
        <v>30.74</v>
      </c>
      <c r="F1118">
        <v>76.900000000000006</v>
      </c>
      <c r="K1118" s="3"/>
      <c r="O1118" s="3"/>
    </row>
    <row r="1119" spans="1:15">
      <c r="A1119" s="3">
        <v>37643</v>
      </c>
      <c r="B1119" s="3">
        <v>37643</v>
      </c>
      <c r="C1119">
        <v>155.4</v>
      </c>
      <c r="D1119">
        <v>1.0731999999999999</v>
      </c>
      <c r="E1119">
        <v>30.34</v>
      </c>
      <c r="F1119">
        <v>77.3</v>
      </c>
      <c r="K1119" s="3"/>
      <c r="O1119" s="3"/>
    </row>
    <row r="1120" spans="1:15">
      <c r="A1120" s="3">
        <v>37644</v>
      </c>
      <c r="B1120" s="3">
        <v>37644</v>
      </c>
      <c r="C1120">
        <v>155.4</v>
      </c>
      <c r="D1120">
        <v>1.0745</v>
      </c>
      <c r="E1120">
        <v>29.72</v>
      </c>
      <c r="F1120">
        <v>77</v>
      </c>
      <c r="K1120" s="3"/>
      <c r="O1120" s="3"/>
    </row>
    <row r="1121" spans="1:15">
      <c r="A1121" s="3">
        <v>37645</v>
      </c>
      <c r="B1121" s="3">
        <v>37645</v>
      </c>
      <c r="C1121">
        <v>155.4</v>
      </c>
      <c r="D1121">
        <v>1.0827</v>
      </c>
      <c r="E1121">
        <v>30.49</v>
      </c>
      <c r="F1121">
        <v>76.849999999999994</v>
      </c>
      <c r="K1121" s="3"/>
      <c r="O1121" s="3"/>
    </row>
    <row r="1122" spans="1:15">
      <c r="A1122" s="3">
        <v>37646</v>
      </c>
      <c r="B1122" s="3">
        <v>37646</v>
      </c>
      <c r="C1122">
        <v>155.4</v>
      </c>
      <c r="D1122">
        <v>1.0827</v>
      </c>
      <c r="E1122">
        <v>30.49</v>
      </c>
      <c r="F1122">
        <v>76.849999999999994</v>
      </c>
      <c r="K1122" s="3"/>
      <c r="O1122" s="3"/>
    </row>
    <row r="1123" spans="1:15">
      <c r="A1123" s="3">
        <v>37647</v>
      </c>
      <c r="B1123" s="3">
        <v>37647</v>
      </c>
      <c r="C1123">
        <v>155.4</v>
      </c>
      <c r="D1123">
        <v>1.0827</v>
      </c>
      <c r="E1123">
        <v>30.49</v>
      </c>
      <c r="F1123">
        <v>76.849999999999994</v>
      </c>
      <c r="K1123" s="3"/>
      <c r="O1123" s="3"/>
    </row>
    <row r="1124" spans="1:15">
      <c r="A1124" s="3">
        <v>37648</v>
      </c>
      <c r="B1124" s="3">
        <v>37648</v>
      </c>
      <c r="C1124">
        <v>155.19999999999999</v>
      </c>
      <c r="D1124">
        <v>1.0852999999999999</v>
      </c>
      <c r="E1124">
        <v>29.86</v>
      </c>
      <c r="F1124">
        <v>76</v>
      </c>
      <c r="K1124" s="3"/>
      <c r="O1124" s="3"/>
    </row>
    <row r="1125" spans="1:15">
      <c r="A1125" s="3">
        <v>37649</v>
      </c>
      <c r="B1125" s="3">
        <v>37649</v>
      </c>
      <c r="C1125">
        <v>155.19999999999999</v>
      </c>
      <c r="D1125">
        <v>1.0818000000000001</v>
      </c>
      <c r="E1125">
        <v>30.27</v>
      </c>
      <c r="F1125">
        <v>75.7</v>
      </c>
      <c r="K1125" s="3"/>
      <c r="O1125" s="3"/>
    </row>
    <row r="1126" spans="1:15">
      <c r="A1126" s="3">
        <v>37650</v>
      </c>
      <c r="B1126" s="3">
        <v>37650</v>
      </c>
      <c r="C1126">
        <v>155.19999999999999</v>
      </c>
      <c r="D1126">
        <v>1.0838000000000001</v>
      </c>
      <c r="E1126">
        <v>31.02</v>
      </c>
      <c r="F1126">
        <v>76.5</v>
      </c>
      <c r="K1126" s="3"/>
      <c r="O1126" s="3"/>
    </row>
    <row r="1127" spans="1:15">
      <c r="A1127" s="3">
        <v>37651</v>
      </c>
      <c r="B1127" s="3">
        <v>37651</v>
      </c>
      <c r="C1127">
        <v>154.32</v>
      </c>
      <c r="D1127">
        <v>1.0823</v>
      </c>
      <c r="E1127">
        <v>31.21</v>
      </c>
      <c r="F1127">
        <v>79.05</v>
      </c>
      <c r="K1127" s="3"/>
      <c r="O1127" s="3"/>
    </row>
    <row r="1128" spans="1:15">
      <c r="A1128" s="3">
        <v>37652</v>
      </c>
      <c r="B1128" s="3">
        <v>37652</v>
      </c>
      <c r="C1128">
        <v>154.32</v>
      </c>
      <c r="D1128">
        <v>1.0768</v>
      </c>
      <c r="E1128">
        <v>31.1</v>
      </c>
      <c r="F1128">
        <v>79.45</v>
      </c>
      <c r="K1128" s="3"/>
      <c r="O1128" s="3"/>
    </row>
    <row r="1129" spans="1:15">
      <c r="A1129" s="3">
        <v>37653</v>
      </c>
      <c r="B1129" s="3">
        <v>37653</v>
      </c>
      <c r="C1129">
        <v>154.32</v>
      </c>
      <c r="D1129">
        <v>1.0768</v>
      </c>
      <c r="E1129">
        <v>31.1</v>
      </c>
      <c r="F1129">
        <v>79.45</v>
      </c>
      <c r="K1129" s="3"/>
      <c r="O1129" s="3"/>
    </row>
    <row r="1130" spans="1:15">
      <c r="A1130" s="3">
        <v>37654</v>
      </c>
      <c r="B1130" s="3">
        <v>37654</v>
      </c>
      <c r="C1130">
        <v>154.32</v>
      </c>
      <c r="D1130">
        <v>1.0768</v>
      </c>
      <c r="E1130">
        <v>31.1</v>
      </c>
      <c r="F1130">
        <v>79.45</v>
      </c>
      <c r="K1130" s="3"/>
      <c r="O1130" s="3"/>
    </row>
    <row r="1131" spans="1:15">
      <c r="A1131" s="3">
        <v>37655</v>
      </c>
      <c r="B1131" s="3">
        <v>37655</v>
      </c>
      <c r="C1131">
        <v>154.32</v>
      </c>
      <c r="D1131">
        <v>1.0794999999999999</v>
      </c>
      <c r="E1131">
        <v>30.25</v>
      </c>
      <c r="F1131">
        <v>78.900000000000006</v>
      </c>
      <c r="K1131" s="3"/>
      <c r="O1131" s="3"/>
    </row>
    <row r="1132" spans="1:15">
      <c r="A1132" s="3">
        <v>37656</v>
      </c>
      <c r="B1132" s="3">
        <v>37656</v>
      </c>
      <c r="C1132">
        <v>154.32</v>
      </c>
      <c r="D1132">
        <v>1.0884</v>
      </c>
      <c r="E1132">
        <v>31.09</v>
      </c>
      <c r="F1132">
        <v>77.95</v>
      </c>
      <c r="K1132" s="3"/>
      <c r="O1132" s="3"/>
    </row>
    <row r="1133" spans="1:15">
      <c r="A1133" s="3">
        <v>37657</v>
      </c>
      <c r="B1133" s="3">
        <v>37657</v>
      </c>
      <c r="C1133">
        <v>153.84</v>
      </c>
      <c r="D1133">
        <v>1.0785</v>
      </c>
      <c r="E1133">
        <v>31.36</v>
      </c>
      <c r="F1133">
        <v>77.900000000000006</v>
      </c>
      <c r="K1133" s="3"/>
      <c r="O1133" s="3"/>
    </row>
    <row r="1134" spans="1:15">
      <c r="A1134" s="3">
        <v>37658</v>
      </c>
      <c r="B1134" s="3">
        <v>37658</v>
      </c>
      <c r="C1134">
        <v>153.84</v>
      </c>
      <c r="D1134">
        <v>1.0831999999999999</v>
      </c>
      <c r="E1134">
        <v>31.44</v>
      </c>
      <c r="F1134">
        <v>76.8</v>
      </c>
      <c r="K1134" s="3"/>
      <c r="O1134" s="3"/>
    </row>
    <row r="1135" spans="1:15">
      <c r="A1135" s="3">
        <v>37659</v>
      </c>
      <c r="B1135" s="3">
        <v>37659</v>
      </c>
      <c r="C1135">
        <v>153.84</v>
      </c>
      <c r="D1135">
        <v>1.0821000000000001</v>
      </c>
      <c r="E1135">
        <v>32.340000000000003</v>
      </c>
      <c r="F1135">
        <v>76.349999999999994</v>
      </c>
      <c r="K1135" s="3"/>
      <c r="O1135" s="3"/>
    </row>
    <row r="1136" spans="1:15">
      <c r="A1136" s="3">
        <v>37660</v>
      </c>
      <c r="B1136" s="3">
        <v>37660</v>
      </c>
      <c r="C1136">
        <v>153.84</v>
      </c>
      <c r="D1136">
        <v>1.0821000000000001</v>
      </c>
      <c r="E1136">
        <v>32.340000000000003</v>
      </c>
      <c r="F1136">
        <v>76.349999999999994</v>
      </c>
      <c r="K1136" s="3"/>
      <c r="O1136" s="3"/>
    </row>
    <row r="1137" spans="1:15">
      <c r="A1137" s="3">
        <v>37661</v>
      </c>
      <c r="B1137" s="3">
        <v>37661</v>
      </c>
      <c r="C1137">
        <v>153.84</v>
      </c>
      <c r="D1137">
        <v>1.0821000000000001</v>
      </c>
      <c r="E1137">
        <v>32.340000000000003</v>
      </c>
      <c r="F1137">
        <v>76.349999999999994</v>
      </c>
      <c r="K1137" s="3"/>
      <c r="O1137" s="3"/>
    </row>
    <row r="1138" spans="1:15">
      <c r="A1138" s="3">
        <v>37662</v>
      </c>
      <c r="B1138" s="3">
        <v>37662</v>
      </c>
      <c r="C1138">
        <v>153.26</v>
      </c>
      <c r="D1138">
        <v>1.0718000000000001</v>
      </c>
      <c r="E1138">
        <v>31.7</v>
      </c>
      <c r="F1138">
        <v>77.55</v>
      </c>
      <c r="K1138" s="3"/>
      <c r="O1138" s="3"/>
    </row>
    <row r="1139" spans="1:15">
      <c r="A1139" s="3">
        <v>37663</v>
      </c>
      <c r="B1139" s="3">
        <v>37663</v>
      </c>
      <c r="C1139">
        <v>153.26</v>
      </c>
      <c r="D1139">
        <v>1.0734999999999999</v>
      </c>
      <c r="E1139">
        <v>32.369999999999997</v>
      </c>
      <c r="F1139">
        <v>77.55</v>
      </c>
      <c r="K1139" s="3"/>
      <c r="O1139" s="3"/>
    </row>
    <row r="1140" spans="1:15">
      <c r="A1140" s="3">
        <v>37664</v>
      </c>
      <c r="B1140" s="3">
        <v>37664</v>
      </c>
      <c r="C1140">
        <v>153.26</v>
      </c>
      <c r="D1140">
        <v>1.0713999999999999</v>
      </c>
      <c r="E1140">
        <v>32.450000000000003</v>
      </c>
      <c r="F1140">
        <v>77.099999999999994</v>
      </c>
      <c r="K1140" s="3"/>
      <c r="O1140" s="3"/>
    </row>
    <row r="1141" spans="1:15">
      <c r="A1141" s="3">
        <v>37665</v>
      </c>
      <c r="B1141" s="3">
        <v>37665</v>
      </c>
      <c r="C1141">
        <v>153.02000000000001</v>
      </c>
      <c r="D1141">
        <v>1.0831999999999999</v>
      </c>
      <c r="E1141">
        <v>33.06</v>
      </c>
      <c r="F1141">
        <v>75</v>
      </c>
      <c r="K1141" s="3"/>
      <c r="O1141" s="3"/>
    </row>
    <row r="1142" spans="1:15">
      <c r="A1142" s="3">
        <v>37666</v>
      </c>
      <c r="B1142" s="3">
        <v>37666</v>
      </c>
      <c r="C1142">
        <v>153.02000000000001</v>
      </c>
      <c r="D1142">
        <v>1.0792999999999999</v>
      </c>
      <c r="E1142">
        <v>32.5</v>
      </c>
      <c r="F1142">
        <v>75.55</v>
      </c>
      <c r="K1142" s="3"/>
      <c r="O1142" s="3"/>
    </row>
    <row r="1143" spans="1:15">
      <c r="A1143" s="3">
        <v>37667</v>
      </c>
      <c r="B1143" s="3">
        <v>37667</v>
      </c>
      <c r="C1143">
        <v>153.02000000000001</v>
      </c>
      <c r="D1143">
        <v>1.0792999999999999</v>
      </c>
      <c r="E1143">
        <v>32.5</v>
      </c>
      <c r="F1143">
        <v>75.55</v>
      </c>
      <c r="K1143" s="3"/>
      <c r="O1143" s="3"/>
    </row>
    <row r="1144" spans="1:15">
      <c r="A1144" s="3">
        <v>37668</v>
      </c>
      <c r="B1144" s="3">
        <v>37668</v>
      </c>
      <c r="C1144">
        <v>153.02000000000001</v>
      </c>
      <c r="D1144">
        <v>1.0792999999999999</v>
      </c>
      <c r="E1144">
        <v>32.5</v>
      </c>
      <c r="F1144">
        <v>75.55</v>
      </c>
      <c r="K1144" s="3"/>
      <c r="O1144" s="3"/>
    </row>
    <row r="1145" spans="1:15">
      <c r="A1145" s="3">
        <v>37669</v>
      </c>
      <c r="B1145" s="3">
        <v>37669</v>
      </c>
      <c r="C1145">
        <v>153.02000000000001</v>
      </c>
      <c r="D1145">
        <v>1.0721000000000001</v>
      </c>
      <c r="E1145">
        <v>31.92</v>
      </c>
      <c r="F1145">
        <v>75.55</v>
      </c>
      <c r="K1145" s="3"/>
      <c r="O1145" s="3"/>
    </row>
    <row r="1146" spans="1:15">
      <c r="A1146" s="3">
        <v>37670</v>
      </c>
      <c r="B1146" s="3">
        <v>37670</v>
      </c>
      <c r="C1146">
        <v>153.02000000000001</v>
      </c>
      <c r="D1146">
        <v>1.0688</v>
      </c>
      <c r="E1146">
        <v>32.54</v>
      </c>
      <c r="F1146">
        <v>74</v>
      </c>
      <c r="K1146" s="3"/>
      <c r="O1146" s="3"/>
    </row>
    <row r="1147" spans="1:15">
      <c r="A1147" s="3">
        <v>37671</v>
      </c>
      <c r="B1147" s="3">
        <v>37671</v>
      </c>
      <c r="C1147">
        <v>151.82</v>
      </c>
      <c r="D1147">
        <v>1.0748</v>
      </c>
      <c r="E1147">
        <v>32.33</v>
      </c>
      <c r="F1147">
        <v>74.599999999999994</v>
      </c>
      <c r="K1147" s="3"/>
      <c r="O1147" s="3"/>
    </row>
    <row r="1148" spans="1:15">
      <c r="A1148" s="3">
        <v>37672</v>
      </c>
      <c r="B1148" s="3">
        <v>37672</v>
      </c>
      <c r="C1148">
        <v>151.82</v>
      </c>
      <c r="D1148">
        <v>1.0821000000000001</v>
      </c>
      <c r="E1148">
        <v>31.56</v>
      </c>
      <c r="F1148">
        <v>75.2</v>
      </c>
      <c r="K1148" s="3"/>
      <c r="O1148" s="3"/>
    </row>
    <row r="1149" spans="1:15">
      <c r="A1149" s="3">
        <v>37673</v>
      </c>
      <c r="B1149" s="3">
        <v>37673</v>
      </c>
      <c r="C1149">
        <v>151.82</v>
      </c>
      <c r="D1149">
        <v>1.0771999999999999</v>
      </c>
      <c r="E1149">
        <v>32.270000000000003</v>
      </c>
      <c r="F1149">
        <v>77.75</v>
      </c>
      <c r="K1149" s="3"/>
      <c r="O1149" s="3"/>
    </row>
    <row r="1150" spans="1:15">
      <c r="A1150" s="3">
        <v>37674</v>
      </c>
      <c r="B1150" s="3">
        <v>37674</v>
      </c>
      <c r="C1150">
        <v>151.82</v>
      </c>
      <c r="D1150">
        <v>1.0771999999999999</v>
      </c>
      <c r="E1150">
        <v>32.270000000000003</v>
      </c>
      <c r="F1150">
        <v>77.75</v>
      </c>
      <c r="K1150" s="3"/>
      <c r="O1150" s="3"/>
    </row>
    <row r="1151" spans="1:15">
      <c r="A1151" s="3">
        <v>37675</v>
      </c>
      <c r="B1151" s="3">
        <v>37675</v>
      </c>
      <c r="C1151">
        <v>151.82</v>
      </c>
      <c r="D1151">
        <v>1.0771999999999999</v>
      </c>
      <c r="E1151">
        <v>32.270000000000003</v>
      </c>
      <c r="F1151">
        <v>77.75</v>
      </c>
      <c r="K1151" s="3"/>
      <c r="O1151" s="3"/>
    </row>
    <row r="1152" spans="1:15">
      <c r="A1152" s="3">
        <v>37676</v>
      </c>
      <c r="B1152" s="3">
        <v>37676</v>
      </c>
      <c r="C1152">
        <v>151.78</v>
      </c>
      <c r="D1152">
        <v>1.08</v>
      </c>
      <c r="E1152">
        <v>33.15</v>
      </c>
      <c r="F1152">
        <v>78.650000000000006</v>
      </c>
      <c r="K1152" s="3"/>
      <c r="O1152" s="3"/>
    </row>
    <row r="1153" spans="1:15">
      <c r="A1153" s="3">
        <v>37677</v>
      </c>
      <c r="B1153" s="3">
        <v>37677</v>
      </c>
      <c r="C1153">
        <v>151.78</v>
      </c>
      <c r="D1153">
        <v>1.0759000000000001</v>
      </c>
      <c r="E1153">
        <v>32.32</v>
      </c>
      <c r="F1153">
        <v>77.95</v>
      </c>
      <c r="K1153" s="3"/>
      <c r="O1153" s="3"/>
    </row>
    <row r="1154" spans="1:15">
      <c r="A1154" s="3">
        <v>37678</v>
      </c>
      <c r="B1154" s="3">
        <v>37678</v>
      </c>
      <c r="C1154">
        <v>151.78</v>
      </c>
      <c r="D1154">
        <v>1.0790999999999999</v>
      </c>
      <c r="E1154">
        <v>33.07</v>
      </c>
      <c r="F1154">
        <v>79.599999999999994</v>
      </c>
      <c r="K1154" s="3"/>
      <c r="O1154" s="3"/>
    </row>
    <row r="1155" spans="1:15">
      <c r="A1155" s="3">
        <v>37679</v>
      </c>
      <c r="B1155" s="3">
        <v>37679</v>
      </c>
      <c r="C1155">
        <v>151.78</v>
      </c>
      <c r="D1155">
        <v>1.0745</v>
      </c>
      <c r="E1155">
        <v>33.04</v>
      </c>
      <c r="F1155">
        <v>78.8</v>
      </c>
      <c r="K1155" s="3"/>
      <c r="O1155" s="3"/>
    </row>
    <row r="1156" spans="1:15">
      <c r="A1156" s="3">
        <v>37680</v>
      </c>
      <c r="B1156" s="3">
        <v>37680</v>
      </c>
      <c r="C1156">
        <v>151.03</v>
      </c>
      <c r="D1156">
        <v>1.0807</v>
      </c>
      <c r="E1156">
        <v>32.79</v>
      </c>
      <c r="F1156">
        <v>77.5</v>
      </c>
      <c r="K1156" s="3"/>
      <c r="O1156" s="3"/>
    </row>
    <row r="1157" spans="1:15">
      <c r="A1157" s="3">
        <v>37681</v>
      </c>
      <c r="B1157" s="3">
        <v>37681</v>
      </c>
      <c r="C1157">
        <v>151.03</v>
      </c>
      <c r="D1157">
        <v>1.0807</v>
      </c>
      <c r="E1157">
        <v>32.79</v>
      </c>
      <c r="F1157">
        <v>77.5</v>
      </c>
      <c r="K1157" s="3"/>
      <c r="O1157" s="3"/>
    </row>
    <row r="1158" spans="1:15">
      <c r="A1158" s="3">
        <v>37682</v>
      </c>
      <c r="B1158" s="3">
        <v>37682</v>
      </c>
      <c r="C1158">
        <v>151.03</v>
      </c>
      <c r="D1158">
        <v>1.0807</v>
      </c>
      <c r="E1158">
        <v>32.79</v>
      </c>
      <c r="F1158">
        <v>77.5</v>
      </c>
      <c r="K1158" s="3"/>
      <c r="O1158" s="3"/>
    </row>
    <row r="1159" spans="1:15">
      <c r="A1159" s="3">
        <v>37683</v>
      </c>
      <c r="B1159" s="3">
        <v>37683</v>
      </c>
      <c r="C1159">
        <v>150.5</v>
      </c>
      <c r="D1159">
        <v>1.0891</v>
      </c>
      <c r="E1159">
        <v>32.479999999999997</v>
      </c>
      <c r="F1159">
        <v>78.75</v>
      </c>
      <c r="K1159" s="3"/>
      <c r="O1159" s="3"/>
    </row>
    <row r="1160" spans="1:15">
      <c r="A1160" s="3">
        <v>37684</v>
      </c>
      <c r="B1160" s="3">
        <v>37684</v>
      </c>
      <c r="C1160">
        <v>150.5</v>
      </c>
      <c r="D1160">
        <v>1.0925</v>
      </c>
      <c r="E1160">
        <v>33.090000000000003</v>
      </c>
      <c r="F1160">
        <v>77.7</v>
      </c>
      <c r="K1160" s="3"/>
      <c r="O1160" s="3"/>
    </row>
    <row r="1161" spans="1:15">
      <c r="A1161" s="3">
        <v>37685</v>
      </c>
      <c r="B1161" s="3">
        <v>37685</v>
      </c>
      <c r="C1161">
        <v>150.5</v>
      </c>
      <c r="D1161">
        <v>1.0971</v>
      </c>
      <c r="E1161">
        <v>33</v>
      </c>
      <c r="F1161">
        <v>76.05</v>
      </c>
      <c r="K1161" s="3"/>
      <c r="O1161" s="3"/>
    </row>
    <row r="1162" spans="1:15">
      <c r="A1162" s="3">
        <v>37686</v>
      </c>
      <c r="B1162" s="3">
        <v>37686</v>
      </c>
      <c r="C1162">
        <v>150.5</v>
      </c>
      <c r="D1162">
        <v>1.0969</v>
      </c>
      <c r="E1162">
        <v>33.53</v>
      </c>
      <c r="F1162">
        <v>75.150000000000006</v>
      </c>
      <c r="K1162" s="3"/>
      <c r="O1162" s="3"/>
    </row>
    <row r="1163" spans="1:15">
      <c r="A1163" s="3">
        <v>37687</v>
      </c>
      <c r="B1163" s="3">
        <v>37687</v>
      </c>
      <c r="C1163">
        <v>150.5</v>
      </c>
      <c r="D1163">
        <v>1.1008</v>
      </c>
      <c r="E1163">
        <v>34.1</v>
      </c>
      <c r="F1163">
        <v>76.650000000000006</v>
      </c>
      <c r="K1163" s="3"/>
      <c r="O1163" s="3"/>
    </row>
    <row r="1164" spans="1:15">
      <c r="A1164" s="3">
        <v>37688</v>
      </c>
      <c r="B1164" s="3">
        <v>37688</v>
      </c>
      <c r="C1164">
        <v>150.5</v>
      </c>
      <c r="D1164">
        <v>1.1008</v>
      </c>
      <c r="E1164">
        <v>34.1</v>
      </c>
      <c r="F1164">
        <v>76.650000000000006</v>
      </c>
      <c r="K1164" s="3"/>
      <c r="O1164" s="3"/>
    </row>
    <row r="1165" spans="1:15">
      <c r="A1165" s="3">
        <v>37689</v>
      </c>
      <c r="B1165" s="3">
        <v>37689</v>
      </c>
      <c r="C1165">
        <v>150.5</v>
      </c>
      <c r="D1165">
        <v>1.1008</v>
      </c>
      <c r="E1165">
        <v>34.1</v>
      </c>
      <c r="F1165">
        <v>76.650000000000006</v>
      </c>
      <c r="K1165" s="3"/>
      <c r="O1165" s="3"/>
    </row>
    <row r="1166" spans="1:15">
      <c r="A1166" s="3">
        <v>37690</v>
      </c>
      <c r="B1166" s="3">
        <v>37690</v>
      </c>
      <c r="C1166">
        <v>150.75</v>
      </c>
      <c r="D1166">
        <v>1.1053999999999999</v>
      </c>
      <c r="E1166">
        <v>33.69</v>
      </c>
      <c r="F1166">
        <v>75.25</v>
      </c>
      <c r="K1166" s="3"/>
      <c r="O1166" s="3"/>
    </row>
    <row r="1167" spans="1:15">
      <c r="A1167" s="3">
        <v>37691</v>
      </c>
      <c r="B1167" s="3">
        <v>37691</v>
      </c>
      <c r="C1167">
        <v>150.75</v>
      </c>
      <c r="D1167">
        <v>1.1045</v>
      </c>
      <c r="E1167">
        <v>33.29</v>
      </c>
      <c r="F1167">
        <v>76.150000000000006</v>
      </c>
      <c r="K1167" s="3"/>
      <c r="O1167" s="3"/>
    </row>
    <row r="1168" spans="1:15">
      <c r="A1168" s="3">
        <v>37692</v>
      </c>
      <c r="B1168" s="3">
        <v>37692</v>
      </c>
      <c r="C1168">
        <v>150.75</v>
      </c>
      <c r="D1168">
        <v>1.0992</v>
      </c>
      <c r="E1168">
        <v>33.909999999999997</v>
      </c>
      <c r="F1168">
        <v>75.3</v>
      </c>
      <c r="K1168" s="3"/>
      <c r="O1168" s="3"/>
    </row>
    <row r="1169" spans="1:15">
      <c r="A1169" s="3">
        <v>37693</v>
      </c>
      <c r="B1169" s="3">
        <v>37693</v>
      </c>
      <c r="C1169">
        <v>150.75</v>
      </c>
      <c r="D1169">
        <v>1.0785</v>
      </c>
      <c r="E1169">
        <v>32.43</v>
      </c>
      <c r="F1169">
        <v>74.849999999999994</v>
      </c>
      <c r="K1169" s="3"/>
      <c r="O1169" s="3"/>
    </row>
    <row r="1170" spans="1:15">
      <c r="A1170" s="3">
        <v>37694</v>
      </c>
      <c r="B1170" s="3">
        <v>37694</v>
      </c>
      <c r="C1170">
        <v>150.75</v>
      </c>
      <c r="D1170">
        <v>1.0747</v>
      </c>
      <c r="E1170">
        <v>31.38</v>
      </c>
      <c r="F1170">
        <v>75.05</v>
      </c>
      <c r="K1170" s="3"/>
      <c r="O1170" s="3"/>
    </row>
    <row r="1171" spans="1:15">
      <c r="A1171" s="3">
        <v>37695</v>
      </c>
      <c r="B1171" s="3">
        <v>37695</v>
      </c>
      <c r="C1171">
        <v>150.75</v>
      </c>
      <c r="D1171">
        <v>1.0747</v>
      </c>
      <c r="E1171">
        <v>31.38</v>
      </c>
      <c r="F1171">
        <v>75.05</v>
      </c>
      <c r="K1171" s="3"/>
      <c r="O1171" s="3"/>
    </row>
    <row r="1172" spans="1:15">
      <c r="A1172" s="3">
        <v>37696</v>
      </c>
      <c r="B1172" s="3">
        <v>37696</v>
      </c>
      <c r="C1172">
        <v>150.75</v>
      </c>
      <c r="D1172">
        <v>1.0747</v>
      </c>
      <c r="E1172">
        <v>31.38</v>
      </c>
      <c r="F1172">
        <v>75.05</v>
      </c>
      <c r="K1172" s="3"/>
      <c r="O1172" s="3"/>
    </row>
    <row r="1173" spans="1:15">
      <c r="A1173" s="3">
        <v>37697</v>
      </c>
      <c r="B1173" s="3">
        <v>37697</v>
      </c>
      <c r="C1173">
        <v>150.15</v>
      </c>
      <c r="D1173">
        <v>1.0629999999999999</v>
      </c>
      <c r="E1173">
        <v>29.48</v>
      </c>
      <c r="F1173">
        <v>76.8</v>
      </c>
      <c r="K1173" s="3"/>
      <c r="O1173" s="3"/>
    </row>
    <row r="1174" spans="1:15">
      <c r="A1174" s="3">
        <v>37698</v>
      </c>
      <c r="B1174" s="3">
        <v>37698</v>
      </c>
      <c r="C1174">
        <v>150.15</v>
      </c>
      <c r="D1174">
        <v>1.0636000000000001</v>
      </c>
      <c r="E1174">
        <v>27.25</v>
      </c>
      <c r="F1174">
        <v>76.05</v>
      </c>
      <c r="K1174" s="3"/>
      <c r="O1174" s="3"/>
    </row>
    <row r="1175" spans="1:15">
      <c r="A1175" s="3">
        <v>37699</v>
      </c>
      <c r="B1175" s="3">
        <v>37699</v>
      </c>
      <c r="C1175">
        <v>150.22</v>
      </c>
      <c r="D1175">
        <v>1.0568</v>
      </c>
      <c r="E1175">
        <v>26.75</v>
      </c>
      <c r="F1175">
        <v>77.349999999999994</v>
      </c>
      <c r="K1175" s="3"/>
      <c r="O1175" s="3"/>
    </row>
    <row r="1176" spans="1:15">
      <c r="A1176" s="3">
        <v>37700</v>
      </c>
      <c r="B1176" s="3">
        <v>37700</v>
      </c>
      <c r="C1176">
        <v>150.22</v>
      </c>
      <c r="D1176">
        <v>1.0615000000000001</v>
      </c>
      <c r="E1176">
        <v>25.5</v>
      </c>
      <c r="F1176">
        <v>76.5</v>
      </c>
      <c r="K1176" s="3"/>
      <c r="O1176" s="3"/>
    </row>
    <row r="1177" spans="1:15">
      <c r="A1177" s="3">
        <v>37701</v>
      </c>
      <c r="B1177" s="3">
        <v>37701</v>
      </c>
      <c r="C1177">
        <v>150.22</v>
      </c>
      <c r="D1177">
        <v>1.0525</v>
      </c>
      <c r="E1177">
        <v>24.35</v>
      </c>
      <c r="F1177">
        <v>77.55</v>
      </c>
      <c r="K1177" s="3"/>
      <c r="O1177" s="3"/>
    </row>
    <row r="1178" spans="1:15">
      <c r="A1178" s="3">
        <v>37702</v>
      </c>
      <c r="B1178" s="3">
        <v>37702</v>
      </c>
      <c r="C1178">
        <v>150.22</v>
      </c>
      <c r="D1178">
        <v>1.0525</v>
      </c>
      <c r="E1178">
        <v>24.35</v>
      </c>
      <c r="F1178">
        <v>77.55</v>
      </c>
      <c r="K1178" s="3"/>
      <c r="O1178" s="3"/>
    </row>
    <row r="1179" spans="1:15">
      <c r="A1179" s="3">
        <v>37703</v>
      </c>
      <c r="B1179" s="3">
        <v>37703</v>
      </c>
      <c r="C1179">
        <v>150.22</v>
      </c>
      <c r="D1179">
        <v>1.0525</v>
      </c>
      <c r="E1179">
        <v>24.35</v>
      </c>
      <c r="F1179">
        <v>77.55</v>
      </c>
      <c r="K1179" s="3"/>
      <c r="O1179" s="3"/>
    </row>
    <row r="1180" spans="1:15">
      <c r="A1180" s="3">
        <v>37704</v>
      </c>
      <c r="B1180" s="3">
        <v>37704</v>
      </c>
      <c r="C1180">
        <v>150.22</v>
      </c>
      <c r="D1180">
        <v>1.0646</v>
      </c>
      <c r="E1180">
        <v>26.09</v>
      </c>
      <c r="F1180">
        <v>76.55</v>
      </c>
      <c r="K1180" s="3"/>
      <c r="O1180" s="3"/>
    </row>
    <row r="1181" spans="1:15">
      <c r="A1181" s="3">
        <v>37705</v>
      </c>
      <c r="B1181" s="3">
        <v>37705</v>
      </c>
      <c r="C1181">
        <v>151.41</v>
      </c>
      <c r="D1181">
        <v>1.0657000000000001</v>
      </c>
      <c r="E1181">
        <v>24.81</v>
      </c>
      <c r="F1181">
        <v>76.75</v>
      </c>
      <c r="K1181" s="3"/>
      <c r="O1181" s="3"/>
    </row>
    <row r="1182" spans="1:15">
      <c r="A1182" s="3">
        <v>37706</v>
      </c>
      <c r="B1182" s="3">
        <v>37706</v>
      </c>
      <c r="C1182">
        <v>151.41</v>
      </c>
      <c r="D1182">
        <v>1.0694999999999999</v>
      </c>
      <c r="E1182">
        <v>25.29</v>
      </c>
      <c r="F1182">
        <v>74.900000000000006</v>
      </c>
      <c r="K1182" s="3"/>
      <c r="O1182" s="3"/>
    </row>
    <row r="1183" spans="1:15">
      <c r="A1183" s="3">
        <v>37707</v>
      </c>
      <c r="B1183" s="3">
        <v>37707</v>
      </c>
      <c r="C1183">
        <v>151.41</v>
      </c>
      <c r="D1183">
        <v>1.0686</v>
      </c>
      <c r="E1183">
        <v>26.82</v>
      </c>
      <c r="F1183">
        <v>72.900000000000006</v>
      </c>
      <c r="K1183" s="3"/>
      <c r="O1183" s="3"/>
    </row>
    <row r="1184" spans="1:15">
      <c r="A1184" s="3">
        <v>37708</v>
      </c>
      <c r="B1184" s="3">
        <v>37708</v>
      </c>
      <c r="C1184">
        <v>151.41</v>
      </c>
      <c r="D1184">
        <v>1.0779000000000001</v>
      </c>
      <c r="E1184">
        <v>26.35</v>
      </c>
      <c r="F1184">
        <v>72.8</v>
      </c>
      <c r="K1184" s="3"/>
      <c r="O1184" s="3"/>
    </row>
    <row r="1185" spans="1:15">
      <c r="A1185" s="3">
        <v>37709</v>
      </c>
      <c r="B1185" s="3">
        <v>37709</v>
      </c>
      <c r="C1185">
        <v>151.41</v>
      </c>
      <c r="D1185">
        <v>1.0779000000000001</v>
      </c>
      <c r="E1185">
        <v>26.35</v>
      </c>
      <c r="F1185">
        <v>72.8</v>
      </c>
      <c r="K1185" s="3"/>
      <c r="O1185" s="3"/>
    </row>
    <row r="1186" spans="1:15">
      <c r="A1186" s="3">
        <v>37710</v>
      </c>
      <c r="B1186" s="3">
        <v>37710</v>
      </c>
      <c r="C1186">
        <v>151.41</v>
      </c>
      <c r="D1186">
        <v>1.0779000000000001</v>
      </c>
      <c r="E1186">
        <v>26.35</v>
      </c>
      <c r="F1186">
        <v>72.8</v>
      </c>
      <c r="K1186" s="3"/>
      <c r="O1186" s="3"/>
    </row>
    <row r="1187" spans="1:15">
      <c r="A1187" s="3">
        <v>37711</v>
      </c>
      <c r="B1187" s="3">
        <v>37711</v>
      </c>
      <c r="C1187">
        <v>151.41</v>
      </c>
      <c r="D1187">
        <v>1.0914999999999999</v>
      </c>
      <c r="E1187">
        <v>27.18</v>
      </c>
      <c r="F1187">
        <v>71.45</v>
      </c>
      <c r="K1187" s="3"/>
      <c r="O1187" s="3"/>
    </row>
    <row r="1188" spans="1:15">
      <c r="A1188" s="3">
        <v>37712</v>
      </c>
      <c r="B1188" s="3">
        <v>37712</v>
      </c>
      <c r="C1188">
        <v>151.41</v>
      </c>
      <c r="D1188">
        <v>1.0924</v>
      </c>
      <c r="E1188">
        <v>26.36</v>
      </c>
      <c r="F1188">
        <v>72.45</v>
      </c>
      <c r="K1188" s="3"/>
      <c r="O1188" s="3"/>
    </row>
    <row r="1189" spans="1:15">
      <c r="A1189" s="3">
        <v>37713</v>
      </c>
      <c r="B1189" s="3">
        <v>37713</v>
      </c>
      <c r="C1189">
        <v>151.27000000000001</v>
      </c>
      <c r="D1189">
        <v>1.0769</v>
      </c>
      <c r="E1189">
        <v>25.21</v>
      </c>
      <c r="F1189">
        <v>71.849999999999994</v>
      </c>
      <c r="K1189" s="3"/>
      <c r="O1189" s="3"/>
    </row>
    <row r="1190" spans="1:15">
      <c r="A1190" s="3">
        <v>37714</v>
      </c>
      <c r="B1190" s="3">
        <v>37714</v>
      </c>
      <c r="C1190">
        <v>151.5</v>
      </c>
      <c r="D1190">
        <v>1.0764</v>
      </c>
      <c r="E1190">
        <v>25.5</v>
      </c>
      <c r="F1190">
        <v>71.099999999999994</v>
      </c>
      <c r="K1190" s="3"/>
      <c r="O1190" s="3"/>
    </row>
    <row r="1191" spans="1:15">
      <c r="A1191" s="3">
        <v>37715</v>
      </c>
      <c r="B1191" s="3">
        <v>37715</v>
      </c>
      <c r="C1191">
        <v>151.29</v>
      </c>
      <c r="D1191">
        <v>1.0734999999999999</v>
      </c>
      <c r="E1191">
        <v>24.68</v>
      </c>
      <c r="F1191">
        <v>71.8</v>
      </c>
      <c r="K1191" s="3"/>
      <c r="O1191" s="3"/>
    </row>
    <row r="1192" spans="1:15">
      <c r="A1192" s="3">
        <v>37716</v>
      </c>
      <c r="B1192" s="3">
        <v>37716</v>
      </c>
      <c r="C1192">
        <v>151.29</v>
      </c>
      <c r="D1192">
        <v>1.0734999999999999</v>
      </c>
      <c r="E1192">
        <v>24.68</v>
      </c>
      <c r="F1192">
        <v>71.8</v>
      </c>
      <c r="K1192" s="3"/>
      <c r="O1192" s="3"/>
    </row>
    <row r="1193" spans="1:15">
      <c r="A1193" s="3">
        <v>37717</v>
      </c>
      <c r="B1193" s="3">
        <v>37717</v>
      </c>
      <c r="C1193">
        <v>151.29</v>
      </c>
      <c r="D1193">
        <v>1.0734999999999999</v>
      </c>
      <c r="E1193">
        <v>24.68</v>
      </c>
      <c r="F1193">
        <v>71.8</v>
      </c>
      <c r="K1193" s="3"/>
      <c r="O1193" s="3"/>
    </row>
    <row r="1194" spans="1:15">
      <c r="A1194" s="3">
        <v>37718</v>
      </c>
      <c r="B1194" s="3">
        <v>37718</v>
      </c>
      <c r="C1194">
        <v>152</v>
      </c>
      <c r="D1194">
        <v>1.0694999999999999</v>
      </c>
      <c r="E1194">
        <v>24.58</v>
      </c>
      <c r="F1194">
        <v>72.849999999999994</v>
      </c>
      <c r="K1194" s="3"/>
      <c r="O1194" s="3"/>
    </row>
    <row r="1195" spans="1:15">
      <c r="A1195" s="3">
        <v>37719</v>
      </c>
      <c r="B1195" s="3">
        <v>37719</v>
      </c>
      <c r="C1195">
        <v>151.55000000000001</v>
      </c>
      <c r="D1195">
        <v>1.0711999999999999</v>
      </c>
      <c r="E1195">
        <v>24.6</v>
      </c>
      <c r="F1195">
        <v>72.25</v>
      </c>
      <c r="K1195" s="3"/>
      <c r="O1195" s="3"/>
    </row>
    <row r="1196" spans="1:15">
      <c r="A1196" s="3">
        <v>37720</v>
      </c>
      <c r="B1196" s="3">
        <v>37720</v>
      </c>
      <c r="C1196">
        <v>151.55000000000001</v>
      </c>
      <c r="D1196">
        <v>1.0773999999999999</v>
      </c>
      <c r="E1196">
        <v>25.25</v>
      </c>
      <c r="F1196">
        <v>71.900000000000006</v>
      </c>
      <c r="K1196" s="3"/>
      <c r="O1196" s="3"/>
    </row>
    <row r="1197" spans="1:15">
      <c r="A1197" s="3">
        <v>37721</v>
      </c>
      <c r="B1197" s="3">
        <v>37721</v>
      </c>
      <c r="C1197">
        <v>151.54</v>
      </c>
      <c r="D1197">
        <v>1.0782</v>
      </c>
      <c r="E1197">
        <v>24.47</v>
      </c>
      <c r="F1197">
        <v>71.45</v>
      </c>
      <c r="K1197" s="3"/>
      <c r="O1197" s="3"/>
    </row>
    <row r="1198" spans="1:15">
      <c r="A1198" s="3">
        <v>37722</v>
      </c>
      <c r="B1198" s="3">
        <v>37722</v>
      </c>
      <c r="C1198">
        <v>151.54</v>
      </c>
      <c r="D1198">
        <v>1.0751999999999999</v>
      </c>
      <c r="E1198">
        <v>24.75</v>
      </c>
      <c r="F1198">
        <v>72.55</v>
      </c>
      <c r="K1198" s="3"/>
      <c r="O1198" s="3"/>
    </row>
    <row r="1199" spans="1:15">
      <c r="A1199" s="3">
        <v>37723</v>
      </c>
      <c r="B1199" s="3">
        <v>37723</v>
      </c>
      <c r="C1199">
        <v>151.54</v>
      </c>
      <c r="D1199">
        <v>1.0751999999999999</v>
      </c>
      <c r="E1199">
        <v>24.75</v>
      </c>
      <c r="F1199">
        <v>72.55</v>
      </c>
      <c r="K1199" s="3"/>
      <c r="O1199" s="3"/>
    </row>
    <row r="1200" spans="1:15">
      <c r="A1200" s="3">
        <v>37724</v>
      </c>
      <c r="B1200" s="3">
        <v>37724</v>
      </c>
      <c r="C1200">
        <v>151.54</v>
      </c>
      <c r="D1200">
        <v>1.0751999999999999</v>
      </c>
      <c r="E1200">
        <v>24.75</v>
      </c>
      <c r="F1200">
        <v>72.55</v>
      </c>
      <c r="K1200" s="3"/>
      <c r="O1200" s="3"/>
    </row>
    <row r="1201" spans="1:15">
      <c r="A1201" s="3">
        <v>37725</v>
      </c>
      <c r="B1201" s="3">
        <v>37725</v>
      </c>
      <c r="C1201">
        <v>151</v>
      </c>
      <c r="D1201">
        <v>1.0773999999999999</v>
      </c>
      <c r="E1201">
        <v>24.99</v>
      </c>
      <c r="F1201">
        <v>72.45</v>
      </c>
      <c r="K1201" s="3"/>
      <c r="O1201" s="3"/>
    </row>
    <row r="1202" spans="1:15">
      <c r="A1202" s="3">
        <v>37726</v>
      </c>
      <c r="B1202" s="3">
        <v>37726</v>
      </c>
      <c r="C1202">
        <v>150.99</v>
      </c>
      <c r="D1202">
        <v>1.08</v>
      </c>
      <c r="E1202">
        <v>25.2</v>
      </c>
      <c r="F1202">
        <v>73.400000000000006</v>
      </c>
      <c r="K1202" s="3"/>
      <c r="O1202" s="3"/>
    </row>
    <row r="1203" spans="1:15">
      <c r="A1203" s="3">
        <v>37727</v>
      </c>
      <c r="B1203" s="3">
        <v>37727</v>
      </c>
      <c r="C1203">
        <v>150.99</v>
      </c>
      <c r="D1203">
        <v>1.0908</v>
      </c>
      <c r="E1203">
        <v>25.02</v>
      </c>
      <c r="F1203">
        <v>73.400000000000006</v>
      </c>
      <c r="K1203" s="3"/>
      <c r="O1203" s="3"/>
    </row>
    <row r="1204" spans="1:15">
      <c r="A1204" s="3">
        <v>37728</v>
      </c>
      <c r="B1204" s="3">
        <v>37728</v>
      </c>
      <c r="C1204">
        <v>150.99</v>
      </c>
      <c r="D1204">
        <v>1.0880000000000001</v>
      </c>
      <c r="E1204">
        <v>25.88</v>
      </c>
      <c r="F1204">
        <v>73.75</v>
      </c>
      <c r="K1204" s="3"/>
      <c r="O1204" s="3"/>
    </row>
    <row r="1205" spans="1:15">
      <c r="A1205" s="3">
        <v>37729</v>
      </c>
      <c r="B1205" s="3">
        <v>37729</v>
      </c>
      <c r="C1205">
        <v>150</v>
      </c>
      <c r="D1205">
        <v>1.0876999999999999</v>
      </c>
      <c r="E1205">
        <v>25.88</v>
      </c>
      <c r="F1205">
        <v>73.75</v>
      </c>
      <c r="K1205" s="3"/>
      <c r="O1205" s="3"/>
    </row>
    <row r="1206" spans="1:15">
      <c r="A1206" s="3">
        <v>37730</v>
      </c>
      <c r="B1206" s="3">
        <v>37730</v>
      </c>
      <c r="C1206">
        <v>150</v>
      </c>
      <c r="D1206">
        <v>1.0876999999999999</v>
      </c>
      <c r="E1206">
        <v>25.88</v>
      </c>
      <c r="F1206">
        <v>73.75</v>
      </c>
      <c r="K1206" s="3"/>
      <c r="O1206" s="3"/>
    </row>
    <row r="1207" spans="1:15">
      <c r="A1207" s="3">
        <v>37731</v>
      </c>
      <c r="B1207" s="3">
        <v>37731</v>
      </c>
      <c r="C1207">
        <v>150</v>
      </c>
      <c r="D1207">
        <v>1.0876999999999999</v>
      </c>
      <c r="E1207">
        <v>25.88</v>
      </c>
      <c r="F1207">
        <v>73.75</v>
      </c>
      <c r="K1207" s="3"/>
      <c r="O1207" s="3"/>
    </row>
    <row r="1208" spans="1:15">
      <c r="A1208" s="3">
        <v>37732</v>
      </c>
      <c r="B1208" s="3">
        <v>37732</v>
      </c>
      <c r="C1208">
        <v>151.35</v>
      </c>
      <c r="D1208">
        <v>1.0871</v>
      </c>
      <c r="E1208">
        <v>25.88</v>
      </c>
      <c r="F1208">
        <v>72.900000000000006</v>
      </c>
      <c r="K1208" s="3"/>
      <c r="O1208" s="3"/>
    </row>
    <row r="1209" spans="1:15">
      <c r="A1209" s="3">
        <v>37733</v>
      </c>
      <c r="B1209" s="3">
        <v>37733</v>
      </c>
      <c r="C1209">
        <v>151.35</v>
      </c>
      <c r="D1209">
        <v>1.0973999999999999</v>
      </c>
      <c r="E1209">
        <v>25.46</v>
      </c>
      <c r="F1209">
        <v>72.150000000000006</v>
      </c>
      <c r="K1209" s="3"/>
      <c r="O1209" s="3"/>
    </row>
    <row r="1210" spans="1:15">
      <c r="A1210" s="3">
        <v>37734</v>
      </c>
      <c r="B1210" s="3">
        <v>37734</v>
      </c>
      <c r="C1210">
        <v>151.35</v>
      </c>
      <c r="D1210">
        <v>1.0965</v>
      </c>
      <c r="E1210">
        <v>24.26</v>
      </c>
      <c r="F1210">
        <v>72.349999999999994</v>
      </c>
      <c r="K1210" s="3"/>
      <c r="O1210" s="3"/>
    </row>
    <row r="1211" spans="1:15">
      <c r="A1211" s="3">
        <v>37735</v>
      </c>
      <c r="B1211" s="3">
        <v>37735</v>
      </c>
      <c r="C1211">
        <v>151.35</v>
      </c>
      <c r="D1211">
        <v>1.1034999999999999</v>
      </c>
      <c r="E1211">
        <v>24.33</v>
      </c>
      <c r="F1211">
        <v>71.55</v>
      </c>
      <c r="K1211" s="3"/>
      <c r="O1211" s="3"/>
    </row>
    <row r="1212" spans="1:15">
      <c r="A1212" s="3">
        <v>37736</v>
      </c>
      <c r="B1212" s="3">
        <v>37736</v>
      </c>
      <c r="C1212">
        <v>151.35</v>
      </c>
      <c r="D1212">
        <v>1.1040000000000001</v>
      </c>
      <c r="E1212">
        <v>24.09</v>
      </c>
      <c r="F1212">
        <v>71.55</v>
      </c>
      <c r="K1212" s="3"/>
      <c r="O1212" s="3"/>
    </row>
    <row r="1213" spans="1:15">
      <c r="A1213" s="3">
        <v>37737</v>
      </c>
      <c r="B1213" s="3">
        <v>37737</v>
      </c>
      <c r="C1213">
        <v>151.35</v>
      </c>
      <c r="D1213">
        <v>1.1040000000000001</v>
      </c>
      <c r="E1213">
        <v>24.09</v>
      </c>
      <c r="F1213">
        <v>71.55</v>
      </c>
      <c r="K1213" s="3"/>
      <c r="O1213" s="3"/>
    </row>
    <row r="1214" spans="1:15">
      <c r="A1214" s="3">
        <v>37738</v>
      </c>
      <c r="B1214" s="3">
        <v>37738</v>
      </c>
      <c r="C1214">
        <v>151.35</v>
      </c>
      <c r="D1214">
        <v>1.1040000000000001</v>
      </c>
      <c r="E1214">
        <v>24.09</v>
      </c>
      <c r="F1214">
        <v>71.55</v>
      </c>
      <c r="K1214" s="3"/>
      <c r="O1214" s="3"/>
    </row>
    <row r="1215" spans="1:15">
      <c r="A1215" s="3">
        <v>37739</v>
      </c>
      <c r="B1215" s="3">
        <v>37739</v>
      </c>
      <c r="C1215">
        <v>151.13999999999999</v>
      </c>
      <c r="D1215">
        <v>1.0987</v>
      </c>
      <c r="E1215">
        <v>23.5</v>
      </c>
      <c r="F1215">
        <v>71.400000000000006</v>
      </c>
      <c r="K1215" s="3"/>
      <c r="O1215" s="3"/>
    </row>
    <row r="1216" spans="1:15">
      <c r="A1216" s="3">
        <v>37740</v>
      </c>
      <c r="B1216" s="3">
        <v>37740</v>
      </c>
      <c r="C1216">
        <v>151.07</v>
      </c>
      <c r="D1216">
        <v>1.1083000000000001</v>
      </c>
      <c r="E1216">
        <v>23.26</v>
      </c>
      <c r="F1216">
        <v>72.349999999999994</v>
      </c>
      <c r="K1216" s="3"/>
      <c r="O1216" s="3"/>
    </row>
    <row r="1217" spans="1:15">
      <c r="A1217" s="3">
        <v>37741</v>
      </c>
      <c r="B1217" s="3">
        <v>37741</v>
      </c>
      <c r="C1217">
        <v>151.07</v>
      </c>
      <c r="D1217">
        <v>1.1184000000000001</v>
      </c>
      <c r="E1217">
        <v>23.68</v>
      </c>
      <c r="F1217">
        <v>72.5</v>
      </c>
      <c r="K1217" s="3"/>
      <c r="O1217" s="3"/>
    </row>
    <row r="1218" spans="1:15">
      <c r="A1218" s="3">
        <v>37742</v>
      </c>
      <c r="B1218" s="3">
        <v>37742</v>
      </c>
      <c r="C1218">
        <v>151.07</v>
      </c>
      <c r="D1218">
        <v>1.1233</v>
      </c>
      <c r="E1218">
        <v>23.82</v>
      </c>
      <c r="F1218">
        <v>72.45</v>
      </c>
      <c r="K1218" s="3"/>
      <c r="O1218" s="3"/>
    </row>
    <row r="1219" spans="1:15">
      <c r="A1219" s="3">
        <v>37743</v>
      </c>
      <c r="B1219" s="3">
        <v>37743</v>
      </c>
      <c r="C1219">
        <v>151.07</v>
      </c>
      <c r="D1219">
        <v>1.1233</v>
      </c>
      <c r="E1219">
        <v>23.52</v>
      </c>
      <c r="F1219">
        <v>71.5</v>
      </c>
      <c r="K1219" s="3"/>
      <c r="O1219" s="3"/>
    </row>
    <row r="1220" spans="1:15">
      <c r="A1220" s="3">
        <v>37744</v>
      </c>
      <c r="B1220" s="3">
        <v>37744</v>
      </c>
      <c r="C1220">
        <v>151.07</v>
      </c>
      <c r="D1220">
        <v>1.1233</v>
      </c>
      <c r="E1220">
        <v>23.52</v>
      </c>
      <c r="F1220">
        <v>71.5</v>
      </c>
      <c r="K1220" s="3"/>
      <c r="O1220" s="3"/>
    </row>
    <row r="1221" spans="1:15">
      <c r="A1221" s="3">
        <v>37745</v>
      </c>
      <c r="B1221" s="3">
        <v>37745</v>
      </c>
      <c r="C1221">
        <v>151.07</v>
      </c>
      <c r="D1221">
        <v>1.1233</v>
      </c>
      <c r="E1221">
        <v>23.52</v>
      </c>
      <c r="F1221">
        <v>71.5</v>
      </c>
      <c r="K1221" s="3"/>
      <c r="O1221" s="3"/>
    </row>
    <row r="1222" spans="1:15">
      <c r="A1222" s="3">
        <v>37746</v>
      </c>
      <c r="B1222" s="3">
        <v>37746</v>
      </c>
      <c r="C1222">
        <v>150.88999999999999</v>
      </c>
      <c r="D1222">
        <v>1.1292</v>
      </c>
      <c r="E1222">
        <v>23.52</v>
      </c>
      <c r="F1222">
        <v>71.349999999999994</v>
      </c>
      <c r="K1222" s="3"/>
      <c r="O1222" s="3"/>
    </row>
    <row r="1223" spans="1:15">
      <c r="A1223" s="3">
        <v>37747</v>
      </c>
      <c r="B1223" s="3">
        <v>37747</v>
      </c>
      <c r="C1223">
        <v>150.88999999999999</v>
      </c>
      <c r="D1223">
        <v>1.1437999999999999</v>
      </c>
      <c r="E1223">
        <v>23.57</v>
      </c>
      <c r="F1223">
        <v>71.900000000000006</v>
      </c>
      <c r="K1223" s="3"/>
      <c r="O1223" s="3"/>
    </row>
    <row r="1224" spans="1:15">
      <c r="A1224" s="3">
        <v>37748</v>
      </c>
      <c r="B1224" s="3">
        <v>37748</v>
      </c>
      <c r="C1224">
        <v>150.88999999999999</v>
      </c>
      <c r="D1224">
        <v>1.1356999999999999</v>
      </c>
      <c r="E1224">
        <v>24.11</v>
      </c>
      <c r="F1224">
        <v>73.05</v>
      </c>
      <c r="K1224" s="3"/>
      <c r="O1224" s="3"/>
    </row>
    <row r="1225" spans="1:15">
      <c r="A1225" s="3">
        <v>37749</v>
      </c>
      <c r="B1225" s="3">
        <v>37749</v>
      </c>
      <c r="C1225">
        <v>150.88999999999999</v>
      </c>
      <c r="D1225">
        <v>1.1489</v>
      </c>
      <c r="E1225">
        <v>24.65</v>
      </c>
      <c r="F1225">
        <v>73.599999999999994</v>
      </c>
      <c r="K1225" s="3"/>
      <c r="O1225" s="3"/>
    </row>
    <row r="1226" spans="1:15">
      <c r="A1226" s="3">
        <v>37750</v>
      </c>
      <c r="B1226" s="3">
        <v>37750</v>
      </c>
      <c r="C1226">
        <v>150.88999999999999</v>
      </c>
      <c r="D1226">
        <v>1.1487000000000001</v>
      </c>
      <c r="E1226">
        <v>25.1</v>
      </c>
      <c r="F1226">
        <v>73.400000000000006</v>
      </c>
      <c r="K1226" s="3"/>
      <c r="O1226" s="3"/>
    </row>
    <row r="1227" spans="1:15">
      <c r="A1227" s="3">
        <v>37751</v>
      </c>
      <c r="B1227" s="3">
        <v>37751</v>
      </c>
      <c r="C1227">
        <v>150.88999999999999</v>
      </c>
      <c r="D1227">
        <v>1.1487000000000001</v>
      </c>
      <c r="E1227">
        <v>25.1</v>
      </c>
      <c r="F1227">
        <v>73.400000000000006</v>
      </c>
      <c r="K1227" s="3"/>
      <c r="O1227" s="3"/>
    </row>
    <row r="1228" spans="1:15">
      <c r="A1228" s="3">
        <v>37752</v>
      </c>
      <c r="B1228" s="3">
        <v>37752</v>
      </c>
      <c r="C1228">
        <v>150.88999999999999</v>
      </c>
      <c r="D1228">
        <v>1.1487000000000001</v>
      </c>
      <c r="E1228">
        <v>25.1</v>
      </c>
      <c r="F1228">
        <v>73.400000000000006</v>
      </c>
      <c r="K1228" s="3"/>
      <c r="O1228" s="3"/>
    </row>
    <row r="1229" spans="1:15">
      <c r="A1229" s="3">
        <v>37753</v>
      </c>
      <c r="B1229" s="3">
        <v>37753</v>
      </c>
      <c r="C1229">
        <v>150.30000000000001</v>
      </c>
      <c r="D1229">
        <v>1.1563000000000001</v>
      </c>
      <c r="E1229">
        <v>24.89</v>
      </c>
      <c r="F1229">
        <v>74.75</v>
      </c>
      <c r="K1229" s="3"/>
      <c r="O1229" s="3"/>
    </row>
    <row r="1230" spans="1:15">
      <c r="A1230" s="3">
        <v>37754</v>
      </c>
      <c r="B1230" s="3">
        <v>37754</v>
      </c>
      <c r="C1230">
        <v>150.26</v>
      </c>
      <c r="D1230">
        <v>1.1532</v>
      </c>
      <c r="E1230">
        <v>25.9</v>
      </c>
      <c r="F1230">
        <v>76</v>
      </c>
      <c r="K1230" s="3"/>
      <c r="O1230" s="3"/>
    </row>
    <row r="1231" spans="1:15">
      <c r="A1231" s="3">
        <v>37755</v>
      </c>
      <c r="B1231" s="3">
        <v>37755</v>
      </c>
      <c r="C1231">
        <v>150.05000000000001</v>
      </c>
      <c r="D1231">
        <v>1.1483000000000001</v>
      </c>
      <c r="E1231">
        <v>26.75</v>
      </c>
      <c r="F1231">
        <v>75.650000000000006</v>
      </c>
      <c r="K1231" s="3"/>
      <c r="O1231" s="3"/>
    </row>
    <row r="1232" spans="1:15">
      <c r="A1232" s="3">
        <v>37756</v>
      </c>
      <c r="B1232" s="3">
        <v>37756</v>
      </c>
      <c r="C1232">
        <v>150.05000000000001</v>
      </c>
      <c r="D1232">
        <v>1.1386000000000001</v>
      </c>
      <c r="E1232">
        <v>26.73</v>
      </c>
      <c r="F1232">
        <v>75.7</v>
      </c>
      <c r="K1232" s="3"/>
      <c r="O1232" s="3"/>
    </row>
    <row r="1233" spans="1:15">
      <c r="A1233" s="3">
        <v>37757</v>
      </c>
      <c r="B1233" s="3">
        <v>37757</v>
      </c>
      <c r="C1233">
        <v>150.04</v>
      </c>
      <c r="D1233">
        <v>1.1592</v>
      </c>
      <c r="E1233">
        <v>26.1</v>
      </c>
      <c r="F1233">
        <v>75.75</v>
      </c>
      <c r="K1233" s="3"/>
      <c r="O1233" s="3"/>
    </row>
    <row r="1234" spans="1:15">
      <c r="A1234" s="3">
        <v>37758</v>
      </c>
      <c r="B1234" s="3">
        <v>37758</v>
      </c>
      <c r="C1234">
        <v>150.04</v>
      </c>
      <c r="D1234">
        <v>1.1592</v>
      </c>
      <c r="E1234">
        <v>26.1</v>
      </c>
      <c r="F1234">
        <v>75.75</v>
      </c>
      <c r="K1234" s="3"/>
      <c r="O1234" s="3"/>
    </row>
    <row r="1235" spans="1:15">
      <c r="A1235" s="3">
        <v>37759</v>
      </c>
      <c r="B1235" s="3">
        <v>37759</v>
      </c>
      <c r="C1235">
        <v>150.04</v>
      </c>
      <c r="D1235">
        <v>1.1592</v>
      </c>
      <c r="E1235">
        <v>26.1</v>
      </c>
      <c r="F1235">
        <v>75.75</v>
      </c>
      <c r="K1235" s="3"/>
      <c r="O1235" s="3"/>
    </row>
    <row r="1236" spans="1:15">
      <c r="A1236" s="3">
        <v>37760</v>
      </c>
      <c r="B1236" s="3">
        <v>37760</v>
      </c>
      <c r="C1236">
        <v>150.34</v>
      </c>
      <c r="D1236">
        <v>1.1657</v>
      </c>
      <c r="E1236">
        <v>25.61</v>
      </c>
      <c r="F1236">
        <v>76.05</v>
      </c>
      <c r="K1236" s="3"/>
      <c r="O1236" s="3"/>
    </row>
    <row r="1237" spans="1:15">
      <c r="A1237" s="3">
        <v>37761</v>
      </c>
      <c r="B1237" s="3">
        <v>37761</v>
      </c>
      <c r="C1237">
        <v>150.56</v>
      </c>
      <c r="D1237">
        <v>1.1714</v>
      </c>
      <c r="E1237">
        <v>25.65</v>
      </c>
      <c r="F1237">
        <v>76</v>
      </c>
      <c r="K1237" s="3"/>
      <c r="O1237" s="3"/>
    </row>
    <row r="1238" spans="1:15">
      <c r="A1238" s="3">
        <v>37762</v>
      </c>
      <c r="B1238" s="3">
        <v>37762</v>
      </c>
      <c r="C1238">
        <v>150.53</v>
      </c>
      <c r="D1238">
        <v>1.1634</v>
      </c>
      <c r="E1238">
        <v>26.21</v>
      </c>
      <c r="F1238">
        <v>76.75</v>
      </c>
      <c r="K1238" s="3"/>
      <c r="O1238" s="3"/>
    </row>
    <row r="1239" spans="1:15">
      <c r="A1239" s="3">
        <v>37763</v>
      </c>
      <c r="B1239" s="3">
        <v>37763</v>
      </c>
      <c r="C1239">
        <v>150.53</v>
      </c>
      <c r="D1239">
        <v>1.1693</v>
      </c>
      <c r="E1239">
        <v>25.97</v>
      </c>
      <c r="F1239">
        <v>76.45</v>
      </c>
      <c r="K1239" s="3"/>
      <c r="O1239" s="3"/>
    </row>
    <row r="1240" spans="1:15">
      <c r="A1240" s="3">
        <v>37764</v>
      </c>
      <c r="B1240" s="3">
        <v>37764</v>
      </c>
      <c r="C1240">
        <v>150.53</v>
      </c>
      <c r="D1240">
        <v>1.1837</v>
      </c>
      <c r="E1240">
        <v>26.24</v>
      </c>
      <c r="F1240">
        <v>76.400000000000006</v>
      </c>
      <c r="K1240" s="3"/>
      <c r="O1240" s="3"/>
    </row>
    <row r="1241" spans="1:15">
      <c r="A1241" s="3">
        <v>37765</v>
      </c>
      <c r="B1241" s="3">
        <v>37765</v>
      </c>
      <c r="C1241">
        <v>150.53</v>
      </c>
      <c r="D1241">
        <v>1.1837</v>
      </c>
      <c r="E1241">
        <v>26.24</v>
      </c>
      <c r="F1241">
        <v>76.400000000000006</v>
      </c>
      <c r="K1241" s="3"/>
      <c r="O1241" s="3"/>
    </row>
    <row r="1242" spans="1:15">
      <c r="A1242" s="3">
        <v>37766</v>
      </c>
      <c r="B1242" s="3">
        <v>37766</v>
      </c>
      <c r="C1242">
        <v>150.53</v>
      </c>
      <c r="D1242">
        <v>1.1837</v>
      </c>
      <c r="E1242">
        <v>26.24</v>
      </c>
      <c r="F1242">
        <v>76.400000000000006</v>
      </c>
      <c r="K1242" s="3"/>
      <c r="O1242" s="3"/>
    </row>
    <row r="1243" spans="1:15">
      <c r="A1243" s="3">
        <v>37767</v>
      </c>
      <c r="B1243" s="3">
        <v>37767</v>
      </c>
      <c r="C1243">
        <v>150.53</v>
      </c>
      <c r="D1243">
        <v>1.1876</v>
      </c>
      <c r="E1243">
        <v>26.24</v>
      </c>
      <c r="F1243">
        <v>76.400000000000006</v>
      </c>
      <c r="K1243" s="3"/>
      <c r="O1243" s="3"/>
    </row>
    <row r="1244" spans="1:15">
      <c r="A1244" s="3">
        <v>37768</v>
      </c>
      <c r="B1244" s="3">
        <v>37768</v>
      </c>
      <c r="C1244">
        <v>149.69</v>
      </c>
      <c r="D1244">
        <v>1.1819999999999999</v>
      </c>
      <c r="E1244">
        <v>26.34</v>
      </c>
      <c r="F1244">
        <v>77.5</v>
      </c>
      <c r="K1244" s="3"/>
      <c r="O1244" s="3"/>
    </row>
    <row r="1245" spans="1:15">
      <c r="A1245" s="3">
        <v>37769</v>
      </c>
      <c r="B1245" s="3">
        <v>37769</v>
      </c>
      <c r="C1245">
        <v>149.76</v>
      </c>
      <c r="D1245">
        <v>1.1758</v>
      </c>
      <c r="E1245">
        <v>25.59</v>
      </c>
      <c r="F1245">
        <v>76.7</v>
      </c>
      <c r="K1245" s="3"/>
      <c r="O1245" s="3"/>
    </row>
    <row r="1246" spans="1:15">
      <c r="A1246" s="3">
        <v>37770</v>
      </c>
      <c r="B1246" s="3">
        <v>37770</v>
      </c>
      <c r="C1246">
        <v>149.76</v>
      </c>
      <c r="D1246">
        <v>1.1909000000000001</v>
      </c>
      <c r="E1246">
        <v>26.03</v>
      </c>
      <c r="F1246">
        <v>77.25</v>
      </c>
      <c r="K1246" s="3"/>
      <c r="O1246" s="3"/>
    </row>
    <row r="1247" spans="1:15">
      <c r="A1247" s="3">
        <v>37771</v>
      </c>
      <c r="B1247" s="3">
        <v>37771</v>
      </c>
      <c r="C1247">
        <v>149.76</v>
      </c>
      <c r="D1247">
        <v>1.1783999999999999</v>
      </c>
      <c r="E1247">
        <v>26.32</v>
      </c>
      <c r="F1247">
        <v>78.25</v>
      </c>
      <c r="K1247" s="3"/>
      <c r="O1247" s="3"/>
    </row>
    <row r="1248" spans="1:15">
      <c r="A1248" s="3">
        <v>37772</v>
      </c>
      <c r="B1248" s="3">
        <v>37772</v>
      </c>
      <c r="C1248">
        <v>149.76</v>
      </c>
      <c r="D1248">
        <v>1.1783999999999999</v>
      </c>
      <c r="E1248">
        <v>26.32</v>
      </c>
      <c r="F1248">
        <v>78.25</v>
      </c>
      <c r="K1248" s="3"/>
      <c r="O1248" s="3"/>
    </row>
    <row r="1249" spans="1:15">
      <c r="A1249" s="3">
        <v>37773</v>
      </c>
      <c r="B1249" s="3">
        <v>37773</v>
      </c>
      <c r="C1249">
        <v>149.76</v>
      </c>
      <c r="D1249">
        <v>1.1783999999999999</v>
      </c>
      <c r="E1249">
        <v>26.32</v>
      </c>
      <c r="F1249">
        <v>78.25</v>
      </c>
      <c r="K1249" s="3"/>
      <c r="O1249" s="3"/>
    </row>
    <row r="1250" spans="1:15">
      <c r="A1250" s="3">
        <v>37774</v>
      </c>
      <c r="B1250" s="3">
        <v>37774</v>
      </c>
      <c r="C1250">
        <v>149.76</v>
      </c>
      <c r="D1250">
        <v>1.1767000000000001</v>
      </c>
      <c r="E1250">
        <v>27.38</v>
      </c>
      <c r="F1250">
        <v>79</v>
      </c>
      <c r="K1250" s="3"/>
      <c r="O1250" s="3"/>
    </row>
    <row r="1251" spans="1:15">
      <c r="A1251" s="3">
        <v>37775</v>
      </c>
      <c r="B1251" s="3">
        <v>37775</v>
      </c>
      <c r="C1251">
        <v>149.76</v>
      </c>
      <c r="D1251">
        <v>1.173</v>
      </c>
      <c r="E1251">
        <v>27.28</v>
      </c>
      <c r="F1251">
        <v>78.400000000000006</v>
      </c>
      <c r="K1251" s="3"/>
      <c r="O1251" s="3"/>
    </row>
    <row r="1252" spans="1:15">
      <c r="A1252" s="3">
        <v>37776</v>
      </c>
      <c r="B1252" s="3">
        <v>37776</v>
      </c>
      <c r="C1252">
        <v>149.76</v>
      </c>
      <c r="D1252">
        <v>1.1642999999999999</v>
      </c>
      <c r="E1252">
        <v>26.81</v>
      </c>
      <c r="F1252">
        <v>78.05</v>
      </c>
      <c r="K1252" s="3"/>
      <c r="O1252" s="3"/>
    </row>
    <row r="1253" spans="1:15">
      <c r="A1253" s="3">
        <v>37777</v>
      </c>
      <c r="B1253" s="3">
        <v>37777</v>
      </c>
      <c r="C1253">
        <v>149.76</v>
      </c>
      <c r="D1253">
        <v>1.1845000000000001</v>
      </c>
      <c r="E1253">
        <v>27.44</v>
      </c>
      <c r="F1253">
        <v>78.25</v>
      </c>
      <c r="K1253" s="3"/>
      <c r="O1253" s="3"/>
    </row>
    <row r="1254" spans="1:15">
      <c r="A1254" s="3">
        <v>37778</v>
      </c>
      <c r="B1254" s="3">
        <v>37778</v>
      </c>
      <c r="C1254">
        <v>149.76</v>
      </c>
      <c r="D1254">
        <v>1.1698999999999999</v>
      </c>
      <c r="E1254">
        <v>27.78</v>
      </c>
      <c r="F1254">
        <v>78.3</v>
      </c>
      <c r="K1254" s="3"/>
      <c r="O1254" s="3"/>
    </row>
    <row r="1255" spans="1:15">
      <c r="A1255" s="3">
        <v>37779</v>
      </c>
      <c r="B1255" s="3">
        <v>37779</v>
      </c>
      <c r="C1255">
        <v>149.76</v>
      </c>
      <c r="D1255">
        <v>1.1698999999999999</v>
      </c>
      <c r="E1255">
        <v>27.78</v>
      </c>
      <c r="F1255">
        <v>78.3</v>
      </c>
      <c r="K1255" s="3"/>
      <c r="O1255" s="3"/>
    </row>
    <row r="1256" spans="1:15">
      <c r="A1256" s="3">
        <v>37780</v>
      </c>
      <c r="B1256" s="3">
        <v>37780</v>
      </c>
      <c r="C1256">
        <v>149.76</v>
      </c>
      <c r="D1256">
        <v>1.1698999999999999</v>
      </c>
      <c r="E1256">
        <v>27.78</v>
      </c>
      <c r="F1256">
        <v>78.3</v>
      </c>
      <c r="K1256" s="3"/>
      <c r="O1256" s="3"/>
    </row>
    <row r="1257" spans="1:15">
      <c r="A1257" s="3">
        <v>37781</v>
      </c>
      <c r="B1257" s="3">
        <v>37781</v>
      </c>
      <c r="C1257">
        <v>149.76</v>
      </c>
      <c r="D1257">
        <v>1.1717</v>
      </c>
      <c r="E1257">
        <v>27.85</v>
      </c>
      <c r="F1257">
        <v>77</v>
      </c>
      <c r="K1257" s="3"/>
      <c r="O1257" s="3"/>
    </row>
    <row r="1258" spans="1:15">
      <c r="A1258" s="3">
        <v>37782</v>
      </c>
      <c r="B1258" s="3">
        <v>37782</v>
      </c>
      <c r="C1258">
        <v>149.76</v>
      </c>
      <c r="D1258">
        <v>1.1674</v>
      </c>
      <c r="E1258">
        <v>28.08</v>
      </c>
      <c r="F1258">
        <v>76.7</v>
      </c>
      <c r="K1258" s="3"/>
      <c r="O1258" s="3"/>
    </row>
    <row r="1259" spans="1:15">
      <c r="A1259" s="3">
        <v>37783</v>
      </c>
      <c r="B1259" s="3">
        <v>37783</v>
      </c>
      <c r="C1259">
        <v>149.76</v>
      </c>
      <c r="D1259">
        <v>1.175</v>
      </c>
      <c r="E1259">
        <v>28.39</v>
      </c>
      <c r="F1259">
        <v>76.75</v>
      </c>
      <c r="K1259" s="3"/>
      <c r="O1259" s="3"/>
    </row>
    <row r="1260" spans="1:15">
      <c r="A1260" s="3">
        <v>37784</v>
      </c>
      <c r="B1260" s="3">
        <v>37784</v>
      </c>
      <c r="C1260">
        <v>149.76</v>
      </c>
      <c r="D1260">
        <v>1.1766000000000001</v>
      </c>
      <c r="E1260">
        <v>27.83</v>
      </c>
      <c r="F1260">
        <v>77.400000000000006</v>
      </c>
      <c r="K1260" s="3"/>
      <c r="O1260" s="3"/>
    </row>
    <row r="1261" spans="1:15">
      <c r="A1261" s="3">
        <v>37785</v>
      </c>
      <c r="B1261" s="3">
        <v>37785</v>
      </c>
      <c r="C1261">
        <v>149.76</v>
      </c>
      <c r="D1261">
        <v>1.1870000000000001</v>
      </c>
      <c r="E1261">
        <v>27.46</v>
      </c>
      <c r="F1261">
        <v>76.099999999999994</v>
      </c>
      <c r="K1261" s="3"/>
      <c r="O1261" s="3"/>
    </row>
    <row r="1262" spans="1:15">
      <c r="A1262" s="3">
        <v>37786</v>
      </c>
      <c r="B1262" s="3">
        <v>37786</v>
      </c>
      <c r="C1262">
        <v>149.76</v>
      </c>
      <c r="D1262">
        <v>1.1870000000000001</v>
      </c>
      <c r="E1262">
        <v>27.46</v>
      </c>
      <c r="F1262">
        <v>76.099999999999994</v>
      </c>
      <c r="K1262" s="3"/>
      <c r="O1262" s="3"/>
    </row>
    <row r="1263" spans="1:15">
      <c r="A1263" s="3">
        <v>37787</v>
      </c>
      <c r="B1263" s="3">
        <v>37787</v>
      </c>
      <c r="C1263">
        <v>149.76</v>
      </c>
      <c r="D1263">
        <v>1.1870000000000001</v>
      </c>
      <c r="E1263">
        <v>27.46</v>
      </c>
      <c r="F1263">
        <v>76.099999999999994</v>
      </c>
      <c r="K1263" s="3"/>
      <c r="O1263" s="3"/>
    </row>
    <row r="1264" spans="1:15">
      <c r="A1264" s="3">
        <v>37788</v>
      </c>
      <c r="B1264" s="3">
        <v>37788</v>
      </c>
      <c r="C1264">
        <v>148.24</v>
      </c>
      <c r="D1264">
        <v>1.1825000000000001</v>
      </c>
      <c r="E1264">
        <v>26.65</v>
      </c>
      <c r="F1264">
        <v>76.099999999999994</v>
      </c>
      <c r="K1264" s="3"/>
      <c r="O1264" s="3"/>
    </row>
    <row r="1265" spans="1:15">
      <c r="A1265" s="3">
        <v>37789</v>
      </c>
      <c r="B1265" s="3">
        <v>37789</v>
      </c>
      <c r="C1265">
        <v>148.24</v>
      </c>
      <c r="D1265">
        <v>1.1783999999999999</v>
      </c>
      <c r="E1265">
        <v>26.67</v>
      </c>
      <c r="F1265">
        <v>78.099999999999994</v>
      </c>
      <c r="K1265" s="3"/>
      <c r="O1265" s="3"/>
    </row>
    <row r="1266" spans="1:15">
      <c r="A1266" s="3">
        <v>37790</v>
      </c>
      <c r="B1266" s="3">
        <v>37790</v>
      </c>
      <c r="C1266">
        <v>148.24</v>
      </c>
      <c r="D1266">
        <v>1.1692</v>
      </c>
      <c r="E1266">
        <v>26.26</v>
      </c>
      <c r="F1266">
        <v>77.8</v>
      </c>
      <c r="K1266" s="3"/>
      <c r="O1266" s="3"/>
    </row>
    <row r="1267" spans="1:15">
      <c r="A1267" s="3">
        <v>37791</v>
      </c>
      <c r="B1267" s="3">
        <v>37791</v>
      </c>
      <c r="C1267">
        <v>148.24</v>
      </c>
      <c r="D1267">
        <v>1.1719999999999999</v>
      </c>
      <c r="E1267">
        <v>26.29</v>
      </c>
      <c r="F1267">
        <v>78.150000000000006</v>
      </c>
      <c r="K1267" s="3"/>
      <c r="O1267" s="3"/>
    </row>
    <row r="1268" spans="1:15">
      <c r="A1268" s="3">
        <v>37792</v>
      </c>
      <c r="B1268" s="3">
        <v>37792</v>
      </c>
      <c r="C1268">
        <v>148.24</v>
      </c>
      <c r="D1268">
        <v>1.1608000000000001</v>
      </c>
      <c r="E1268">
        <v>27.02</v>
      </c>
      <c r="F1268">
        <v>77.400000000000006</v>
      </c>
      <c r="K1268" s="3"/>
      <c r="O1268" s="3"/>
    </row>
    <row r="1269" spans="1:15">
      <c r="A1269" s="3">
        <v>37793</v>
      </c>
      <c r="B1269" s="3">
        <v>37793</v>
      </c>
      <c r="C1269">
        <v>148.24</v>
      </c>
      <c r="D1269">
        <v>1.1608000000000001</v>
      </c>
      <c r="E1269">
        <v>27.02</v>
      </c>
      <c r="F1269">
        <v>77.400000000000006</v>
      </c>
      <c r="K1269" s="3"/>
      <c r="O1269" s="3"/>
    </row>
    <row r="1270" spans="1:15">
      <c r="A1270" s="3">
        <v>37794</v>
      </c>
      <c r="B1270" s="3">
        <v>37794</v>
      </c>
      <c r="C1270">
        <v>148.24</v>
      </c>
      <c r="D1270">
        <v>1.1608000000000001</v>
      </c>
      <c r="E1270">
        <v>27.02</v>
      </c>
      <c r="F1270">
        <v>77.400000000000006</v>
      </c>
      <c r="K1270" s="3"/>
      <c r="O1270" s="3"/>
    </row>
    <row r="1271" spans="1:15">
      <c r="A1271" s="3">
        <v>37795</v>
      </c>
      <c r="B1271" s="3">
        <v>37795</v>
      </c>
      <c r="C1271">
        <v>147.72</v>
      </c>
      <c r="D1271">
        <v>1.1560999999999999</v>
      </c>
      <c r="E1271">
        <v>26.93</v>
      </c>
      <c r="F1271">
        <v>76.7</v>
      </c>
      <c r="K1271" s="3"/>
      <c r="O1271" s="3"/>
    </row>
    <row r="1272" spans="1:15">
      <c r="A1272" s="3">
        <v>37796</v>
      </c>
      <c r="B1272" s="3">
        <v>37796</v>
      </c>
      <c r="C1272">
        <v>147.86000000000001</v>
      </c>
      <c r="D1272">
        <v>1.1513</v>
      </c>
      <c r="E1272">
        <v>26.62</v>
      </c>
      <c r="F1272">
        <v>76.8</v>
      </c>
      <c r="K1272" s="3"/>
      <c r="O1272" s="3"/>
    </row>
    <row r="1273" spans="1:15">
      <c r="A1273" s="3">
        <v>37797</v>
      </c>
      <c r="B1273" s="3">
        <v>37797</v>
      </c>
      <c r="C1273">
        <v>147.53</v>
      </c>
      <c r="D1273">
        <v>1.1529</v>
      </c>
      <c r="E1273">
        <v>27.65</v>
      </c>
      <c r="F1273">
        <v>75.849999999999994</v>
      </c>
      <c r="K1273" s="3"/>
      <c r="O1273" s="3"/>
    </row>
    <row r="1274" spans="1:15">
      <c r="A1274" s="3">
        <v>37798</v>
      </c>
      <c r="B1274" s="3">
        <v>37798</v>
      </c>
      <c r="C1274">
        <v>147.31</v>
      </c>
      <c r="D1274">
        <v>1.1428</v>
      </c>
      <c r="E1274">
        <v>27.04</v>
      </c>
      <c r="F1274">
        <v>75.150000000000006</v>
      </c>
      <c r="K1274" s="3"/>
      <c r="O1274" s="3"/>
    </row>
    <row r="1275" spans="1:15">
      <c r="A1275" s="3">
        <v>37799</v>
      </c>
      <c r="B1275" s="3">
        <v>37799</v>
      </c>
      <c r="C1275">
        <v>147.04</v>
      </c>
      <c r="D1275">
        <v>1.1434</v>
      </c>
      <c r="E1275">
        <v>27.3</v>
      </c>
      <c r="F1275">
        <v>75.650000000000006</v>
      </c>
      <c r="K1275" s="3"/>
      <c r="O1275" s="3"/>
    </row>
    <row r="1276" spans="1:15">
      <c r="A1276" s="3">
        <v>37800</v>
      </c>
      <c r="B1276" s="3">
        <v>37800</v>
      </c>
      <c r="C1276">
        <v>147.04</v>
      </c>
      <c r="D1276">
        <v>1.1434</v>
      </c>
      <c r="E1276">
        <v>27.3</v>
      </c>
      <c r="F1276">
        <v>75.650000000000006</v>
      </c>
      <c r="K1276" s="3"/>
      <c r="O1276" s="3"/>
    </row>
    <row r="1277" spans="1:15">
      <c r="A1277" s="3">
        <v>37801</v>
      </c>
      <c r="B1277" s="3">
        <v>37801</v>
      </c>
      <c r="C1277">
        <v>147.04</v>
      </c>
      <c r="D1277">
        <v>1.1434</v>
      </c>
      <c r="E1277">
        <v>27.3</v>
      </c>
      <c r="F1277">
        <v>75.650000000000006</v>
      </c>
      <c r="K1277" s="3"/>
      <c r="O1277" s="3"/>
    </row>
    <row r="1278" spans="1:15">
      <c r="A1278" s="3">
        <v>37802</v>
      </c>
      <c r="B1278" s="3">
        <v>37802</v>
      </c>
      <c r="C1278">
        <v>146.77000000000001</v>
      </c>
      <c r="D1278">
        <v>1.1512</v>
      </c>
      <c r="E1278">
        <v>28.33</v>
      </c>
      <c r="F1278">
        <v>74.8</v>
      </c>
      <c r="K1278" s="3"/>
      <c r="O1278" s="3"/>
    </row>
    <row r="1279" spans="1:15">
      <c r="A1279" s="3">
        <v>37803</v>
      </c>
      <c r="B1279" s="3">
        <v>37803</v>
      </c>
      <c r="C1279">
        <v>147.61000000000001</v>
      </c>
      <c r="D1279">
        <v>1.1563000000000001</v>
      </c>
      <c r="E1279">
        <v>28.31</v>
      </c>
      <c r="F1279">
        <v>74.599999999999994</v>
      </c>
      <c r="K1279" s="3"/>
      <c r="O1279" s="3"/>
    </row>
    <row r="1280" spans="1:15">
      <c r="A1280" s="3">
        <v>37804</v>
      </c>
      <c r="B1280" s="3">
        <v>37804</v>
      </c>
      <c r="C1280">
        <v>147.76</v>
      </c>
      <c r="D1280">
        <v>1.1538999999999999</v>
      </c>
      <c r="E1280">
        <v>27.97</v>
      </c>
      <c r="F1280">
        <v>75.650000000000006</v>
      </c>
      <c r="K1280" s="3"/>
      <c r="O1280" s="3"/>
    </row>
    <row r="1281" spans="1:15">
      <c r="A1281" s="3">
        <v>37805</v>
      </c>
      <c r="B1281" s="3">
        <v>37805</v>
      </c>
      <c r="C1281">
        <v>147.84</v>
      </c>
      <c r="D1281">
        <v>1.1501999999999999</v>
      </c>
      <c r="E1281">
        <v>28.2</v>
      </c>
      <c r="F1281">
        <v>74.650000000000006</v>
      </c>
      <c r="K1281" s="3"/>
      <c r="O1281" s="3"/>
    </row>
    <row r="1282" spans="1:15">
      <c r="A1282" s="3">
        <v>37806</v>
      </c>
      <c r="B1282" s="3">
        <v>37806</v>
      </c>
      <c r="C1282">
        <v>147.69</v>
      </c>
      <c r="D1282">
        <v>1.149</v>
      </c>
      <c r="E1282">
        <v>27.63</v>
      </c>
      <c r="F1282">
        <v>74.650000000000006</v>
      </c>
      <c r="K1282" s="3"/>
      <c r="O1282" s="3"/>
    </row>
    <row r="1283" spans="1:15">
      <c r="A1283" s="3">
        <v>37807</v>
      </c>
      <c r="B1283" s="3">
        <v>37807</v>
      </c>
      <c r="C1283">
        <v>147.69</v>
      </c>
      <c r="D1283">
        <v>1.149</v>
      </c>
      <c r="E1283">
        <v>27.63</v>
      </c>
      <c r="F1283">
        <v>74.650000000000006</v>
      </c>
      <c r="K1283" s="3"/>
      <c r="O1283" s="3"/>
    </row>
    <row r="1284" spans="1:15">
      <c r="A1284" s="3">
        <v>37808</v>
      </c>
      <c r="B1284" s="3">
        <v>37808</v>
      </c>
      <c r="C1284">
        <v>147.69</v>
      </c>
      <c r="D1284">
        <v>1.149</v>
      </c>
      <c r="E1284">
        <v>27.63</v>
      </c>
      <c r="F1284">
        <v>74.650000000000006</v>
      </c>
      <c r="K1284" s="3"/>
      <c r="O1284" s="3"/>
    </row>
    <row r="1285" spans="1:15">
      <c r="A1285" s="3">
        <v>37809</v>
      </c>
      <c r="B1285" s="3">
        <v>37809</v>
      </c>
      <c r="C1285">
        <v>147.49</v>
      </c>
      <c r="D1285">
        <v>1.1315999999999999</v>
      </c>
      <c r="E1285">
        <v>27.82</v>
      </c>
      <c r="F1285">
        <v>76.650000000000006</v>
      </c>
      <c r="K1285" s="3"/>
      <c r="O1285" s="3"/>
    </row>
    <row r="1286" spans="1:15">
      <c r="A1286" s="3">
        <v>37810</v>
      </c>
      <c r="B1286" s="3">
        <v>37810</v>
      </c>
      <c r="C1286">
        <v>147.28</v>
      </c>
      <c r="D1286">
        <v>1.1319999999999999</v>
      </c>
      <c r="E1286">
        <v>27.97</v>
      </c>
      <c r="F1286">
        <v>76.5</v>
      </c>
      <c r="K1286" s="3"/>
      <c r="O1286" s="3"/>
    </row>
    <row r="1287" spans="1:15">
      <c r="A1287" s="3">
        <v>37811</v>
      </c>
      <c r="B1287" s="3">
        <v>37811</v>
      </c>
      <c r="C1287">
        <v>147.08000000000001</v>
      </c>
      <c r="D1287">
        <v>1.1351</v>
      </c>
      <c r="E1287">
        <v>28.71</v>
      </c>
      <c r="F1287">
        <v>77.7</v>
      </c>
      <c r="K1287" s="3"/>
      <c r="O1287" s="3"/>
    </row>
    <row r="1288" spans="1:15">
      <c r="A1288" s="3">
        <v>37812</v>
      </c>
      <c r="B1288" s="3">
        <v>37812</v>
      </c>
      <c r="C1288">
        <v>146.93</v>
      </c>
      <c r="D1288">
        <v>1.1379999999999999</v>
      </c>
      <c r="E1288">
        <v>28.88</v>
      </c>
      <c r="F1288">
        <v>77.75</v>
      </c>
      <c r="K1288" s="3"/>
      <c r="O1288" s="3"/>
    </row>
    <row r="1289" spans="1:15">
      <c r="A1289" s="3">
        <v>37813</v>
      </c>
      <c r="B1289" s="3">
        <v>37813</v>
      </c>
      <c r="C1289">
        <v>146.72999999999999</v>
      </c>
      <c r="D1289">
        <v>1.1291</v>
      </c>
      <c r="E1289">
        <v>29.19</v>
      </c>
      <c r="F1289">
        <v>77.599999999999994</v>
      </c>
      <c r="K1289" s="3"/>
      <c r="O1289" s="3"/>
    </row>
    <row r="1290" spans="1:15">
      <c r="A1290" s="3">
        <v>37814</v>
      </c>
      <c r="B1290" s="3">
        <v>37814</v>
      </c>
      <c r="C1290">
        <v>146.72999999999999</v>
      </c>
      <c r="D1290">
        <v>1.1291</v>
      </c>
      <c r="E1290">
        <v>29.19</v>
      </c>
      <c r="F1290">
        <v>77.599999999999994</v>
      </c>
      <c r="K1290" s="3"/>
      <c r="O1290" s="3"/>
    </row>
    <row r="1291" spans="1:15">
      <c r="A1291" s="3">
        <v>37815</v>
      </c>
      <c r="B1291" s="3">
        <v>37815</v>
      </c>
      <c r="C1291">
        <v>146.72999999999999</v>
      </c>
      <c r="D1291">
        <v>1.1291</v>
      </c>
      <c r="E1291">
        <v>29.19</v>
      </c>
      <c r="F1291">
        <v>77.599999999999994</v>
      </c>
      <c r="K1291" s="3"/>
      <c r="O1291" s="3"/>
    </row>
    <row r="1292" spans="1:15">
      <c r="A1292" s="3">
        <v>37816</v>
      </c>
      <c r="B1292" s="3">
        <v>37816</v>
      </c>
      <c r="C1292">
        <v>146.59</v>
      </c>
      <c r="D1292">
        <v>1.1283000000000001</v>
      </c>
      <c r="E1292">
        <v>28.96</v>
      </c>
      <c r="F1292">
        <v>79.400000000000006</v>
      </c>
      <c r="K1292" s="3"/>
      <c r="O1292" s="3"/>
    </row>
    <row r="1293" spans="1:15">
      <c r="A1293" s="3">
        <v>37817</v>
      </c>
      <c r="B1293" s="3">
        <v>37817</v>
      </c>
      <c r="C1293">
        <v>146.44999999999999</v>
      </c>
      <c r="D1293">
        <v>1.1178999999999999</v>
      </c>
      <c r="E1293">
        <v>29.17</v>
      </c>
      <c r="F1293">
        <v>79</v>
      </c>
      <c r="K1293" s="3"/>
      <c r="O1293" s="3"/>
    </row>
    <row r="1294" spans="1:15">
      <c r="A1294" s="3">
        <v>37818</v>
      </c>
      <c r="B1294" s="3">
        <v>37818</v>
      </c>
      <c r="C1294">
        <v>146.61000000000001</v>
      </c>
      <c r="D1294">
        <v>1.1220000000000001</v>
      </c>
      <c r="E1294">
        <v>28.72</v>
      </c>
      <c r="F1294">
        <v>78.900000000000006</v>
      </c>
      <c r="K1294" s="3"/>
      <c r="O1294" s="3"/>
    </row>
    <row r="1295" spans="1:15">
      <c r="A1295" s="3">
        <v>37819</v>
      </c>
      <c r="B1295" s="3">
        <v>37819</v>
      </c>
      <c r="C1295">
        <v>146.33000000000001</v>
      </c>
      <c r="D1295">
        <v>1.1213</v>
      </c>
      <c r="E1295">
        <v>28.62</v>
      </c>
      <c r="F1295">
        <v>77.8</v>
      </c>
      <c r="K1295" s="3"/>
      <c r="O1295" s="3"/>
    </row>
    <row r="1296" spans="1:15">
      <c r="A1296" s="3">
        <v>37820</v>
      </c>
      <c r="B1296" s="3">
        <v>37820</v>
      </c>
      <c r="C1296">
        <v>146.36000000000001</v>
      </c>
      <c r="D1296">
        <v>1.1269</v>
      </c>
      <c r="E1296">
        <v>28.93</v>
      </c>
      <c r="F1296">
        <v>78.3</v>
      </c>
      <c r="K1296" s="3"/>
      <c r="O1296" s="3"/>
    </row>
    <row r="1297" spans="1:15">
      <c r="A1297" s="3">
        <v>37821</v>
      </c>
      <c r="B1297" s="3">
        <v>37821</v>
      </c>
      <c r="C1297">
        <v>146.36000000000001</v>
      </c>
      <c r="D1297">
        <v>1.1269</v>
      </c>
      <c r="E1297">
        <v>28.93</v>
      </c>
      <c r="F1297">
        <v>78.3</v>
      </c>
      <c r="K1297" s="3"/>
      <c r="O1297" s="3"/>
    </row>
    <row r="1298" spans="1:15">
      <c r="A1298" s="3">
        <v>37822</v>
      </c>
      <c r="B1298" s="3">
        <v>37822</v>
      </c>
      <c r="C1298">
        <v>146.36000000000001</v>
      </c>
      <c r="D1298">
        <v>1.1269</v>
      </c>
      <c r="E1298">
        <v>28.93</v>
      </c>
      <c r="F1298">
        <v>78.3</v>
      </c>
      <c r="K1298" s="3"/>
      <c r="O1298" s="3"/>
    </row>
    <row r="1299" spans="1:15">
      <c r="A1299" s="3">
        <v>37823</v>
      </c>
      <c r="B1299" s="3">
        <v>37823</v>
      </c>
      <c r="C1299">
        <v>146.47999999999999</v>
      </c>
      <c r="D1299">
        <v>1.1354</v>
      </c>
      <c r="E1299">
        <v>28.69</v>
      </c>
      <c r="F1299">
        <v>77.3</v>
      </c>
      <c r="K1299" s="3"/>
      <c r="O1299" s="3"/>
    </row>
    <row r="1300" spans="1:15">
      <c r="A1300" s="3">
        <v>37824</v>
      </c>
      <c r="B1300" s="3">
        <v>37824</v>
      </c>
      <c r="C1300">
        <v>146.46</v>
      </c>
      <c r="D1300">
        <v>1.1326000000000001</v>
      </c>
      <c r="E1300">
        <v>27.49</v>
      </c>
      <c r="F1300">
        <v>76.900000000000006</v>
      </c>
      <c r="K1300" s="3"/>
      <c r="O1300" s="3"/>
    </row>
    <row r="1301" spans="1:15">
      <c r="A1301" s="3">
        <v>37825</v>
      </c>
      <c r="B1301" s="3">
        <v>37825</v>
      </c>
      <c r="C1301">
        <v>146.37</v>
      </c>
      <c r="D1301">
        <v>1.1486000000000001</v>
      </c>
      <c r="E1301">
        <v>27.78</v>
      </c>
      <c r="F1301">
        <v>77.55</v>
      </c>
      <c r="K1301" s="3"/>
      <c r="O1301" s="3"/>
    </row>
    <row r="1302" spans="1:15">
      <c r="A1302" s="3">
        <v>37826</v>
      </c>
      <c r="B1302" s="3">
        <v>37826</v>
      </c>
      <c r="C1302">
        <v>146.37</v>
      </c>
      <c r="D1302">
        <v>1.1476999999999999</v>
      </c>
      <c r="E1302">
        <v>28.16</v>
      </c>
      <c r="F1302">
        <v>79</v>
      </c>
      <c r="K1302" s="3"/>
      <c r="O1302" s="3"/>
    </row>
    <row r="1303" spans="1:15">
      <c r="A1303" s="3">
        <v>37827</v>
      </c>
      <c r="B1303" s="3">
        <v>37827</v>
      </c>
      <c r="C1303">
        <v>145.9</v>
      </c>
      <c r="D1303">
        <v>1.1507000000000001</v>
      </c>
      <c r="E1303">
        <v>28.18</v>
      </c>
      <c r="F1303">
        <v>79.45</v>
      </c>
      <c r="K1303" s="3"/>
      <c r="O1303" s="3"/>
    </row>
    <row r="1304" spans="1:15">
      <c r="A1304" s="3">
        <v>37828</v>
      </c>
      <c r="B1304" s="3">
        <v>37828</v>
      </c>
      <c r="C1304">
        <v>145.9</v>
      </c>
      <c r="D1304">
        <v>1.1507000000000001</v>
      </c>
      <c r="E1304">
        <v>28.18</v>
      </c>
      <c r="F1304">
        <v>79.45</v>
      </c>
      <c r="K1304" s="3"/>
      <c r="O1304" s="3"/>
    </row>
    <row r="1305" spans="1:15">
      <c r="A1305" s="3">
        <v>37829</v>
      </c>
      <c r="B1305" s="3">
        <v>37829</v>
      </c>
      <c r="C1305">
        <v>145.9</v>
      </c>
      <c r="D1305">
        <v>1.1507000000000001</v>
      </c>
      <c r="E1305">
        <v>28.18</v>
      </c>
      <c r="F1305">
        <v>79.45</v>
      </c>
      <c r="K1305" s="3"/>
      <c r="O1305" s="3"/>
    </row>
    <row r="1306" spans="1:15">
      <c r="A1306" s="3">
        <v>37830</v>
      </c>
      <c r="B1306" s="3">
        <v>37830</v>
      </c>
      <c r="C1306">
        <v>146.72999999999999</v>
      </c>
      <c r="D1306">
        <v>1.1496</v>
      </c>
      <c r="E1306">
        <v>28.03</v>
      </c>
      <c r="F1306">
        <v>80.45</v>
      </c>
      <c r="K1306" s="3"/>
      <c r="O1306" s="3"/>
    </row>
    <row r="1307" spans="1:15">
      <c r="A1307" s="3">
        <v>37831</v>
      </c>
      <c r="B1307" s="3">
        <v>37831</v>
      </c>
      <c r="C1307">
        <v>146.84</v>
      </c>
      <c r="D1307">
        <v>1.1442000000000001</v>
      </c>
      <c r="E1307">
        <v>28.1</v>
      </c>
      <c r="F1307">
        <v>80.3</v>
      </c>
      <c r="K1307" s="3"/>
      <c r="O1307" s="3"/>
    </row>
    <row r="1308" spans="1:15">
      <c r="A1308" s="3">
        <v>37832</v>
      </c>
      <c r="B1308" s="3">
        <v>37832</v>
      </c>
      <c r="C1308">
        <v>146.69</v>
      </c>
      <c r="D1308">
        <v>1.1346000000000001</v>
      </c>
      <c r="E1308">
        <v>28.5</v>
      </c>
      <c r="F1308">
        <v>80.2</v>
      </c>
      <c r="K1308" s="3"/>
      <c r="O1308" s="3"/>
    </row>
    <row r="1309" spans="1:15">
      <c r="A1309" s="3">
        <v>37833</v>
      </c>
      <c r="B1309" s="3">
        <v>37833</v>
      </c>
      <c r="C1309">
        <v>146.69</v>
      </c>
      <c r="D1309">
        <v>1.1232</v>
      </c>
      <c r="E1309">
        <v>28.37</v>
      </c>
      <c r="F1309">
        <v>82.05</v>
      </c>
      <c r="K1309" s="3"/>
      <c r="O1309" s="3"/>
    </row>
    <row r="1310" spans="1:15">
      <c r="A1310" s="3">
        <v>37834</v>
      </c>
      <c r="B1310" s="3">
        <v>37834</v>
      </c>
      <c r="C1310">
        <v>146.78</v>
      </c>
      <c r="D1310">
        <v>1.1276999999999999</v>
      </c>
      <c r="E1310">
        <v>29.99</v>
      </c>
      <c r="F1310">
        <v>81.849999999999994</v>
      </c>
      <c r="K1310" s="3"/>
      <c r="O1310" s="3"/>
    </row>
    <row r="1311" spans="1:15">
      <c r="A1311" s="3">
        <v>37835</v>
      </c>
      <c r="B1311" s="3">
        <v>37835</v>
      </c>
      <c r="C1311">
        <v>146.78</v>
      </c>
      <c r="D1311">
        <v>1.1276999999999999</v>
      </c>
      <c r="E1311">
        <v>29.99</v>
      </c>
      <c r="F1311">
        <v>81.849999999999994</v>
      </c>
      <c r="K1311" s="3"/>
      <c r="O1311" s="3"/>
    </row>
    <row r="1312" spans="1:15">
      <c r="A1312" s="3">
        <v>37836</v>
      </c>
      <c r="B1312" s="3">
        <v>37836</v>
      </c>
      <c r="C1312">
        <v>146.78</v>
      </c>
      <c r="D1312">
        <v>1.1276999999999999</v>
      </c>
      <c r="E1312">
        <v>29.99</v>
      </c>
      <c r="F1312">
        <v>81.849999999999994</v>
      </c>
      <c r="K1312" s="3"/>
      <c r="O1312" s="3"/>
    </row>
    <row r="1313" spans="1:15">
      <c r="A1313" s="3">
        <v>37837</v>
      </c>
      <c r="B1313" s="3">
        <v>37837</v>
      </c>
      <c r="C1313">
        <v>146.22</v>
      </c>
      <c r="D1313">
        <v>1.1359999999999999</v>
      </c>
      <c r="E1313">
        <v>29.53</v>
      </c>
      <c r="F1313">
        <v>80.95</v>
      </c>
      <c r="K1313" s="3"/>
      <c r="O1313" s="3"/>
    </row>
    <row r="1314" spans="1:15">
      <c r="A1314" s="3">
        <v>37838</v>
      </c>
      <c r="B1314" s="3">
        <v>37838</v>
      </c>
      <c r="C1314">
        <v>146.28</v>
      </c>
      <c r="D1314">
        <v>1.1388</v>
      </c>
      <c r="E1314">
        <v>29.93</v>
      </c>
      <c r="F1314">
        <v>80.849999999999994</v>
      </c>
      <c r="K1314" s="3"/>
      <c r="O1314" s="3"/>
    </row>
    <row r="1315" spans="1:15">
      <c r="A1315" s="3">
        <v>37839</v>
      </c>
      <c r="B1315" s="3">
        <v>37839</v>
      </c>
      <c r="C1315">
        <v>147.16999999999999</v>
      </c>
      <c r="D1315">
        <v>1.1334</v>
      </c>
      <c r="E1315">
        <v>29.48</v>
      </c>
      <c r="F1315">
        <v>80.45</v>
      </c>
      <c r="K1315" s="3"/>
      <c r="O1315" s="3"/>
    </row>
    <row r="1316" spans="1:15">
      <c r="A1316" s="3">
        <v>37840</v>
      </c>
      <c r="B1316" s="3">
        <v>37840</v>
      </c>
      <c r="C1316">
        <v>147.30000000000001</v>
      </c>
      <c r="D1316">
        <v>1.1374</v>
      </c>
      <c r="E1316">
        <v>30.25</v>
      </c>
      <c r="F1316">
        <v>81.5</v>
      </c>
      <c r="K1316" s="3"/>
      <c r="O1316" s="3"/>
    </row>
    <row r="1317" spans="1:15">
      <c r="A1317" s="3">
        <v>37841</v>
      </c>
      <c r="B1317" s="3">
        <v>37841</v>
      </c>
      <c r="C1317">
        <v>147.16999999999999</v>
      </c>
      <c r="D1317">
        <v>1.1309</v>
      </c>
      <c r="E1317">
        <v>29.99</v>
      </c>
      <c r="F1317">
        <v>80.150000000000006</v>
      </c>
      <c r="K1317" s="3"/>
      <c r="O1317" s="3"/>
    </row>
    <row r="1318" spans="1:15">
      <c r="A1318" s="3">
        <v>37842</v>
      </c>
      <c r="B1318" s="3">
        <v>37842</v>
      </c>
      <c r="C1318">
        <v>147.16999999999999</v>
      </c>
      <c r="D1318">
        <v>1.1309</v>
      </c>
      <c r="E1318">
        <v>29.99</v>
      </c>
      <c r="F1318">
        <v>80.150000000000006</v>
      </c>
      <c r="K1318" s="3"/>
      <c r="O1318" s="3"/>
    </row>
    <row r="1319" spans="1:15">
      <c r="A1319" s="3">
        <v>37843</v>
      </c>
      <c r="B1319" s="3">
        <v>37843</v>
      </c>
      <c r="C1319">
        <v>147.16999999999999</v>
      </c>
      <c r="D1319">
        <v>1.1309</v>
      </c>
      <c r="E1319">
        <v>29.99</v>
      </c>
      <c r="F1319">
        <v>80.150000000000006</v>
      </c>
      <c r="K1319" s="3"/>
      <c r="O1319" s="3"/>
    </row>
    <row r="1320" spans="1:15">
      <c r="A1320" s="3">
        <v>37844</v>
      </c>
      <c r="B1320" s="3">
        <v>37844</v>
      </c>
      <c r="C1320">
        <v>146.63999999999999</v>
      </c>
      <c r="D1320">
        <v>1.1358999999999999</v>
      </c>
      <c r="E1320">
        <v>29.91</v>
      </c>
      <c r="F1320">
        <v>80.650000000000006</v>
      </c>
      <c r="K1320" s="3"/>
      <c r="O1320" s="3"/>
    </row>
    <row r="1321" spans="1:15">
      <c r="A1321" s="3">
        <v>37845</v>
      </c>
      <c r="B1321" s="3">
        <v>37845</v>
      </c>
      <c r="C1321">
        <v>146.58000000000001</v>
      </c>
      <c r="D1321">
        <v>1.1284000000000001</v>
      </c>
      <c r="E1321">
        <v>29.87</v>
      </c>
      <c r="F1321">
        <v>78.900000000000006</v>
      </c>
      <c r="K1321" s="3"/>
      <c r="O1321" s="3"/>
    </row>
    <row r="1322" spans="1:15">
      <c r="A1322" s="3">
        <v>37846</v>
      </c>
      <c r="B1322" s="3">
        <v>37846</v>
      </c>
      <c r="C1322">
        <v>146.4</v>
      </c>
      <c r="D1322">
        <v>1.1322000000000001</v>
      </c>
      <c r="E1322">
        <v>29.01</v>
      </c>
      <c r="F1322">
        <v>79.2</v>
      </c>
      <c r="K1322" s="3"/>
      <c r="O1322" s="3"/>
    </row>
    <row r="1323" spans="1:15">
      <c r="A1323" s="3">
        <v>37847</v>
      </c>
      <c r="B1323" s="3">
        <v>37847</v>
      </c>
      <c r="C1323">
        <v>146.09</v>
      </c>
      <c r="D1323">
        <v>1.1262000000000001</v>
      </c>
      <c r="E1323">
        <v>28.83</v>
      </c>
      <c r="F1323">
        <v>79.849999999999994</v>
      </c>
      <c r="K1323" s="3"/>
      <c r="O1323" s="3"/>
    </row>
    <row r="1324" spans="1:15">
      <c r="A1324" s="3">
        <v>37848</v>
      </c>
      <c r="B1324" s="3">
        <v>37848</v>
      </c>
      <c r="C1324">
        <v>146.11000000000001</v>
      </c>
      <c r="D1324">
        <v>1.1266</v>
      </c>
      <c r="E1324">
        <v>28.81</v>
      </c>
      <c r="F1324">
        <v>79.150000000000006</v>
      </c>
      <c r="K1324" s="3"/>
      <c r="O1324" s="3"/>
    </row>
    <row r="1325" spans="1:15">
      <c r="A1325" s="3">
        <v>37849</v>
      </c>
      <c r="B1325" s="3">
        <v>37849</v>
      </c>
      <c r="C1325">
        <v>146.11000000000001</v>
      </c>
      <c r="D1325">
        <v>1.1266</v>
      </c>
      <c r="E1325">
        <v>28.81</v>
      </c>
      <c r="F1325">
        <v>79.150000000000006</v>
      </c>
      <c r="K1325" s="3"/>
      <c r="O1325" s="3"/>
    </row>
    <row r="1326" spans="1:15">
      <c r="A1326" s="3">
        <v>37850</v>
      </c>
      <c r="B1326" s="3">
        <v>37850</v>
      </c>
      <c r="C1326">
        <v>146.11000000000001</v>
      </c>
      <c r="D1326">
        <v>1.1266</v>
      </c>
      <c r="E1326">
        <v>28.81</v>
      </c>
      <c r="F1326">
        <v>79.150000000000006</v>
      </c>
      <c r="K1326" s="3"/>
      <c r="O1326" s="3"/>
    </row>
    <row r="1327" spans="1:15">
      <c r="A1327" s="3">
        <v>37851</v>
      </c>
      <c r="B1327" s="3">
        <v>37851</v>
      </c>
      <c r="C1327">
        <v>146.12</v>
      </c>
      <c r="D1327">
        <v>1.1146</v>
      </c>
      <c r="E1327">
        <v>28.66</v>
      </c>
      <c r="F1327">
        <v>79.599999999999994</v>
      </c>
      <c r="K1327" s="3"/>
      <c r="O1327" s="3"/>
    </row>
    <row r="1328" spans="1:15">
      <c r="A1328" s="3">
        <v>37852</v>
      </c>
      <c r="B1328" s="3">
        <v>37852</v>
      </c>
      <c r="C1328">
        <v>146.56</v>
      </c>
      <c r="D1328">
        <v>1.1140000000000001</v>
      </c>
      <c r="E1328">
        <v>28.47</v>
      </c>
      <c r="F1328">
        <v>80.25</v>
      </c>
      <c r="K1328" s="3"/>
      <c r="O1328" s="3"/>
    </row>
    <row r="1329" spans="1:15">
      <c r="A1329" s="3">
        <v>37853</v>
      </c>
      <c r="B1329" s="3">
        <v>37853</v>
      </c>
      <c r="C1329">
        <v>146.47</v>
      </c>
      <c r="D1329">
        <v>1.1119000000000001</v>
      </c>
      <c r="E1329">
        <v>28.84</v>
      </c>
      <c r="F1329">
        <v>80.5</v>
      </c>
      <c r="K1329" s="3"/>
      <c r="O1329" s="3"/>
    </row>
    <row r="1330" spans="1:15">
      <c r="A1330" s="3">
        <v>37854</v>
      </c>
      <c r="B1330" s="3">
        <v>37854</v>
      </c>
      <c r="C1330">
        <v>146.49</v>
      </c>
      <c r="D1330">
        <v>1.0923</v>
      </c>
      <c r="E1330">
        <v>29.71</v>
      </c>
      <c r="F1330">
        <v>80.25</v>
      </c>
      <c r="K1330" s="3"/>
      <c r="O1330" s="3"/>
    </row>
    <row r="1331" spans="1:15">
      <c r="A1331" s="3">
        <v>37855</v>
      </c>
      <c r="B1331" s="3">
        <v>37855</v>
      </c>
      <c r="C1331">
        <v>146.72</v>
      </c>
      <c r="D1331">
        <v>1.0876999999999999</v>
      </c>
      <c r="E1331">
        <v>29.7</v>
      </c>
      <c r="F1331">
        <v>80.3</v>
      </c>
      <c r="K1331" s="3"/>
      <c r="O1331" s="3"/>
    </row>
    <row r="1332" spans="1:15">
      <c r="A1332" s="3">
        <v>37856</v>
      </c>
      <c r="B1332" s="3">
        <v>37856</v>
      </c>
      <c r="C1332">
        <v>146.72</v>
      </c>
      <c r="D1332">
        <v>1.0876999999999999</v>
      </c>
      <c r="E1332">
        <v>29.7</v>
      </c>
      <c r="F1332">
        <v>80.3</v>
      </c>
      <c r="K1332" s="3"/>
      <c r="O1332" s="3"/>
    </row>
    <row r="1333" spans="1:15">
      <c r="A1333" s="3">
        <v>37857</v>
      </c>
      <c r="B1333" s="3">
        <v>37857</v>
      </c>
      <c r="C1333">
        <v>146.72</v>
      </c>
      <c r="D1333">
        <v>1.0876999999999999</v>
      </c>
      <c r="E1333">
        <v>29.7</v>
      </c>
      <c r="F1333">
        <v>80.3</v>
      </c>
      <c r="K1333" s="3"/>
      <c r="O1333" s="3"/>
    </row>
    <row r="1334" spans="1:15">
      <c r="A1334" s="3">
        <v>37858</v>
      </c>
      <c r="B1334" s="3">
        <v>37858</v>
      </c>
      <c r="C1334">
        <v>146.94999999999999</v>
      </c>
      <c r="D1334">
        <v>1.0873999999999999</v>
      </c>
      <c r="E1334">
        <v>29.7</v>
      </c>
      <c r="F1334">
        <v>80.45</v>
      </c>
      <c r="K1334" s="3"/>
      <c r="O1334" s="3"/>
    </row>
    <row r="1335" spans="1:15">
      <c r="A1335" s="3">
        <v>37859</v>
      </c>
      <c r="B1335" s="3">
        <v>37859</v>
      </c>
      <c r="C1335">
        <v>147.24</v>
      </c>
      <c r="D1335">
        <v>1.0857000000000001</v>
      </c>
      <c r="E1335">
        <v>29.77</v>
      </c>
      <c r="F1335">
        <v>79.400000000000006</v>
      </c>
      <c r="K1335" s="3"/>
      <c r="O1335" s="3"/>
    </row>
    <row r="1336" spans="1:15">
      <c r="A1336" s="3">
        <v>37860</v>
      </c>
      <c r="B1336" s="3">
        <v>37860</v>
      </c>
      <c r="C1336">
        <v>147.35</v>
      </c>
      <c r="D1336">
        <v>1.0888</v>
      </c>
      <c r="E1336">
        <v>29.18</v>
      </c>
      <c r="F1336">
        <v>79.25</v>
      </c>
      <c r="K1336" s="3"/>
      <c r="O1336" s="3"/>
    </row>
    <row r="1337" spans="1:15">
      <c r="A1337" s="3">
        <v>37861</v>
      </c>
      <c r="B1337" s="3">
        <v>37861</v>
      </c>
      <c r="C1337">
        <v>147.27000000000001</v>
      </c>
      <c r="D1337">
        <v>1.0885</v>
      </c>
      <c r="E1337">
        <v>29.44</v>
      </c>
      <c r="F1337">
        <v>78.7</v>
      </c>
      <c r="K1337" s="3"/>
      <c r="O1337" s="3"/>
    </row>
    <row r="1338" spans="1:15">
      <c r="A1338" s="3">
        <v>37862</v>
      </c>
      <c r="B1338" s="3">
        <v>37862</v>
      </c>
      <c r="C1338">
        <v>147.52000000000001</v>
      </c>
      <c r="D1338">
        <v>1.0984</v>
      </c>
      <c r="E1338">
        <v>29.49</v>
      </c>
      <c r="F1338">
        <v>80.3</v>
      </c>
      <c r="K1338" s="3"/>
      <c r="O1338" s="3"/>
    </row>
    <row r="1339" spans="1:15">
      <c r="A1339" s="3">
        <v>37863</v>
      </c>
      <c r="B1339" s="3">
        <v>37863</v>
      </c>
      <c r="C1339">
        <v>147.52000000000001</v>
      </c>
      <c r="D1339">
        <v>1.0984</v>
      </c>
      <c r="E1339">
        <v>29.49</v>
      </c>
      <c r="F1339">
        <v>80.3</v>
      </c>
      <c r="K1339" s="3"/>
      <c r="O1339" s="3"/>
    </row>
    <row r="1340" spans="1:15">
      <c r="A1340" s="3">
        <v>37864</v>
      </c>
      <c r="B1340" s="3">
        <v>37864</v>
      </c>
      <c r="C1340">
        <v>147.52000000000001</v>
      </c>
      <c r="D1340">
        <v>1.0984</v>
      </c>
      <c r="E1340">
        <v>29.49</v>
      </c>
      <c r="F1340">
        <v>80.3</v>
      </c>
      <c r="K1340" s="3"/>
      <c r="O1340" s="3"/>
    </row>
    <row r="1341" spans="1:15">
      <c r="A1341" s="3">
        <v>37865</v>
      </c>
      <c r="B1341" s="3">
        <v>37865</v>
      </c>
      <c r="C1341">
        <v>147.52000000000001</v>
      </c>
      <c r="D1341">
        <v>1.0969</v>
      </c>
      <c r="E1341">
        <v>29.25</v>
      </c>
      <c r="F1341">
        <v>80.3</v>
      </c>
      <c r="K1341" s="3"/>
      <c r="O1341" s="3"/>
    </row>
    <row r="1342" spans="1:15">
      <c r="A1342" s="3">
        <v>37866</v>
      </c>
      <c r="B1342" s="3">
        <v>37866</v>
      </c>
      <c r="C1342">
        <v>147.62</v>
      </c>
      <c r="D1342">
        <v>1.0809</v>
      </c>
      <c r="E1342">
        <v>27.52</v>
      </c>
      <c r="F1342">
        <v>80.95</v>
      </c>
      <c r="K1342" s="3"/>
      <c r="O1342" s="3"/>
    </row>
    <row r="1343" spans="1:15">
      <c r="A1343" s="3">
        <v>37867</v>
      </c>
      <c r="B1343" s="3">
        <v>37867</v>
      </c>
      <c r="C1343">
        <v>147.97999999999999</v>
      </c>
      <c r="D1343">
        <v>1.0846</v>
      </c>
      <c r="E1343">
        <v>27.74</v>
      </c>
      <c r="F1343">
        <v>82.45</v>
      </c>
      <c r="K1343" s="3"/>
      <c r="O1343" s="3"/>
    </row>
    <row r="1344" spans="1:15">
      <c r="A1344" s="3">
        <v>37868</v>
      </c>
      <c r="B1344" s="3">
        <v>37868</v>
      </c>
      <c r="C1344">
        <v>148.27000000000001</v>
      </c>
      <c r="D1344">
        <v>1.0946</v>
      </c>
      <c r="E1344">
        <v>27.31</v>
      </c>
      <c r="F1344">
        <v>81.349999999999994</v>
      </c>
      <c r="K1344" s="3"/>
      <c r="O1344" s="3"/>
    </row>
    <row r="1345" spans="1:15">
      <c r="A1345" s="3">
        <v>37869</v>
      </c>
      <c r="B1345" s="3">
        <v>37869</v>
      </c>
      <c r="C1345">
        <v>148.41999999999999</v>
      </c>
      <c r="D1345">
        <v>1.1104000000000001</v>
      </c>
      <c r="E1345">
        <v>27.21</v>
      </c>
      <c r="F1345">
        <v>82.7</v>
      </c>
      <c r="K1345" s="3"/>
      <c r="O1345" s="3"/>
    </row>
    <row r="1346" spans="1:15">
      <c r="A1346" s="3">
        <v>37870</v>
      </c>
      <c r="B1346" s="3">
        <v>37870</v>
      </c>
      <c r="C1346">
        <v>148.41999999999999</v>
      </c>
      <c r="D1346">
        <v>1.1104000000000001</v>
      </c>
      <c r="E1346">
        <v>27.21</v>
      </c>
      <c r="F1346">
        <v>82.7</v>
      </c>
      <c r="K1346" s="3"/>
      <c r="O1346" s="3"/>
    </row>
    <row r="1347" spans="1:15">
      <c r="A1347" s="3">
        <v>37871</v>
      </c>
      <c r="B1347" s="3">
        <v>37871</v>
      </c>
      <c r="C1347">
        <v>148.41999999999999</v>
      </c>
      <c r="D1347">
        <v>1.1104000000000001</v>
      </c>
      <c r="E1347">
        <v>27.21</v>
      </c>
      <c r="F1347">
        <v>82.7</v>
      </c>
      <c r="K1347" s="3"/>
      <c r="O1347" s="3"/>
    </row>
    <row r="1348" spans="1:15">
      <c r="A1348" s="3">
        <v>37872</v>
      </c>
      <c r="B1348" s="3">
        <v>37872</v>
      </c>
      <c r="C1348">
        <v>147.69</v>
      </c>
      <c r="D1348">
        <v>1.1066</v>
      </c>
      <c r="E1348">
        <v>27.17</v>
      </c>
      <c r="F1348">
        <v>82.4</v>
      </c>
      <c r="K1348" s="3"/>
      <c r="O1348" s="3"/>
    </row>
    <row r="1349" spans="1:15">
      <c r="A1349" s="3">
        <v>37873</v>
      </c>
      <c r="B1349" s="3">
        <v>37873</v>
      </c>
      <c r="C1349">
        <v>147.38999999999999</v>
      </c>
      <c r="D1349">
        <v>1.1226</v>
      </c>
      <c r="E1349">
        <v>27.37</v>
      </c>
      <c r="F1349">
        <v>81.349999999999994</v>
      </c>
      <c r="K1349" s="3"/>
      <c r="O1349" s="3"/>
    </row>
    <row r="1350" spans="1:15">
      <c r="A1350" s="3">
        <v>37874</v>
      </c>
      <c r="B1350" s="3">
        <v>37874</v>
      </c>
      <c r="C1350">
        <v>147.41</v>
      </c>
      <c r="D1350">
        <v>1.1211</v>
      </c>
      <c r="E1350">
        <v>27.52</v>
      </c>
      <c r="F1350">
        <v>80.349999999999994</v>
      </c>
      <c r="K1350" s="3"/>
      <c r="O1350" s="3"/>
    </row>
    <row r="1351" spans="1:15">
      <c r="A1351" s="3">
        <v>37875</v>
      </c>
      <c r="B1351" s="3">
        <v>37875</v>
      </c>
      <c r="C1351">
        <v>147.78</v>
      </c>
      <c r="D1351">
        <v>1.121</v>
      </c>
      <c r="E1351">
        <v>27.02</v>
      </c>
      <c r="F1351">
        <v>82.25</v>
      </c>
      <c r="K1351" s="3"/>
      <c r="O1351" s="3"/>
    </row>
    <row r="1352" spans="1:15">
      <c r="A1352" s="3">
        <v>37876</v>
      </c>
      <c r="B1352" s="3">
        <v>37876</v>
      </c>
      <c r="C1352">
        <v>147.46</v>
      </c>
      <c r="D1352">
        <v>1.1291</v>
      </c>
      <c r="E1352">
        <v>26.77</v>
      </c>
      <c r="F1352">
        <v>81</v>
      </c>
      <c r="K1352" s="3"/>
      <c r="O1352" s="3"/>
    </row>
    <row r="1353" spans="1:15">
      <c r="A1353" s="3">
        <v>37877</v>
      </c>
      <c r="B1353" s="3">
        <v>37877</v>
      </c>
      <c r="C1353">
        <v>147.46</v>
      </c>
      <c r="D1353">
        <v>1.1291</v>
      </c>
      <c r="E1353">
        <v>26.77</v>
      </c>
      <c r="F1353">
        <v>81</v>
      </c>
      <c r="K1353" s="3"/>
      <c r="O1353" s="3"/>
    </row>
    <row r="1354" spans="1:15">
      <c r="A1354" s="3">
        <v>37878</v>
      </c>
      <c r="B1354" s="3">
        <v>37878</v>
      </c>
      <c r="C1354">
        <v>147.46</v>
      </c>
      <c r="D1354">
        <v>1.1291</v>
      </c>
      <c r="E1354">
        <v>26.77</v>
      </c>
      <c r="F1354">
        <v>81</v>
      </c>
      <c r="K1354" s="3"/>
      <c r="O1354" s="3"/>
    </row>
    <row r="1355" spans="1:15">
      <c r="A1355" s="3">
        <v>37879</v>
      </c>
      <c r="B1355" s="3">
        <v>37879</v>
      </c>
      <c r="C1355">
        <v>147.52000000000001</v>
      </c>
      <c r="D1355">
        <v>1.1284000000000001</v>
      </c>
      <c r="E1355">
        <v>26.7</v>
      </c>
      <c r="F1355">
        <v>81.55</v>
      </c>
      <c r="K1355" s="3"/>
      <c r="O1355" s="3"/>
    </row>
    <row r="1356" spans="1:15">
      <c r="A1356" s="3">
        <v>37880</v>
      </c>
      <c r="B1356" s="3">
        <v>37880</v>
      </c>
      <c r="C1356">
        <v>147.57</v>
      </c>
      <c r="D1356">
        <v>1.1176999999999999</v>
      </c>
      <c r="E1356">
        <v>25.99</v>
      </c>
      <c r="F1356">
        <v>81.05</v>
      </c>
      <c r="K1356" s="3"/>
      <c r="O1356" s="3"/>
    </row>
    <row r="1357" spans="1:15">
      <c r="A1357" s="3">
        <v>37881</v>
      </c>
      <c r="B1357" s="3">
        <v>37881</v>
      </c>
      <c r="C1357">
        <v>147.52000000000001</v>
      </c>
      <c r="D1357">
        <v>1.1285000000000001</v>
      </c>
      <c r="E1357">
        <v>25.67</v>
      </c>
      <c r="F1357">
        <v>81.900000000000006</v>
      </c>
      <c r="K1357" s="3"/>
      <c r="O1357" s="3"/>
    </row>
    <row r="1358" spans="1:15">
      <c r="A1358" s="3">
        <v>37882</v>
      </c>
      <c r="B1358" s="3">
        <v>37882</v>
      </c>
      <c r="C1358">
        <v>147.66</v>
      </c>
      <c r="D1358">
        <v>1.1254999999999999</v>
      </c>
      <c r="E1358">
        <v>25.59</v>
      </c>
      <c r="F1358">
        <v>82.3</v>
      </c>
      <c r="K1358" s="3"/>
      <c r="O1358" s="3"/>
    </row>
    <row r="1359" spans="1:15">
      <c r="A1359" s="3">
        <v>37883</v>
      </c>
      <c r="B1359" s="3">
        <v>37883</v>
      </c>
      <c r="C1359">
        <v>147.71</v>
      </c>
      <c r="D1359">
        <v>1.1371</v>
      </c>
      <c r="E1359">
        <v>25.32</v>
      </c>
      <c r="F1359">
        <v>82.5</v>
      </c>
      <c r="K1359" s="3"/>
      <c r="O1359" s="3"/>
    </row>
    <row r="1360" spans="1:15">
      <c r="A1360" s="3">
        <v>37884</v>
      </c>
      <c r="B1360" s="3">
        <v>37884</v>
      </c>
      <c r="C1360">
        <v>147.71</v>
      </c>
      <c r="D1360">
        <v>1.1371</v>
      </c>
      <c r="E1360">
        <v>25.32</v>
      </c>
      <c r="F1360">
        <v>82.5</v>
      </c>
      <c r="K1360" s="3"/>
      <c r="O1360" s="3"/>
    </row>
    <row r="1361" spans="1:15">
      <c r="A1361" s="3">
        <v>37885</v>
      </c>
      <c r="B1361" s="3">
        <v>37885</v>
      </c>
      <c r="C1361">
        <v>147.71</v>
      </c>
      <c r="D1361">
        <v>1.1371</v>
      </c>
      <c r="E1361">
        <v>25.32</v>
      </c>
      <c r="F1361">
        <v>82.5</v>
      </c>
      <c r="K1361" s="3"/>
      <c r="O1361" s="3"/>
    </row>
    <row r="1362" spans="1:15">
      <c r="A1362" s="3">
        <v>37886</v>
      </c>
      <c r="B1362" s="3">
        <v>37886</v>
      </c>
      <c r="C1362">
        <v>147.68</v>
      </c>
      <c r="D1362">
        <v>1.1462000000000001</v>
      </c>
      <c r="E1362">
        <v>25.53</v>
      </c>
      <c r="F1362">
        <v>82.6</v>
      </c>
      <c r="K1362" s="3"/>
      <c r="O1362" s="3"/>
    </row>
    <row r="1363" spans="1:15">
      <c r="A1363" s="3">
        <v>37887</v>
      </c>
      <c r="B1363" s="3">
        <v>37887</v>
      </c>
      <c r="C1363">
        <v>148.51</v>
      </c>
      <c r="D1363">
        <v>1.1444000000000001</v>
      </c>
      <c r="E1363">
        <v>25.52</v>
      </c>
      <c r="F1363">
        <v>82</v>
      </c>
      <c r="K1363" s="3"/>
      <c r="O1363" s="3"/>
    </row>
    <row r="1364" spans="1:15">
      <c r="A1364" s="3">
        <v>37888</v>
      </c>
      <c r="B1364" s="3">
        <v>37888</v>
      </c>
      <c r="C1364">
        <v>148.57</v>
      </c>
      <c r="D1364">
        <v>1.1496</v>
      </c>
      <c r="E1364">
        <v>26.67</v>
      </c>
      <c r="F1364">
        <v>82.35</v>
      </c>
      <c r="K1364" s="3"/>
      <c r="O1364" s="3"/>
    </row>
    <row r="1365" spans="1:15">
      <c r="A1365" s="3">
        <v>37889</v>
      </c>
      <c r="B1365" s="3">
        <v>37889</v>
      </c>
      <c r="C1365">
        <v>148.56</v>
      </c>
      <c r="D1365">
        <v>1.1491</v>
      </c>
      <c r="E1365">
        <v>26.81</v>
      </c>
      <c r="F1365">
        <v>82.75</v>
      </c>
      <c r="K1365" s="3"/>
      <c r="O1365" s="3"/>
    </row>
    <row r="1366" spans="1:15">
      <c r="A1366" s="3">
        <v>37890</v>
      </c>
      <c r="B1366" s="3">
        <v>37890</v>
      </c>
      <c r="C1366">
        <v>148.84</v>
      </c>
      <c r="D1366">
        <v>1.1464000000000001</v>
      </c>
      <c r="E1366">
        <v>26.64</v>
      </c>
      <c r="F1366">
        <v>81.650000000000006</v>
      </c>
      <c r="K1366" s="3"/>
      <c r="O1366" s="3"/>
    </row>
    <row r="1367" spans="1:15">
      <c r="A1367" s="3">
        <v>37891</v>
      </c>
      <c r="B1367" s="3">
        <v>37891</v>
      </c>
      <c r="C1367">
        <v>148.84</v>
      </c>
      <c r="D1367">
        <v>1.1464000000000001</v>
      </c>
      <c r="E1367">
        <v>26.64</v>
      </c>
      <c r="F1367">
        <v>81.650000000000006</v>
      </c>
      <c r="K1367" s="3"/>
      <c r="O1367" s="3"/>
    </row>
    <row r="1368" spans="1:15">
      <c r="A1368" s="3">
        <v>37892</v>
      </c>
      <c r="B1368" s="3">
        <v>37892</v>
      </c>
      <c r="C1368">
        <v>148.84</v>
      </c>
      <c r="D1368">
        <v>1.1464000000000001</v>
      </c>
      <c r="E1368">
        <v>26.64</v>
      </c>
      <c r="F1368">
        <v>81.650000000000006</v>
      </c>
      <c r="K1368" s="3"/>
      <c r="O1368" s="3"/>
    </row>
    <row r="1369" spans="1:15">
      <c r="A1369" s="3">
        <v>37893</v>
      </c>
      <c r="B1369" s="3">
        <v>37893</v>
      </c>
      <c r="C1369">
        <v>149.22</v>
      </c>
      <c r="D1369">
        <v>1.1597999999999999</v>
      </c>
      <c r="E1369">
        <v>26.83</v>
      </c>
      <c r="F1369">
        <v>82.4</v>
      </c>
      <c r="K1369" s="3"/>
      <c r="O1369" s="3"/>
    </row>
    <row r="1370" spans="1:15">
      <c r="A1370" s="3">
        <v>37894</v>
      </c>
      <c r="B1370" s="3">
        <v>37894</v>
      </c>
      <c r="C1370">
        <v>148.86000000000001</v>
      </c>
      <c r="D1370">
        <v>1.1657</v>
      </c>
      <c r="E1370">
        <v>27.61</v>
      </c>
      <c r="F1370">
        <v>81.849999999999994</v>
      </c>
      <c r="K1370" s="3"/>
      <c r="O1370" s="3"/>
    </row>
    <row r="1371" spans="1:15">
      <c r="A1371" s="3">
        <v>37895</v>
      </c>
      <c r="B1371" s="3">
        <v>37895</v>
      </c>
      <c r="C1371">
        <v>148.51</v>
      </c>
      <c r="D1371">
        <v>1.1718</v>
      </c>
      <c r="E1371">
        <v>27.88</v>
      </c>
      <c r="F1371">
        <v>82.3</v>
      </c>
      <c r="K1371" s="3"/>
      <c r="O1371" s="3"/>
    </row>
    <row r="1372" spans="1:15">
      <c r="A1372" s="3">
        <v>37896</v>
      </c>
      <c r="B1372" s="3">
        <v>37896</v>
      </c>
      <c r="C1372">
        <v>148.65</v>
      </c>
      <c r="D1372">
        <v>1.1696</v>
      </c>
      <c r="E1372">
        <v>28.27</v>
      </c>
      <c r="F1372">
        <v>83.35</v>
      </c>
      <c r="K1372" s="3"/>
      <c r="O1372" s="3"/>
    </row>
    <row r="1373" spans="1:15">
      <c r="A1373" s="3">
        <v>37897</v>
      </c>
      <c r="B1373" s="3">
        <v>37897</v>
      </c>
      <c r="C1373">
        <v>148.54</v>
      </c>
      <c r="D1373">
        <v>1.1579999999999999</v>
      </c>
      <c r="E1373">
        <v>28.71</v>
      </c>
      <c r="F1373">
        <v>83.7</v>
      </c>
      <c r="K1373" s="3"/>
      <c r="O1373" s="3"/>
    </row>
    <row r="1374" spans="1:15">
      <c r="A1374" s="3">
        <v>37898</v>
      </c>
      <c r="B1374" s="3">
        <v>37898</v>
      </c>
      <c r="C1374">
        <v>148.54</v>
      </c>
      <c r="D1374">
        <v>1.1579999999999999</v>
      </c>
      <c r="E1374">
        <v>28.71</v>
      </c>
      <c r="F1374">
        <v>83.7</v>
      </c>
      <c r="K1374" s="3"/>
      <c r="O1374" s="3"/>
    </row>
    <row r="1375" spans="1:15">
      <c r="A1375" s="3">
        <v>37899</v>
      </c>
      <c r="B1375" s="3">
        <v>37899</v>
      </c>
      <c r="C1375">
        <v>148.54</v>
      </c>
      <c r="D1375">
        <v>1.1579999999999999</v>
      </c>
      <c r="E1375">
        <v>28.71</v>
      </c>
      <c r="F1375">
        <v>83.7</v>
      </c>
      <c r="K1375" s="3"/>
      <c r="O1375" s="3"/>
    </row>
    <row r="1376" spans="1:15">
      <c r="A1376" s="3">
        <v>37900</v>
      </c>
      <c r="B1376" s="3">
        <v>37900</v>
      </c>
      <c r="C1376">
        <v>148.37</v>
      </c>
      <c r="D1376">
        <v>1.171</v>
      </c>
      <c r="E1376">
        <v>28.89</v>
      </c>
      <c r="F1376">
        <v>83.75</v>
      </c>
      <c r="K1376" s="3"/>
      <c r="O1376" s="3"/>
    </row>
    <row r="1377" spans="1:15">
      <c r="A1377" s="3">
        <v>37901</v>
      </c>
      <c r="B1377" s="3">
        <v>37901</v>
      </c>
      <c r="C1377">
        <v>148.37</v>
      </c>
      <c r="D1377">
        <v>1.1760999999999999</v>
      </c>
      <c r="E1377">
        <v>29.03</v>
      </c>
      <c r="F1377">
        <v>84.7</v>
      </c>
      <c r="K1377" s="3"/>
      <c r="O1377" s="3"/>
    </row>
    <row r="1378" spans="1:15">
      <c r="A1378" s="3">
        <v>37902</v>
      </c>
      <c r="B1378" s="3">
        <v>37902</v>
      </c>
      <c r="C1378">
        <v>147.79</v>
      </c>
      <c r="D1378">
        <v>1.1812</v>
      </c>
      <c r="E1378">
        <v>28.73</v>
      </c>
      <c r="F1378">
        <v>85.45</v>
      </c>
      <c r="K1378" s="3"/>
      <c r="O1378" s="3"/>
    </row>
    <row r="1379" spans="1:15">
      <c r="A1379" s="3">
        <v>37903</v>
      </c>
      <c r="B1379" s="3">
        <v>37903</v>
      </c>
      <c r="C1379">
        <v>147.49</v>
      </c>
      <c r="D1379">
        <v>1.1748000000000001</v>
      </c>
      <c r="E1379">
        <v>30.14</v>
      </c>
      <c r="F1379">
        <v>85.35</v>
      </c>
      <c r="K1379" s="3"/>
      <c r="O1379" s="3"/>
    </row>
    <row r="1380" spans="1:15">
      <c r="A1380" s="3">
        <v>37904</v>
      </c>
      <c r="B1380" s="3">
        <v>37904</v>
      </c>
      <c r="C1380">
        <v>147.43</v>
      </c>
      <c r="D1380">
        <v>1.1798</v>
      </c>
      <c r="E1380">
        <v>30.9</v>
      </c>
      <c r="F1380">
        <v>86.35</v>
      </c>
      <c r="K1380" s="3"/>
      <c r="O1380" s="3"/>
    </row>
    <row r="1381" spans="1:15">
      <c r="A1381" s="3">
        <v>37905</v>
      </c>
      <c r="B1381" s="3">
        <v>37905</v>
      </c>
      <c r="C1381">
        <v>147.43</v>
      </c>
      <c r="D1381">
        <v>1.1798</v>
      </c>
      <c r="E1381">
        <v>30.9</v>
      </c>
      <c r="F1381">
        <v>86.35</v>
      </c>
      <c r="K1381" s="3"/>
      <c r="O1381" s="3"/>
    </row>
    <row r="1382" spans="1:15">
      <c r="A1382" s="3">
        <v>37906</v>
      </c>
      <c r="B1382" s="3">
        <v>37906</v>
      </c>
      <c r="C1382">
        <v>147.43</v>
      </c>
      <c r="D1382">
        <v>1.1798</v>
      </c>
      <c r="E1382">
        <v>30.9</v>
      </c>
      <c r="F1382">
        <v>86.35</v>
      </c>
      <c r="K1382" s="3"/>
      <c r="O1382" s="3"/>
    </row>
    <row r="1383" spans="1:15">
      <c r="A1383" s="3">
        <v>37907</v>
      </c>
      <c r="B1383" s="3">
        <v>37907</v>
      </c>
      <c r="C1383">
        <v>147.19</v>
      </c>
      <c r="D1383">
        <v>1.1706000000000001</v>
      </c>
      <c r="E1383">
        <v>30.67</v>
      </c>
      <c r="F1383">
        <v>88.75</v>
      </c>
      <c r="K1383" s="3"/>
      <c r="O1383" s="3"/>
    </row>
    <row r="1384" spans="1:15">
      <c r="A1384" s="3">
        <v>37908</v>
      </c>
      <c r="B1384" s="3">
        <v>37908</v>
      </c>
      <c r="C1384">
        <v>147.33000000000001</v>
      </c>
      <c r="D1384">
        <v>1.1724000000000001</v>
      </c>
      <c r="E1384">
        <v>30.69</v>
      </c>
      <c r="F1384">
        <v>87.4</v>
      </c>
      <c r="K1384" s="3"/>
      <c r="O1384" s="3"/>
    </row>
    <row r="1385" spans="1:15">
      <c r="A1385" s="3">
        <v>37909</v>
      </c>
      <c r="B1385" s="3">
        <v>37909</v>
      </c>
      <c r="C1385">
        <v>146.79</v>
      </c>
      <c r="D1385">
        <v>1.1635</v>
      </c>
      <c r="E1385">
        <v>30.87</v>
      </c>
      <c r="F1385">
        <v>89.8</v>
      </c>
      <c r="K1385" s="3"/>
      <c r="O1385" s="3"/>
    </row>
    <row r="1386" spans="1:15">
      <c r="A1386" s="3">
        <v>37910</v>
      </c>
      <c r="B1386" s="3">
        <v>37910</v>
      </c>
      <c r="C1386">
        <v>146.97</v>
      </c>
      <c r="D1386">
        <v>1.1587000000000001</v>
      </c>
      <c r="E1386">
        <v>31.11</v>
      </c>
      <c r="F1386">
        <v>89.4</v>
      </c>
      <c r="K1386" s="3"/>
      <c r="O1386" s="3"/>
    </row>
    <row r="1387" spans="1:15">
      <c r="A1387" s="3">
        <v>37911</v>
      </c>
      <c r="B1387" s="3">
        <v>37911</v>
      </c>
      <c r="C1387">
        <v>147.47</v>
      </c>
      <c r="D1387">
        <v>1.1679999999999999</v>
      </c>
      <c r="E1387">
        <v>29.03</v>
      </c>
      <c r="F1387">
        <v>89.45</v>
      </c>
      <c r="K1387" s="3"/>
      <c r="O1387" s="3"/>
    </row>
    <row r="1388" spans="1:15">
      <c r="A1388" s="3">
        <v>37912</v>
      </c>
      <c r="B1388" s="3">
        <v>37912</v>
      </c>
      <c r="C1388">
        <v>147.47</v>
      </c>
      <c r="D1388">
        <v>1.1679999999999999</v>
      </c>
      <c r="E1388">
        <v>29.03</v>
      </c>
      <c r="F1388">
        <v>89.45</v>
      </c>
      <c r="K1388" s="3"/>
      <c r="O1388" s="3"/>
    </row>
    <row r="1389" spans="1:15">
      <c r="A1389" s="3">
        <v>37913</v>
      </c>
      <c r="B1389" s="3">
        <v>37913</v>
      </c>
      <c r="C1389">
        <v>147.47</v>
      </c>
      <c r="D1389">
        <v>1.1679999999999999</v>
      </c>
      <c r="E1389">
        <v>29.03</v>
      </c>
      <c r="F1389">
        <v>89.45</v>
      </c>
      <c r="K1389" s="3"/>
      <c r="O1389" s="3"/>
    </row>
    <row r="1390" spans="1:15">
      <c r="A1390" s="3">
        <v>37914</v>
      </c>
      <c r="B1390" s="3">
        <v>37914</v>
      </c>
      <c r="C1390">
        <v>147.79</v>
      </c>
      <c r="D1390">
        <v>1.1635</v>
      </c>
      <c r="E1390">
        <v>28.62</v>
      </c>
      <c r="F1390">
        <v>91.15</v>
      </c>
      <c r="K1390" s="3"/>
      <c r="O1390" s="3"/>
    </row>
    <row r="1391" spans="1:15">
      <c r="A1391" s="3">
        <v>37915</v>
      </c>
      <c r="B1391" s="3">
        <v>37915</v>
      </c>
      <c r="C1391">
        <v>147.84</v>
      </c>
      <c r="D1391">
        <v>1.1667000000000001</v>
      </c>
      <c r="E1391">
        <v>28.63</v>
      </c>
      <c r="F1391">
        <v>90.6</v>
      </c>
      <c r="K1391" s="3"/>
      <c r="O1391" s="3"/>
    </row>
    <row r="1392" spans="1:15">
      <c r="A1392" s="3">
        <v>37916</v>
      </c>
      <c r="B1392" s="3">
        <v>37916</v>
      </c>
      <c r="C1392">
        <v>148.13</v>
      </c>
      <c r="D1392">
        <v>1.1803999999999999</v>
      </c>
      <c r="E1392">
        <v>28.28</v>
      </c>
      <c r="F1392">
        <v>91.35</v>
      </c>
      <c r="K1392" s="3"/>
      <c r="O1392" s="3"/>
    </row>
    <row r="1393" spans="1:15">
      <c r="A1393" s="3">
        <v>37917</v>
      </c>
      <c r="B1393" s="3">
        <v>37917</v>
      </c>
      <c r="C1393">
        <v>148.07</v>
      </c>
      <c r="D1393">
        <v>1.1791</v>
      </c>
      <c r="E1393">
        <v>28.63</v>
      </c>
      <c r="F1393">
        <v>90.65</v>
      </c>
      <c r="K1393" s="3"/>
      <c r="O1393" s="3"/>
    </row>
    <row r="1394" spans="1:15">
      <c r="A1394" s="3">
        <v>37918</v>
      </c>
      <c r="B1394" s="3">
        <v>37918</v>
      </c>
      <c r="C1394">
        <v>148</v>
      </c>
      <c r="D1394">
        <v>1.1780999999999999</v>
      </c>
      <c r="E1394">
        <v>28.58</v>
      </c>
      <c r="F1394">
        <v>89.3</v>
      </c>
      <c r="K1394" s="3"/>
      <c r="O1394" s="3"/>
    </row>
    <row r="1395" spans="1:15">
      <c r="A1395" s="3">
        <v>37919</v>
      </c>
      <c r="B1395" s="3">
        <v>37919</v>
      </c>
      <c r="C1395">
        <v>148</v>
      </c>
      <c r="D1395">
        <v>1.1780999999999999</v>
      </c>
      <c r="E1395">
        <v>28.58</v>
      </c>
      <c r="F1395">
        <v>89.3</v>
      </c>
      <c r="K1395" s="3"/>
      <c r="O1395" s="3"/>
    </row>
    <row r="1396" spans="1:15">
      <c r="A1396" s="3">
        <v>37920</v>
      </c>
      <c r="B1396" s="3">
        <v>37920</v>
      </c>
      <c r="C1396">
        <v>148</v>
      </c>
      <c r="D1396">
        <v>1.1780999999999999</v>
      </c>
      <c r="E1396">
        <v>28.58</v>
      </c>
      <c r="F1396">
        <v>89.3</v>
      </c>
      <c r="K1396" s="3"/>
      <c r="O1396" s="3"/>
    </row>
    <row r="1397" spans="1:15">
      <c r="A1397" s="3">
        <v>37921</v>
      </c>
      <c r="B1397" s="3">
        <v>37921</v>
      </c>
      <c r="C1397">
        <v>148</v>
      </c>
      <c r="D1397">
        <v>1.1744000000000001</v>
      </c>
      <c r="E1397">
        <v>28.39</v>
      </c>
      <c r="F1397">
        <v>90.75</v>
      </c>
      <c r="K1397" s="3"/>
      <c r="O1397" s="3"/>
    </row>
    <row r="1398" spans="1:15">
      <c r="A1398" s="3">
        <v>37922</v>
      </c>
      <c r="B1398" s="3">
        <v>37922</v>
      </c>
      <c r="C1398">
        <v>147.97</v>
      </c>
      <c r="D1398">
        <v>1.1669</v>
      </c>
      <c r="E1398">
        <v>28.04</v>
      </c>
      <c r="F1398">
        <v>90.4</v>
      </c>
      <c r="K1398" s="3"/>
      <c r="O1398" s="3"/>
    </row>
    <row r="1399" spans="1:15">
      <c r="A1399" s="3">
        <v>37923</v>
      </c>
      <c r="B1399" s="3">
        <v>37923</v>
      </c>
      <c r="C1399">
        <v>148.02000000000001</v>
      </c>
      <c r="D1399">
        <v>1.1662999999999999</v>
      </c>
      <c r="E1399">
        <v>27.44</v>
      </c>
      <c r="F1399">
        <v>91.9</v>
      </c>
      <c r="K1399" s="3"/>
      <c r="O1399" s="3"/>
    </row>
    <row r="1400" spans="1:15">
      <c r="A1400" s="3">
        <v>37924</v>
      </c>
      <c r="B1400" s="3">
        <v>37924</v>
      </c>
      <c r="C1400">
        <v>148.05000000000001</v>
      </c>
      <c r="D1400">
        <v>1.1626000000000001</v>
      </c>
      <c r="E1400">
        <v>27.1</v>
      </c>
      <c r="F1400">
        <v>93.35</v>
      </c>
      <c r="K1400" s="3"/>
      <c r="O1400" s="3"/>
    </row>
    <row r="1401" spans="1:15">
      <c r="A1401" s="3">
        <v>37925</v>
      </c>
      <c r="B1401" s="3">
        <v>37925</v>
      </c>
      <c r="C1401">
        <v>147.6</v>
      </c>
      <c r="D1401">
        <v>1.1593</v>
      </c>
      <c r="E1401">
        <v>27.7</v>
      </c>
      <c r="F1401">
        <v>93.85</v>
      </c>
      <c r="K1401" s="3"/>
      <c r="O1401" s="3"/>
    </row>
    <row r="1402" spans="1:15">
      <c r="A1402" s="3">
        <v>37926</v>
      </c>
      <c r="B1402" s="3">
        <v>37926</v>
      </c>
      <c r="C1402">
        <v>147.6</v>
      </c>
      <c r="D1402">
        <v>1.1593</v>
      </c>
      <c r="E1402">
        <v>27.7</v>
      </c>
      <c r="F1402">
        <v>93.85</v>
      </c>
      <c r="K1402" s="3"/>
      <c r="O1402" s="3"/>
    </row>
    <row r="1403" spans="1:15">
      <c r="A1403" s="3">
        <v>37927</v>
      </c>
      <c r="B1403" s="3">
        <v>37927</v>
      </c>
      <c r="C1403">
        <v>147.6</v>
      </c>
      <c r="D1403">
        <v>1.1593</v>
      </c>
      <c r="E1403">
        <v>27.7</v>
      </c>
      <c r="F1403">
        <v>93.85</v>
      </c>
      <c r="K1403" s="3"/>
      <c r="O1403" s="3"/>
    </row>
    <row r="1404" spans="1:15">
      <c r="A1404" s="3">
        <v>37928</v>
      </c>
      <c r="B1404" s="3">
        <v>37928</v>
      </c>
      <c r="C1404">
        <v>147.94999999999999</v>
      </c>
      <c r="D1404">
        <v>1.1456999999999999</v>
      </c>
      <c r="E1404">
        <v>27.36</v>
      </c>
      <c r="F1404">
        <v>93.3</v>
      </c>
      <c r="K1404" s="3"/>
      <c r="O1404" s="3"/>
    </row>
    <row r="1405" spans="1:15">
      <c r="A1405" s="3">
        <v>37929</v>
      </c>
      <c r="B1405" s="3">
        <v>37929</v>
      </c>
      <c r="C1405">
        <v>147.87</v>
      </c>
      <c r="D1405">
        <v>1.1494</v>
      </c>
      <c r="E1405">
        <v>27.16</v>
      </c>
      <c r="F1405">
        <v>95.75</v>
      </c>
      <c r="K1405" s="3"/>
      <c r="O1405" s="3"/>
    </row>
    <row r="1406" spans="1:15">
      <c r="A1406" s="3">
        <v>37930</v>
      </c>
      <c r="B1406" s="3">
        <v>37930</v>
      </c>
      <c r="C1406">
        <v>147.47999999999999</v>
      </c>
      <c r="D1406">
        <v>1.1438999999999999</v>
      </c>
      <c r="E1406">
        <v>28.6</v>
      </c>
      <c r="F1406">
        <v>95.65</v>
      </c>
      <c r="K1406" s="3"/>
      <c r="O1406" s="3"/>
    </row>
    <row r="1407" spans="1:15">
      <c r="A1407" s="3">
        <v>37931</v>
      </c>
      <c r="B1407" s="3">
        <v>37931</v>
      </c>
      <c r="C1407">
        <v>147.31</v>
      </c>
      <c r="D1407">
        <v>1.1415999999999999</v>
      </c>
      <c r="E1407">
        <v>28.41</v>
      </c>
      <c r="F1407">
        <v>94</v>
      </c>
      <c r="K1407" s="3"/>
      <c r="O1407" s="3"/>
    </row>
    <row r="1408" spans="1:15">
      <c r="A1408" s="3">
        <v>37932</v>
      </c>
      <c r="B1408" s="3">
        <v>37932</v>
      </c>
      <c r="C1408">
        <v>147.19</v>
      </c>
      <c r="D1408">
        <v>1.1525000000000001</v>
      </c>
      <c r="E1408">
        <v>28.91</v>
      </c>
      <c r="F1408">
        <v>94.45</v>
      </c>
      <c r="K1408" s="3"/>
      <c r="O1408" s="3"/>
    </row>
    <row r="1409" spans="1:15">
      <c r="A1409" s="3">
        <v>37933</v>
      </c>
      <c r="B1409" s="3">
        <v>37933</v>
      </c>
      <c r="C1409">
        <v>147.19</v>
      </c>
      <c r="D1409">
        <v>1.1525000000000001</v>
      </c>
      <c r="E1409">
        <v>28.91</v>
      </c>
      <c r="F1409">
        <v>94.45</v>
      </c>
      <c r="K1409" s="3"/>
      <c r="O1409" s="3"/>
    </row>
    <row r="1410" spans="1:15">
      <c r="A1410" s="3">
        <v>37934</v>
      </c>
      <c r="B1410" s="3">
        <v>37934</v>
      </c>
      <c r="C1410">
        <v>147.19</v>
      </c>
      <c r="D1410">
        <v>1.1525000000000001</v>
      </c>
      <c r="E1410">
        <v>28.91</v>
      </c>
      <c r="F1410">
        <v>94.45</v>
      </c>
      <c r="K1410" s="3"/>
      <c r="O1410" s="3"/>
    </row>
    <row r="1411" spans="1:15">
      <c r="A1411" s="3">
        <v>37935</v>
      </c>
      <c r="B1411" s="3">
        <v>37935</v>
      </c>
      <c r="C1411">
        <v>147.6</v>
      </c>
      <c r="D1411">
        <v>1.1480999999999999</v>
      </c>
      <c r="E1411">
        <v>28.99</v>
      </c>
      <c r="F1411">
        <v>92.8</v>
      </c>
      <c r="K1411" s="3"/>
      <c r="O1411" s="3"/>
    </row>
    <row r="1412" spans="1:15">
      <c r="A1412" s="3">
        <v>37936</v>
      </c>
      <c r="B1412" s="3">
        <v>37936</v>
      </c>
      <c r="C1412">
        <v>147.69</v>
      </c>
      <c r="D1412">
        <v>1.1523000000000001</v>
      </c>
      <c r="E1412">
        <v>29.09</v>
      </c>
      <c r="F1412">
        <v>94.45</v>
      </c>
      <c r="K1412" s="3"/>
      <c r="O1412" s="3"/>
    </row>
    <row r="1413" spans="1:15">
      <c r="A1413" s="3">
        <v>37937</v>
      </c>
      <c r="B1413" s="3">
        <v>37937</v>
      </c>
      <c r="C1413">
        <v>147.74</v>
      </c>
      <c r="D1413">
        <v>1.1634</v>
      </c>
      <c r="E1413">
        <v>29.2</v>
      </c>
      <c r="F1413">
        <v>94.85</v>
      </c>
      <c r="K1413" s="3"/>
      <c r="O1413" s="3"/>
    </row>
    <row r="1414" spans="1:15">
      <c r="A1414" s="3">
        <v>37938</v>
      </c>
      <c r="B1414" s="3">
        <v>37938</v>
      </c>
      <c r="C1414">
        <v>147.44</v>
      </c>
      <c r="D1414">
        <v>1.1735</v>
      </c>
      <c r="E1414">
        <v>29.21</v>
      </c>
      <c r="F1414">
        <v>94.25</v>
      </c>
      <c r="K1414" s="3"/>
      <c r="O1414" s="3"/>
    </row>
    <row r="1415" spans="1:15">
      <c r="A1415" s="3">
        <v>37939</v>
      </c>
      <c r="B1415" s="3">
        <v>37939</v>
      </c>
      <c r="C1415">
        <v>147.1</v>
      </c>
      <c r="D1415">
        <v>1.1778999999999999</v>
      </c>
      <c r="E1415">
        <v>29.56</v>
      </c>
      <c r="F1415">
        <v>95.15</v>
      </c>
      <c r="K1415" s="3"/>
      <c r="O1415" s="3"/>
    </row>
    <row r="1416" spans="1:15">
      <c r="A1416" s="3">
        <v>37940</v>
      </c>
      <c r="B1416" s="3">
        <v>37940</v>
      </c>
      <c r="C1416">
        <v>147.1</v>
      </c>
      <c r="D1416">
        <v>1.1778999999999999</v>
      </c>
      <c r="E1416">
        <v>29.56</v>
      </c>
      <c r="F1416">
        <v>95.15</v>
      </c>
      <c r="K1416" s="3"/>
      <c r="O1416" s="3"/>
    </row>
    <row r="1417" spans="1:15">
      <c r="A1417" s="3">
        <v>37941</v>
      </c>
      <c r="B1417" s="3">
        <v>37941</v>
      </c>
      <c r="C1417">
        <v>147.1</v>
      </c>
      <c r="D1417">
        <v>1.1778999999999999</v>
      </c>
      <c r="E1417">
        <v>29.56</v>
      </c>
      <c r="F1417">
        <v>95.15</v>
      </c>
      <c r="K1417" s="3"/>
      <c r="O1417" s="3"/>
    </row>
    <row r="1418" spans="1:15">
      <c r="A1418" s="3">
        <v>37942</v>
      </c>
      <c r="B1418" s="3">
        <v>37942</v>
      </c>
      <c r="C1418">
        <v>146.59</v>
      </c>
      <c r="D1418">
        <v>1.1749000000000001</v>
      </c>
      <c r="E1418">
        <v>29.05</v>
      </c>
      <c r="F1418">
        <v>91.8</v>
      </c>
      <c r="K1418" s="3"/>
      <c r="O1418" s="3"/>
    </row>
    <row r="1419" spans="1:15">
      <c r="A1419" s="3">
        <v>37943</v>
      </c>
      <c r="B1419" s="3">
        <v>37943</v>
      </c>
      <c r="C1419">
        <v>146.43</v>
      </c>
      <c r="D1419">
        <v>1.1973</v>
      </c>
      <c r="E1419">
        <v>30.47</v>
      </c>
      <c r="F1419">
        <v>93.2</v>
      </c>
      <c r="K1419" s="3"/>
      <c r="O1419" s="3"/>
    </row>
    <row r="1420" spans="1:15">
      <c r="A1420" s="3">
        <v>37944</v>
      </c>
      <c r="B1420" s="3">
        <v>37944</v>
      </c>
      <c r="C1420">
        <v>146.43</v>
      </c>
      <c r="D1420">
        <v>1.1878</v>
      </c>
      <c r="E1420">
        <v>29.78</v>
      </c>
      <c r="F1420">
        <v>91.75</v>
      </c>
      <c r="K1420" s="3"/>
      <c r="O1420" s="3"/>
    </row>
    <row r="1421" spans="1:15">
      <c r="A1421" s="3">
        <v>37945</v>
      </c>
      <c r="B1421" s="3">
        <v>37945</v>
      </c>
      <c r="C1421">
        <v>146.11000000000001</v>
      </c>
      <c r="D1421">
        <v>1.1912</v>
      </c>
      <c r="E1421">
        <v>29.56</v>
      </c>
      <c r="F1421">
        <v>88.35</v>
      </c>
      <c r="K1421" s="3"/>
      <c r="O1421" s="3"/>
    </row>
    <row r="1422" spans="1:15">
      <c r="A1422" s="3">
        <v>37946</v>
      </c>
      <c r="B1422" s="3">
        <v>37946</v>
      </c>
      <c r="C1422">
        <v>146.44999999999999</v>
      </c>
      <c r="D1422">
        <v>1.1914</v>
      </c>
      <c r="E1422">
        <v>29.36</v>
      </c>
      <c r="F1422">
        <v>89.45</v>
      </c>
      <c r="K1422" s="3"/>
      <c r="O1422" s="3"/>
    </row>
    <row r="1423" spans="1:15">
      <c r="A1423" s="3">
        <v>37947</v>
      </c>
      <c r="B1423" s="3">
        <v>37947</v>
      </c>
      <c r="C1423">
        <v>146.44999999999999</v>
      </c>
      <c r="D1423">
        <v>1.1914</v>
      </c>
      <c r="E1423">
        <v>29.36</v>
      </c>
      <c r="F1423">
        <v>89.45</v>
      </c>
      <c r="K1423" s="3"/>
      <c r="O1423" s="3"/>
    </row>
    <row r="1424" spans="1:15">
      <c r="A1424" s="3">
        <v>37948</v>
      </c>
      <c r="B1424" s="3">
        <v>37948</v>
      </c>
      <c r="C1424">
        <v>146.44999999999999</v>
      </c>
      <c r="D1424">
        <v>1.1914</v>
      </c>
      <c r="E1424">
        <v>29.36</v>
      </c>
      <c r="F1424">
        <v>89.45</v>
      </c>
      <c r="K1424" s="3"/>
      <c r="O1424" s="3"/>
    </row>
    <row r="1425" spans="1:15">
      <c r="A1425" s="3">
        <v>37949</v>
      </c>
      <c r="B1425" s="3">
        <v>37949</v>
      </c>
      <c r="C1425">
        <v>146.72</v>
      </c>
      <c r="D1425">
        <v>1.1771</v>
      </c>
      <c r="E1425">
        <v>27.86</v>
      </c>
      <c r="F1425">
        <v>90.45</v>
      </c>
      <c r="K1425" s="3"/>
      <c r="O1425" s="3"/>
    </row>
    <row r="1426" spans="1:15">
      <c r="A1426" s="3">
        <v>37950</v>
      </c>
      <c r="B1426" s="3">
        <v>37950</v>
      </c>
      <c r="C1426">
        <v>146.55000000000001</v>
      </c>
      <c r="D1426">
        <v>1.1792</v>
      </c>
      <c r="E1426">
        <v>27.94</v>
      </c>
      <c r="F1426">
        <v>88.7</v>
      </c>
      <c r="K1426" s="3"/>
      <c r="O1426" s="3"/>
    </row>
    <row r="1427" spans="1:15">
      <c r="A1427" s="3">
        <v>37951</v>
      </c>
      <c r="B1427" s="3">
        <v>37951</v>
      </c>
      <c r="C1427">
        <v>146.58000000000001</v>
      </c>
      <c r="D1427">
        <v>1.1941999999999999</v>
      </c>
      <c r="E1427">
        <v>28.47</v>
      </c>
      <c r="F1427">
        <v>90.7</v>
      </c>
      <c r="K1427" s="3"/>
      <c r="O1427" s="3"/>
    </row>
    <row r="1428" spans="1:15">
      <c r="A1428" s="3">
        <v>37952</v>
      </c>
      <c r="B1428" s="3">
        <v>37952</v>
      </c>
      <c r="C1428">
        <v>146.58000000000001</v>
      </c>
      <c r="D1428">
        <v>1.1908000000000001</v>
      </c>
      <c r="E1428">
        <v>28.7</v>
      </c>
      <c r="F1428">
        <v>90.7</v>
      </c>
      <c r="K1428" s="3"/>
      <c r="O1428" s="3"/>
    </row>
    <row r="1429" spans="1:15">
      <c r="A1429" s="3">
        <v>37953</v>
      </c>
      <c r="B1429" s="3">
        <v>37953</v>
      </c>
      <c r="C1429">
        <v>146.62</v>
      </c>
      <c r="D1429">
        <v>1.1996</v>
      </c>
      <c r="E1429">
        <v>28.45</v>
      </c>
      <c r="F1429">
        <v>90.7</v>
      </c>
      <c r="K1429" s="3"/>
      <c r="O1429" s="3"/>
    </row>
    <row r="1430" spans="1:15">
      <c r="A1430" s="3">
        <v>37954</v>
      </c>
      <c r="B1430" s="3">
        <v>37954</v>
      </c>
      <c r="C1430">
        <v>146.62</v>
      </c>
      <c r="D1430">
        <v>1.1996</v>
      </c>
      <c r="E1430">
        <v>28.45</v>
      </c>
      <c r="F1430">
        <v>90.7</v>
      </c>
      <c r="K1430" s="3"/>
      <c r="O1430" s="3"/>
    </row>
    <row r="1431" spans="1:15">
      <c r="A1431" s="3">
        <v>37955</v>
      </c>
      <c r="B1431" s="3">
        <v>37955</v>
      </c>
      <c r="C1431">
        <v>146.62</v>
      </c>
      <c r="D1431">
        <v>1.1996</v>
      </c>
      <c r="E1431">
        <v>28.45</v>
      </c>
      <c r="F1431">
        <v>90.7</v>
      </c>
      <c r="K1431" s="3"/>
      <c r="O1431" s="3"/>
    </row>
    <row r="1432" spans="1:15">
      <c r="A1432" s="3">
        <v>37956</v>
      </c>
      <c r="B1432" s="3">
        <v>37956</v>
      </c>
      <c r="C1432">
        <v>146.41999999999999</v>
      </c>
      <c r="D1432">
        <v>1.1979</v>
      </c>
      <c r="E1432">
        <v>28.25</v>
      </c>
      <c r="F1432">
        <v>95.55</v>
      </c>
      <c r="K1432" s="3"/>
      <c r="O1432" s="3"/>
    </row>
    <row r="1433" spans="1:15">
      <c r="A1433" s="3">
        <v>37957</v>
      </c>
      <c r="B1433" s="3">
        <v>37957</v>
      </c>
      <c r="C1433">
        <v>146.13999999999999</v>
      </c>
      <c r="D1433">
        <v>1.2081</v>
      </c>
      <c r="E1433">
        <v>28.94</v>
      </c>
      <c r="F1433">
        <v>96.95</v>
      </c>
      <c r="K1433" s="3"/>
      <c r="O1433" s="3"/>
    </row>
    <row r="1434" spans="1:15">
      <c r="A1434" s="3">
        <v>37958</v>
      </c>
      <c r="B1434" s="3">
        <v>37958</v>
      </c>
      <c r="C1434">
        <v>145.71</v>
      </c>
      <c r="D1434">
        <v>1.2111000000000001</v>
      </c>
      <c r="E1434">
        <v>29.14</v>
      </c>
      <c r="F1434">
        <v>97.6</v>
      </c>
      <c r="K1434" s="3"/>
      <c r="O1434" s="3"/>
    </row>
    <row r="1435" spans="1:15">
      <c r="A1435" s="3">
        <v>37959</v>
      </c>
      <c r="B1435" s="3">
        <v>37959</v>
      </c>
      <c r="C1435">
        <v>145.57</v>
      </c>
      <c r="D1435">
        <v>1.2084999999999999</v>
      </c>
      <c r="E1435">
        <v>29.23</v>
      </c>
      <c r="F1435">
        <v>96.3</v>
      </c>
      <c r="K1435" s="3"/>
      <c r="O1435" s="3"/>
    </row>
    <row r="1436" spans="1:15">
      <c r="A1436" s="3">
        <v>37960</v>
      </c>
      <c r="B1436" s="3">
        <v>37960</v>
      </c>
      <c r="C1436">
        <v>145.52000000000001</v>
      </c>
      <c r="D1436">
        <v>1.2171000000000001</v>
      </c>
      <c r="E1436">
        <v>28.74</v>
      </c>
      <c r="F1436">
        <v>96.9</v>
      </c>
      <c r="K1436" s="3"/>
      <c r="O1436" s="3"/>
    </row>
    <row r="1437" spans="1:15">
      <c r="A1437" s="3">
        <v>37961</v>
      </c>
      <c r="B1437" s="3">
        <v>37961</v>
      </c>
      <c r="C1437">
        <v>145.52000000000001</v>
      </c>
      <c r="D1437">
        <v>1.2171000000000001</v>
      </c>
      <c r="E1437">
        <v>28.74</v>
      </c>
      <c r="F1437">
        <v>96.9</v>
      </c>
      <c r="K1437" s="3"/>
      <c r="O1437" s="3"/>
    </row>
    <row r="1438" spans="1:15">
      <c r="A1438" s="3">
        <v>37962</v>
      </c>
      <c r="B1438" s="3">
        <v>37962</v>
      </c>
      <c r="C1438">
        <v>145.52000000000001</v>
      </c>
      <c r="D1438">
        <v>1.2171000000000001</v>
      </c>
      <c r="E1438">
        <v>28.74</v>
      </c>
      <c r="F1438">
        <v>96.9</v>
      </c>
      <c r="K1438" s="3"/>
      <c r="O1438" s="3"/>
    </row>
    <row r="1439" spans="1:15">
      <c r="A1439" s="3">
        <v>37963</v>
      </c>
      <c r="B1439" s="3">
        <v>37963</v>
      </c>
      <c r="C1439">
        <v>145.53</v>
      </c>
      <c r="D1439">
        <v>1.2221</v>
      </c>
      <c r="E1439">
        <v>29.98</v>
      </c>
      <c r="F1439">
        <v>96.65</v>
      </c>
      <c r="K1439" s="3"/>
      <c r="O1439" s="3"/>
    </row>
    <row r="1440" spans="1:15">
      <c r="A1440" s="3">
        <v>37964</v>
      </c>
      <c r="B1440" s="3">
        <v>37964</v>
      </c>
      <c r="C1440">
        <v>145.24</v>
      </c>
      <c r="D1440">
        <v>1.2254</v>
      </c>
      <c r="E1440">
        <v>29.63</v>
      </c>
      <c r="F1440">
        <v>97.8</v>
      </c>
      <c r="K1440" s="3"/>
      <c r="O1440" s="3"/>
    </row>
    <row r="1441" spans="1:15">
      <c r="A1441" s="3">
        <v>37965</v>
      </c>
      <c r="B1441" s="3">
        <v>37965</v>
      </c>
      <c r="C1441">
        <v>145.08000000000001</v>
      </c>
      <c r="D1441">
        <v>1.2219</v>
      </c>
      <c r="E1441">
        <v>29.66</v>
      </c>
      <c r="F1441">
        <v>97.75</v>
      </c>
      <c r="K1441" s="3"/>
      <c r="O1441" s="3"/>
    </row>
    <row r="1442" spans="1:15">
      <c r="A1442" s="3">
        <v>37966</v>
      </c>
      <c r="B1442" s="3">
        <v>37966</v>
      </c>
      <c r="C1442">
        <v>145.22</v>
      </c>
      <c r="D1442">
        <v>1.2224999999999999</v>
      </c>
      <c r="E1442">
        <v>29.57</v>
      </c>
      <c r="F1442">
        <v>97.6</v>
      </c>
      <c r="K1442" s="3"/>
      <c r="O1442" s="3"/>
    </row>
    <row r="1443" spans="1:15">
      <c r="A1443" s="3">
        <v>37967</v>
      </c>
      <c r="B1443" s="3">
        <v>37967</v>
      </c>
      <c r="C1443">
        <v>145.53</v>
      </c>
      <c r="D1443">
        <v>1.2277</v>
      </c>
      <c r="E1443">
        <v>30.37</v>
      </c>
      <c r="F1443">
        <v>98.65</v>
      </c>
      <c r="K1443" s="3"/>
      <c r="O1443" s="3"/>
    </row>
    <row r="1444" spans="1:15">
      <c r="A1444" s="3">
        <v>37968</v>
      </c>
      <c r="B1444" s="3">
        <v>37968</v>
      </c>
      <c r="C1444">
        <v>145.53</v>
      </c>
      <c r="D1444">
        <v>1.2277</v>
      </c>
      <c r="E1444">
        <v>30.37</v>
      </c>
      <c r="F1444">
        <v>98.65</v>
      </c>
      <c r="K1444" s="3"/>
      <c r="O1444" s="3"/>
    </row>
    <row r="1445" spans="1:15">
      <c r="A1445" s="3">
        <v>37969</v>
      </c>
      <c r="B1445" s="3">
        <v>37969</v>
      </c>
      <c r="C1445">
        <v>145.53</v>
      </c>
      <c r="D1445">
        <v>1.2277</v>
      </c>
      <c r="E1445">
        <v>30.37</v>
      </c>
      <c r="F1445">
        <v>98.65</v>
      </c>
      <c r="K1445" s="3"/>
      <c r="O1445" s="3"/>
    </row>
    <row r="1446" spans="1:15">
      <c r="A1446" s="3">
        <v>37970</v>
      </c>
      <c r="B1446" s="3">
        <v>37970</v>
      </c>
      <c r="C1446">
        <v>145.47999999999999</v>
      </c>
      <c r="D1446">
        <v>1.2322</v>
      </c>
      <c r="E1446">
        <v>30.32</v>
      </c>
      <c r="F1446">
        <v>99.8</v>
      </c>
      <c r="K1446" s="3"/>
      <c r="O1446" s="3"/>
    </row>
    <row r="1447" spans="1:15">
      <c r="A1447" s="3">
        <v>37971</v>
      </c>
      <c r="B1447" s="3">
        <v>37971</v>
      </c>
      <c r="C1447">
        <v>145.47999999999999</v>
      </c>
      <c r="D1447">
        <v>1.2329000000000001</v>
      </c>
      <c r="E1447">
        <v>30.38</v>
      </c>
      <c r="F1447">
        <v>100.75</v>
      </c>
      <c r="K1447" s="3"/>
      <c r="O1447" s="3"/>
    </row>
    <row r="1448" spans="1:15">
      <c r="A1448" s="3">
        <v>37972</v>
      </c>
      <c r="B1448" s="3">
        <v>37972</v>
      </c>
      <c r="C1448">
        <v>145.47999999999999</v>
      </c>
      <c r="D1448">
        <v>1.2412000000000001</v>
      </c>
      <c r="E1448">
        <v>30.59</v>
      </c>
      <c r="F1448">
        <v>99.7</v>
      </c>
      <c r="K1448" s="3"/>
      <c r="O1448" s="3"/>
    </row>
    <row r="1449" spans="1:15">
      <c r="A1449" s="3">
        <v>37973</v>
      </c>
      <c r="B1449" s="3">
        <v>37973</v>
      </c>
      <c r="C1449">
        <v>144.81</v>
      </c>
      <c r="D1449">
        <v>1.2425999999999999</v>
      </c>
      <c r="E1449">
        <v>30.8</v>
      </c>
      <c r="F1449">
        <v>101.7</v>
      </c>
      <c r="K1449" s="3"/>
      <c r="O1449" s="3"/>
    </row>
    <row r="1450" spans="1:15">
      <c r="A1450" s="3">
        <v>37974</v>
      </c>
      <c r="B1450" s="3">
        <v>37974</v>
      </c>
      <c r="C1450">
        <v>144.65</v>
      </c>
      <c r="D1450">
        <v>1.2374000000000001</v>
      </c>
      <c r="E1450">
        <v>30.05</v>
      </c>
      <c r="F1450">
        <v>102.6</v>
      </c>
      <c r="K1450" s="3"/>
      <c r="O1450" s="3"/>
    </row>
    <row r="1451" spans="1:15">
      <c r="A1451" s="3">
        <v>37975</v>
      </c>
      <c r="B1451" s="3">
        <v>37975</v>
      </c>
      <c r="C1451">
        <v>144.65</v>
      </c>
      <c r="D1451">
        <v>1.2374000000000001</v>
      </c>
      <c r="E1451">
        <v>30.05</v>
      </c>
      <c r="F1451">
        <v>102.6</v>
      </c>
      <c r="K1451" s="3"/>
      <c r="O1451" s="3"/>
    </row>
    <row r="1452" spans="1:15">
      <c r="A1452" s="3">
        <v>37976</v>
      </c>
      <c r="B1452" s="3">
        <v>37976</v>
      </c>
      <c r="C1452">
        <v>144.65</v>
      </c>
      <c r="D1452">
        <v>1.2374000000000001</v>
      </c>
      <c r="E1452">
        <v>30.05</v>
      </c>
      <c r="F1452">
        <v>102.6</v>
      </c>
      <c r="K1452" s="3"/>
      <c r="O1452" s="3"/>
    </row>
    <row r="1453" spans="1:15">
      <c r="A1453" s="3">
        <v>37977</v>
      </c>
      <c r="B1453" s="3">
        <v>37977</v>
      </c>
      <c r="C1453">
        <v>144.03</v>
      </c>
      <c r="D1453">
        <v>1.2398</v>
      </c>
      <c r="E1453">
        <v>28.99</v>
      </c>
      <c r="F1453">
        <v>100.9</v>
      </c>
      <c r="K1453" s="3"/>
      <c r="O1453" s="3"/>
    </row>
    <row r="1454" spans="1:15">
      <c r="A1454" s="3">
        <v>37978</v>
      </c>
      <c r="B1454" s="3">
        <v>37978</v>
      </c>
      <c r="C1454">
        <v>144.16999999999999</v>
      </c>
      <c r="D1454">
        <v>1.2395</v>
      </c>
      <c r="E1454">
        <v>29.04</v>
      </c>
      <c r="F1454">
        <v>102</v>
      </c>
      <c r="K1454" s="3"/>
      <c r="O1454" s="3"/>
    </row>
    <row r="1455" spans="1:15">
      <c r="A1455" s="3">
        <v>37979</v>
      </c>
      <c r="B1455" s="3">
        <v>37979</v>
      </c>
      <c r="C1455">
        <v>143.9</v>
      </c>
      <c r="D1455">
        <v>1.2447999999999999</v>
      </c>
      <c r="E1455">
        <v>29.06</v>
      </c>
      <c r="F1455">
        <v>102.65</v>
      </c>
      <c r="K1455" s="3"/>
      <c r="O1455" s="3"/>
    </row>
    <row r="1456" spans="1:15">
      <c r="A1456" s="3">
        <v>37980</v>
      </c>
      <c r="B1456" s="3">
        <v>37980</v>
      </c>
      <c r="C1456">
        <v>143.9</v>
      </c>
      <c r="D1456">
        <v>1.2453000000000001</v>
      </c>
      <c r="E1456">
        <v>29.06</v>
      </c>
      <c r="F1456">
        <v>102.65</v>
      </c>
      <c r="K1456" s="3"/>
      <c r="O1456" s="3"/>
    </row>
    <row r="1457" spans="1:15">
      <c r="A1457" s="3">
        <v>37981</v>
      </c>
      <c r="B1457" s="3">
        <v>37981</v>
      </c>
      <c r="C1457">
        <v>143.66</v>
      </c>
      <c r="D1457">
        <v>1.2428999999999999</v>
      </c>
      <c r="E1457">
        <v>29.06</v>
      </c>
      <c r="F1457">
        <v>102.65</v>
      </c>
      <c r="K1457" s="3"/>
      <c r="O1457" s="3"/>
    </row>
    <row r="1458" spans="1:15">
      <c r="A1458" s="3">
        <v>37982</v>
      </c>
      <c r="B1458" s="3">
        <v>37982</v>
      </c>
      <c r="C1458">
        <v>143.66</v>
      </c>
      <c r="D1458">
        <v>1.2428999999999999</v>
      </c>
      <c r="E1458">
        <v>29.06</v>
      </c>
      <c r="F1458">
        <v>102.65</v>
      </c>
      <c r="K1458" s="3"/>
      <c r="O1458" s="3"/>
    </row>
    <row r="1459" spans="1:15">
      <c r="A1459" s="3">
        <v>37983</v>
      </c>
      <c r="B1459" s="3">
        <v>37983</v>
      </c>
      <c r="C1459">
        <v>143.66</v>
      </c>
      <c r="D1459">
        <v>1.2428999999999999</v>
      </c>
      <c r="E1459">
        <v>29.06</v>
      </c>
      <c r="F1459">
        <v>102.65</v>
      </c>
      <c r="K1459" s="3"/>
      <c r="O1459" s="3"/>
    </row>
    <row r="1460" spans="1:15">
      <c r="A1460" s="3">
        <v>37984</v>
      </c>
      <c r="B1460" s="3">
        <v>37984</v>
      </c>
      <c r="C1460">
        <v>143.97999999999999</v>
      </c>
      <c r="D1460">
        <v>1.2491000000000001</v>
      </c>
      <c r="E1460">
        <v>29.31</v>
      </c>
      <c r="F1460">
        <v>104.2</v>
      </c>
      <c r="K1460" s="3"/>
      <c r="O1460" s="3"/>
    </row>
    <row r="1461" spans="1:15">
      <c r="A1461" s="3">
        <v>37985</v>
      </c>
      <c r="B1461" s="3">
        <v>37985</v>
      </c>
      <c r="C1461">
        <v>143.72999999999999</v>
      </c>
      <c r="D1461">
        <v>1.2551000000000001</v>
      </c>
      <c r="E1461">
        <v>29.74</v>
      </c>
      <c r="F1461">
        <v>104.3</v>
      </c>
      <c r="K1461" s="3"/>
      <c r="O1461" s="3"/>
    </row>
    <row r="1462" spans="1:15">
      <c r="A1462" s="3">
        <v>37986</v>
      </c>
      <c r="B1462" s="3">
        <v>37986</v>
      </c>
      <c r="C1462">
        <v>143.25</v>
      </c>
      <c r="D1462">
        <v>1.2595000000000001</v>
      </c>
      <c r="E1462">
        <v>30.17</v>
      </c>
      <c r="F1462">
        <v>104.55</v>
      </c>
      <c r="K1462" s="3"/>
      <c r="O1462" s="3"/>
    </row>
    <row r="1463" spans="1:15">
      <c r="A1463" s="3">
        <v>37987</v>
      </c>
      <c r="B1463" s="3">
        <v>37987</v>
      </c>
      <c r="C1463">
        <v>143.25</v>
      </c>
      <c r="D1463">
        <v>1.2546999999999999</v>
      </c>
      <c r="E1463">
        <v>30.17</v>
      </c>
      <c r="F1463">
        <v>104.55</v>
      </c>
      <c r="K1463" s="3"/>
      <c r="O1463" s="3"/>
    </row>
    <row r="1464" spans="1:15">
      <c r="A1464" s="3">
        <v>37988</v>
      </c>
      <c r="B1464" s="3">
        <v>37988</v>
      </c>
      <c r="C1464">
        <v>143.26</v>
      </c>
      <c r="D1464">
        <v>1.2585</v>
      </c>
      <c r="E1464">
        <v>29.32</v>
      </c>
      <c r="F1464">
        <v>104.55</v>
      </c>
      <c r="K1464" s="3"/>
      <c r="O1464" s="3"/>
    </row>
    <row r="1465" spans="1:15">
      <c r="A1465" s="3">
        <v>37989</v>
      </c>
      <c r="B1465" s="3">
        <v>37989</v>
      </c>
      <c r="C1465">
        <v>143.26</v>
      </c>
      <c r="D1465">
        <v>1.2585</v>
      </c>
      <c r="E1465">
        <v>29.32</v>
      </c>
      <c r="F1465">
        <v>104.55</v>
      </c>
      <c r="K1465" s="3"/>
      <c r="O1465" s="3"/>
    </row>
    <row r="1466" spans="1:15">
      <c r="A1466" s="3">
        <v>37990</v>
      </c>
      <c r="B1466" s="3">
        <v>37990</v>
      </c>
      <c r="C1466">
        <v>143.26</v>
      </c>
      <c r="D1466">
        <v>1.2585</v>
      </c>
      <c r="E1466">
        <v>29.32</v>
      </c>
      <c r="F1466">
        <v>104.55</v>
      </c>
      <c r="K1466" s="3"/>
      <c r="O1466" s="3"/>
    </row>
    <row r="1467" spans="1:15">
      <c r="A1467" s="3">
        <v>37991</v>
      </c>
      <c r="B1467" s="3">
        <v>37991</v>
      </c>
      <c r="C1467">
        <v>142.77000000000001</v>
      </c>
      <c r="D1467">
        <v>1.2676000000000001</v>
      </c>
      <c r="E1467">
        <v>30.89</v>
      </c>
      <c r="F1467">
        <v>108.7</v>
      </c>
      <c r="K1467" s="3"/>
      <c r="O1467" s="3"/>
    </row>
    <row r="1468" spans="1:15">
      <c r="A1468" s="3">
        <v>37992</v>
      </c>
      <c r="B1468" s="3">
        <v>37992</v>
      </c>
      <c r="C1468">
        <v>142.47</v>
      </c>
      <c r="D1468">
        <v>1.2727999999999999</v>
      </c>
      <c r="E1468">
        <v>30.82</v>
      </c>
      <c r="F1468">
        <v>107.05</v>
      </c>
      <c r="K1468" s="3"/>
      <c r="O1468" s="3"/>
    </row>
    <row r="1469" spans="1:15">
      <c r="A1469" s="3">
        <v>37993</v>
      </c>
      <c r="B1469" s="3">
        <v>37993</v>
      </c>
      <c r="C1469">
        <v>142.22</v>
      </c>
      <c r="D1469">
        <v>1.2630999999999999</v>
      </c>
      <c r="E1469">
        <v>30.76</v>
      </c>
      <c r="F1469">
        <v>106.65</v>
      </c>
      <c r="K1469" s="3"/>
      <c r="O1469" s="3"/>
    </row>
    <row r="1470" spans="1:15">
      <c r="A1470" s="3">
        <v>37994</v>
      </c>
      <c r="B1470" s="3">
        <v>37994</v>
      </c>
      <c r="C1470">
        <v>142.38</v>
      </c>
      <c r="D1470">
        <v>1.2766999999999999</v>
      </c>
      <c r="E1470">
        <v>31.08</v>
      </c>
      <c r="F1470">
        <v>110.85</v>
      </c>
      <c r="K1470" s="3"/>
      <c r="O1470" s="3"/>
    </row>
    <row r="1471" spans="1:15">
      <c r="A1471" s="3">
        <v>37995</v>
      </c>
      <c r="B1471" s="3">
        <v>37995</v>
      </c>
      <c r="C1471">
        <v>142.85</v>
      </c>
      <c r="D1471">
        <v>1.2818000000000001</v>
      </c>
      <c r="E1471">
        <v>31.37</v>
      </c>
      <c r="F1471">
        <v>110.35</v>
      </c>
      <c r="K1471" s="3"/>
      <c r="O1471" s="3"/>
    </row>
    <row r="1472" spans="1:15">
      <c r="A1472" s="3">
        <v>37996</v>
      </c>
      <c r="B1472" s="3">
        <v>37996</v>
      </c>
      <c r="C1472">
        <v>142.85</v>
      </c>
      <c r="D1472">
        <v>1.2818000000000001</v>
      </c>
      <c r="E1472">
        <v>31.37</v>
      </c>
      <c r="F1472">
        <v>110.35</v>
      </c>
      <c r="K1472" s="3"/>
      <c r="O1472" s="3"/>
    </row>
    <row r="1473" spans="1:15">
      <c r="A1473" s="3">
        <v>37997</v>
      </c>
      <c r="B1473" s="3">
        <v>37997</v>
      </c>
      <c r="C1473">
        <v>142.85</v>
      </c>
      <c r="D1473">
        <v>1.2818000000000001</v>
      </c>
      <c r="E1473">
        <v>31.37</v>
      </c>
      <c r="F1473">
        <v>110.35</v>
      </c>
      <c r="K1473" s="3"/>
      <c r="O1473" s="3"/>
    </row>
    <row r="1474" spans="1:15">
      <c r="A1474" s="3">
        <v>37998</v>
      </c>
      <c r="B1474" s="3">
        <v>37998</v>
      </c>
      <c r="C1474">
        <v>142.41</v>
      </c>
      <c r="D1474">
        <v>1.2748999999999999</v>
      </c>
      <c r="E1474">
        <v>31.76</v>
      </c>
      <c r="F1474">
        <v>108.25</v>
      </c>
      <c r="K1474" s="3"/>
      <c r="O1474" s="3"/>
    </row>
    <row r="1475" spans="1:15">
      <c r="A1475" s="3">
        <v>37999</v>
      </c>
      <c r="B1475" s="3">
        <v>37999</v>
      </c>
      <c r="C1475">
        <v>141.75</v>
      </c>
      <c r="D1475">
        <v>1.2774000000000001</v>
      </c>
      <c r="E1475">
        <v>31.37</v>
      </c>
      <c r="F1475">
        <v>108.55</v>
      </c>
      <c r="K1475" s="3"/>
      <c r="O1475" s="3"/>
    </row>
    <row r="1476" spans="1:15">
      <c r="A1476" s="3">
        <v>38000</v>
      </c>
      <c r="B1476" s="3">
        <v>38000</v>
      </c>
      <c r="C1476">
        <v>141.5</v>
      </c>
      <c r="D1476">
        <v>1.2646999999999999</v>
      </c>
      <c r="E1476">
        <v>31.03</v>
      </c>
      <c r="F1476">
        <v>109.4</v>
      </c>
      <c r="K1476" s="3"/>
      <c r="O1476" s="3"/>
    </row>
    <row r="1477" spans="1:15">
      <c r="A1477" s="3">
        <v>38001</v>
      </c>
      <c r="B1477" s="3">
        <v>38001</v>
      </c>
      <c r="C1477">
        <v>141.30000000000001</v>
      </c>
      <c r="D1477">
        <v>1.2579</v>
      </c>
      <c r="E1477">
        <v>31.56</v>
      </c>
      <c r="F1477">
        <v>108.4</v>
      </c>
      <c r="K1477" s="3"/>
      <c r="O1477" s="3"/>
    </row>
    <row r="1478" spans="1:15">
      <c r="A1478" s="3">
        <v>38002</v>
      </c>
      <c r="B1478" s="3">
        <v>38002</v>
      </c>
      <c r="C1478">
        <v>141.55000000000001</v>
      </c>
      <c r="D1478">
        <v>1.2394000000000001</v>
      </c>
      <c r="E1478">
        <v>30.47</v>
      </c>
      <c r="F1478">
        <v>109.4</v>
      </c>
      <c r="K1478" s="3"/>
      <c r="O1478" s="3"/>
    </row>
    <row r="1479" spans="1:15">
      <c r="A1479" s="3">
        <v>38003</v>
      </c>
      <c r="B1479" s="3">
        <v>38003</v>
      </c>
      <c r="C1479">
        <v>141.55000000000001</v>
      </c>
      <c r="D1479">
        <v>1.2394000000000001</v>
      </c>
      <c r="E1479">
        <v>30.47</v>
      </c>
      <c r="F1479">
        <v>109.4</v>
      </c>
      <c r="K1479" s="3"/>
      <c r="O1479" s="3"/>
    </row>
    <row r="1480" spans="1:15">
      <c r="A1480" s="3">
        <v>38004</v>
      </c>
      <c r="B1480" s="3">
        <v>38004</v>
      </c>
      <c r="C1480">
        <v>141.55000000000001</v>
      </c>
      <c r="D1480">
        <v>1.2394000000000001</v>
      </c>
      <c r="E1480">
        <v>30.47</v>
      </c>
      <c r="F1480">
        <v>109.4</v>
      </c>
      <c r="K1480" s="3"/>
      <c r="O1480" s="3"/>
    </row>
    <row r="1481" spans="1:15">
      <c r="A1481" s="3">
        <v>38005</v>
      </c>
      <c r="B1481" s="3">
        <v>38005</v>
      </c>
      <c r="C1481">
        <v>141.34</v>
      </c>
      <c r="D1481">
        <v>1.2350000000000001</v>
      </c>
      <c r="E1481">
        <v>30.57</v>
      </c>
      <c r="F1481">
        <v>109.4</v>
      </c>
      <c r="K1481" s="3"/>
      <c r="O1481" s="3"/>
    </row>
    <row r="1482" spans="1:15">
      <c r="A1482" s="3">
        <v>38006</v>
      </c>
      <c r="B1482" s="3">
        <v>38006</v>
      </c>
      <c r="C1482">
        <v>140.21</v>
      </c>
      <c r="D1482">
        <v>1.2582</v>
      </c>
      <c r="E1482">
        <v>31.23</v>
      </c>
      <c r="F1482">
        <v>111.75</v>
      </c>
      <c r="K1482" s="3"/>
      <c r="O1482" s="3"/>
    </row>
    <row r="1483" spans="1:15">
      <c r="A1483" s="3">
        <v>38007</v>
      </c>
      <c r="B1483" s="3">
        <v>38007</v>
      </c>
      <c r="C1483">
        <v>139.9</v>
      </c>
      <c r="D1483">
        <v>1.2644</v>
      </c>
      <c r="E1483">
        <v>30.86</v>
      </c>
      <c r="F1483">
        <v>111.75</v>
      </c>
      <c r="K1483" s="3"/>
      <c r="O1483" s="3"/>
    </row>
    <row r="1484" spans="1:15">
      <c r="A1484" s="3">
        <v>38008</v>
      </c>
      <c r="B1484" s="3">
        <v>38008</v>
      </c>
      <c r="C1484">
        <v>139.97</v>
      </c>
      <c r="D1484">
        <v>1.2719</v>
      </c>
      <c r="E1484">
        <v>31.11</v>
      </c>
      <c r="F1484">
        <v>112</v>
      </c>
      <c r="K1484" s="3"/>
      <c r="O1484" s="3"/>
    </row>
    <row r="1485" spans="1:15">
      <c r="A1485" s="3">
        <v>38009</v>
      </c>
      <c r="B1485" s="3">
        <v>38009</v>
      </c>
      <c r="C1485">
        <v>139.61000000000001</v>
      </c>
      <c r="D1485">
        <v>1.2582</v>
      </c>
      <c r="E1485">
        <v>30.96</v>
      </c>
      <c r="F1485">
        <v>112.45</v>
      </c>
      <c r="K1485" s="3"/>
      <c r="O1485" s="3"/>
    </row>
    <row r="1486" spans="1:15">
      <c r="A1486" s="3">
        <v>38010</v>
      </c>
      <c r="B1486" s="3">
        <v>38010</v>
      </c>
      <c r="C1486">
        <v>139.61000000000001</v>
      </c>
      <c r="D1486">
        <v>1.2582</v>
      </c>
      <c r="E1486">
        <v>30.96</v>
      </c>
      <c r="F1486">
        <v>112.45</v>
      </c>
      <c r="K1486" s="3"/>
      <c r="O1486" s="3"/>
    </row>
    <row r="1487" spans="1:15">
      <c r="A1487" s="3">
        <v>38011</v>
      </c>
      <c r="B1487" s="3">
        <v>38011</v>
      </c>
      <c r="C1487">
        <v>139.61000000000001</v>
      </c>
      <c r="D1487">
        <v>1.2582</v>
      </c>
      <c r="E1487">
        <v>30.96</v>
      </c>
      <c r="F1487">
        <v>112.45</v>
      </c>
      <c r="K1487" s="3"/>
      <c r="O1487" s="3"/>
    </row>
    <row r="1488" spans="1:15">
      <c r="A1488" s="3">
        <v>38012</v>
      </c>
      <c r="B1488" s="3">
        <v>38012</v>
      </c>
      <c r="C1488">
        <v>139.63999999999999</v>
      </c>
      <c r="D1488">
        <v>1.2462</v>
      </c>
      <c r="E1488">
        <v>30.45</v>
      </c>
      <c r="F1488">
        <v>111.65</v>
      </c>
      <c r="K1488" s="3"/>
      <c r="O1488" s="3"/>
    </row>
    <row r="1489" spans="1:15">
      <c r="A1489" s="3">
        <v>38013</v>
      </c>
      <c r="B1489" s="3">
        <v>38013</v>
      </c>
      <c r="C1489">
        <v>139.43</v>
      </c>
      <c r="D1489">
        <v>1.2645999999999999</v>
      </c>
      <c r="E1489">
        <v>30.23</v>
      </c>
      <c r="F1489">
        <v>111.4</v>
      </c>
      <c r="K1489" s="3"/>
      <c r="O1489" s="3"/>
    </row>
    <row r="1490" spans="1:15">
      <c r="A1490" s="3">
        <v>38014</v>
      </c>
      <c r="B1490" s="3">
        <v>38014</v>
      </c>
      <c r="C1490">
        <v>139.33000000000001</v>
      </c>
      <c r="D1490">
        <v>1.2470000000000001</v>
      </c>
      <c r="E1490">
        <v>29.77</v>
      </c>
      <c r="F1490">
        <v>113.25</v>
      </c>
      <c r="K1490" s="3"/>
      <c r="O1490" s="3"/>
    </row>
    <row r="1491" spans="1:15">
      <c r="A1491" s="3">
        <v>38015</v>
      </c>
      <c r="B1491" s="3">
        <v>38015</v>
      </c>
      <c r="C1491">
        <v>139.26</v>
      </c>
      <c r="D1491">
        <v>1.2411000000000001</v>
      </c>
      <c r="E1491">
        <v>29.13</v>
      </c>
      <c r="F1491">
        <v>112.2</v>
      </c>
      <c r="K1491" s="3"/>
      <c r="O1491" s="3"/>
    </row>
    <row r="1492" spans="1:15">
      <c r="A1492" s="3">
        <v>38016</v>
      </c>
      <c r="B1492" s="3">
        <v>38016</v>
      </c>
      <c r="C1492">
        <v>139.56</v>
      </c>
      <c r="D1492">
        <v>1.2478</v>
      </c>
      <c r="E1492">
        <v>29.18</v>
      </c>
      <c r="F1492">
        <v>114.55</v>
      </c>
      <c r="K1492" s="3"/>
      <c r="O1492" s="3"/>
    </row>
    <row r="1493" spans="1:15">
      <c r="A1493" s="3">
        <v>38017</v>
      </c>
      <c r="B1493" s="3">
        <v>38017</v>
      </c>
      <c r="C1493">
        <v>139.56</v>
      </c>
      <c r="D1493">
        <v>1.2478</v>
      </c>
      <c r="E1493">
        <v>29.18</v>
      </c>
      <c r="F1493">
        <v>114.55</v>
      </c>
      <c r="K1493" s="3"/>
      <c r="O1493" s="3"/>
    </row>
    <row r="1494" spans="1:15">
      <c r="A1494" s="3">
        <v>38018</v>
      </c>
      <c r="B1494" s="3">
        <v>38018</v>
      </c>
      <c r="C1494">
        <v>139.56</v>
      </c>
      <c r="D1494">
        <v>1.2478</v>
      </c>
      <c r="E1494">
        <v>29.18</v>
      </c>
      <c r="F1494">
        <v>114.55</v>
      </c>
      <c r="K1494" s="3"/>
      <c r="O1494" s="3"/>
    </row>
    <row r="1495" spans="1:15">
      <c r="A1495" s="3">
        <v>38019</v>
      </c>
      <c r="B1495" s="3">
        <v>38019</v>
      </c>
      <c r="C1495">
        <v>139.41999999999999</v>
      </c>
      <c r="D1495">
        <v>1.2424999999999999</v>
      </c>
      <c r="E1495">
        <v>30.23</v>
      </c>
      <c r="F1495">
        <v>114.4</v>
      </c>
      <c r="K1495" s="3"/>
      <c r="O1495" s="3"/>
    </row>
    <row r="1496" spans="1:15">
      <c r="A1496" s="3">
        <v>38020</v>
      </c>
      <c r="B1496" s="3">
        <v>38020</v>
      </c>
      <c r="C1496">
        <v>139.38999999999999</v>
      </c>
      <c r="D1496">
        <v>1.2544</v>
      </c>
      <c r="E1496">
        <v>29.5</v>
      </c>
      <c r="F1496">
        <v>116.85</v>
      </c>
      <c r="K1496" s="3"/>
      <c r="O1496" s="3"/>
    </row>
    <row r="1497" spans="1:15">
      <c r="A1497" s="3">
        <v>38021</v>
      </c>
      <c r="B1497" s="3">
        <v>38021</v>
      </c>
      <c r="C1497">
        <v>139.38999999999999</v>
      </c>
      <c r="D1497">
        <v>1.2535000000000001</v>
      </c>
      <c r="E1497">
        <v>28.88</v>
      </c>
      <c r="F1497">
        <v>117.45</v>
      </c>
      <c r="K1497" s="3"/>
      <c r="O1497" s="3"/>
    </row>
    <row r="1498" spans="1:15">
      <c r="A1498" s="3">
        <v>38022</v>
      </c>
      <c r="B1498" s="3">
        <v>38022</v>
      </c>
      <c r="C1498">
        <v>139.13</v>
      </c>
      <c r="D1498">
        <v>1.2548999999999999</v>
      </c>
      <c r="E1498">
        <v>29.27</v>
      </c>
      <c r="F1498">
        <v>117.3</v>
      </c>
      <c r="K1498" s="3"/>
      <c r="O1498" s="3"/>
    </row>
    <row r="1499" spans="1:15">
      <c r="A1499" s="3">
        <v>38023</v>
      </c>
      <c r="B1499" s="3">
        <v>38023</v>
      </c>
      <c r="C1499">
        <v>139.22</v>
      </c>
      <c r="D1499">
        <v>1.2706</v>
      </c>
      <c r="E1499">
        <v>28.83</v>
      </c>
      <c r="F1499">
        <v>118.05</v>
      </c>
      <c r="K1499" s="3"/>
      <c r="O1499" s="3"/>
    </row>
    <row r="1500" spans="1:15">
      <c r="A1500" s="3">
        <v>38024</v>
      </c>
      <c r="B1500" s="3">
        <v>38024</v>
      </c>
      <c r="C1500">
        <v>139.22</v>
      </c>
      <c r="D1500">
        <v>1.2706</v>
      </c>
      <c r="E1500">
        <v>28.83</v>
      </c>
      <c r="F1500">
        <v>118.05</v>
      </c>
      <c r="K1500" s="3"/>
      <c r="O1500" s="3"/>
    </row>
    <row r="1501" spans="1:15">
      <c r="A1501" s="3">
        <v>38025</v>
      </c>
      <c r="B1501" s="3">
        <v>38025</v>
      </c>
      <c r="C1501">
        <v>139.22</v>
      </c>
      <c r="D1501">
        <v>1.2706</v>
      </c>
      <c r="E1501">
        <v>28.83</v>
      </c>
      <c r="F1501">
        <v>118.05</v>
      </c>
      <c r="K1501" s="3"/>
      <c r="O1501" s="3"/>
    </row>
    <row r="1502" spans="1:15">
      <c r="A1502" s="3">
        <v>38026</v>
      </c>
      <c r="B1502" s="3">
        <v>38026</v>
      </c>
      <c r="C1502">
        <v>139.24</v>
      </c>
      <c r="D1502">
        <v>1.2701</v>
      </c>
      <c r="E1502">
        <v>29.11</v>
      </c>
      <c r="F1502">
        <v>118.6</v>
      </c>
      <c r="K1502" s="3"/>
      <c r="O1502" s="3"/>
    </row>
    <row r="1503" spans="1:15">
      <c r="A1503" s="3">
        <v>38027</v>
      </c>
      <c r="B1503" s="3">
        <v>38027</v>
      </c>
      <c r="C1503">
        <v>139.18</v>
      </c>
      <c r="D1503">
        <v>1.2670999999999999</v>
      </c>
      <c r="E1503">
        <v>30.04</v>
      </c>
      <c r="F1503">
        <v>117.8</v>
      </c>
      <c r="K1503" s="3"/>
      <c r="O1503" s="3"/>
    </row>
    <row r="1504" spans="1:15">
      <c r="A1504" s="3">
        <v>38028</v>
      </c>
      <c r="B1504" s="3">
        <v>38028</v>
      </c>
      <c r="C1504">
        <v>139.1</v>
      </c>
      <c r="D1504">
        <v>1.2831999999999999</v>
      </c>
      <c r="E1504">
        <v>29.87</v>
      </c>
      <c r="F1504">
        <v>121.6</v>
      </c>
      <c r="K1504" s="3"/>
      <c r="O1504" s="3"/>
    </row>
    <row r="1505" spans="1:15">
      <c r="A1505" s="3">
        <v>38029</v>
      </c>
      <c r="B1505" s="3">
        <v>38029</v>
      </c>
      <c r="C1505">
        <v>139.05000000000001</v>
      </c>
      <c r="D1505">
        <v>1.2810999999999999</v>
      </c>
      <c r="E1505">
        <v>30.07</v>
      </c>
      <c r="F1505">
        <v>124.15</v>
      </c>
      <c r="K1505" s="3"/>
      <c r="O1505" s="3"/>
    </row>
    <row r="1506" spans="1:15">
      <c r="A1506" s="3">
        <v>38030</v>
      </c>
      <c r="B1506" s="3">
        <v>38030</v>
      </c>
      <c r="C1506">
        <v>139</v>
      </c>
      <c r="D1506">
        <v>1.2735000000000001</v>
      </c>
      <c r="E1506">
        <v>30.57</v>
      </c>
      <c r="F1506">
        <v>124.35</v>
      </c>
      <c r="K1506" s="3"/>
      <c r="O1506" s="3"/>
    </row>
    <row r="1507" spans="1:15">
      <c r="A1507" s="3">
        <v>38031</v>
      </c>
      <c r="B1507" s="3">
        <v>38031</v>
      </c>
      <c r="C1507">
        <v>139</v>
      </c>
      <c r="D1507">
        <v>1.2735000000000001</v>
      </c>
      <c r="E1507">
        <v>30.57</v>
      </c>
      <c r="F1507">
        <v>124.35</v>
      </c>
      <c r="K1507" s="3"/>
      <c r="O1507" s="3"/>
    </row>
    <row r="1508" spans="1:15">
      <c r="A1508" s="3">
        <v>38032</v>
      </c>
      <c r="B1508" s="3">
        <v>38032</v>
      </c>
      <c r="C1508">
        <v>139</v>
      </c>
      <c r="D1508">
        <v>1.2735000000000001</v>
      </c>
      <c r="E1508">
        <v>30.57</v>
      </c>
      <c r="F1508">
        <v>124.35</v>
      </c>
      <c r="K1508" s="3"/>
      <c r="O1508" s="3"/>
    </row>
    <row r="1509" spans="1:15">
      <c r="A1509" s="3">
        <v>38033</v>
      </c>
      <c r="B1509" s="3">
        <v>38033</v>
      </c>
      <c r="C1509">
        <v>139.07</v>
      </c>
      <c r="D1509">
        <v>1.2771999999999999</v>
      </c>
      <c r="E1509">
        <v>30.32</v>
      </c>
      <c r="F1509">
        <v>124.35</v>
      </c>
      <c r="K1509" s="3"/>
      <c r="O1509" s="3"/>
    </row>
    <row r="1510" spans="1:15">
      <c r="A1510" s="3">
        <v>38034</v>
      </c>
      <c r="B1510" s="3">
        <v>38034</v>
      </c>
      <c r="C1510">
        <v>139.08000000000001</v>
      </c>
      <c r="D1510">
        <v>1.2842</v>
      </c>
      <c r="E1510">
        <v>30.69</v>
      </c>
      <c r="F1510">
        <v>130</v>
      </c>
      <c r="K1510" s="3"/>
      <c r="O1510" s="3"/>
    </row>
    <row r="1511" spans="1:15">
      <c r="A1511" s="3">
        <v>38035</v>
      </c>
      <c r="B1511" s="3">
        <v>38035</v>
      </c>
      <c r="C1511">
        <v>138.85</v>
      </c>
      <c r="D1511">
        <v>1.2689999999999999</v>
      </c>
      <c r="E1511">
        <v>30.99</v>
      </c>
      <c r="F1511">
        <v>130.15</v>
      </c>
      <c r="K1511" s="3"/>
      <c r="O1511" s="3"/>
    </row>
    <row r="1512" spans="1:15">
      <c r="A1512" s="3">
        <v>38036</v>
      </c>
      <c r="B1512" s="3">
        <v>38036</v>
      </c>
      <c r="C1512">
        <v>138.97</v>
      </c>
      <c r="D1512">
        <v>1.2717000000000001</v>
      </c>
      <c r="E1512">
        <v>30.82</v>
      </c>
      <c r="F1512">
        <v>132.94999999999999</v>
      </c>
      <c r="K1512" s="3"/>
      <c r="O1512" s="3"/>
    </row>
    <row r="1513" spans="1:15">
      <c r="A1513" s="3">
        <v>38037</v>
      </c>
      <c r="B1513" s="3">
        <v>38037</v>
      </c>
      <c r="C1513">
        <v>139.08000000000001</v>
      </c>
      <c r="D1513">
        <v>1.2537</v>
      </c>
      <c r="E1513">
        <v>30.69</v>
      </c>
      <c r="F1513">
        <v>130.85</v>
      </c>
      <c r="K1513" s="3"/>
      <c r="O1513" s="3"/>
    </row>
    <row r="1514" spans="1:15">
      <c r="A1514" s="3">
        <v>38038</v>
      </c>
      <c r="B1514" s="3">
        <v>38038</v>
      </c>
      <c r="C1514">
        <v>139.08000000000001</v>
      </c>
      <c r="D1514">
        <v>1.2537</v>
      </c>
      <c r="E1514">
        <v>30.69</v>
      </c>
      <c r="F1514">
        <v>130.85</v>
      </c>
      <c r="K1514" s="3"/>
      <c r="O1514" s="3"/>
    </row>
    <row r="1515" spans="1:15">
      <c r="A1515" s="3">
        <v>38039</v>
      </c>
      <c r="B1515" s="3">
        <v>38039</v>
      </c>
      <c r="C1515">
        <v>139.08000000000001</v>
      </c>
      <c r="D1515">
        <v>1.2537</v>
      </c>
      <c r="E1515">
        <v>30.69</v>
      </c>
      <c r="F1515">
        <v>130.85</v>
      </c>
      <c r="K1515" s="3"/>
      <c r="O1515" s="3"/>
    </row>
    <row r="1516" spans="1:15">
      <c r="A1516" s="3">
        <v>38040</v>
      </c>
      <c r="B1516" s="3">
        <v>38040</v>
      </c>
      <c r="C1516">
        <v>139.13</v>
      </c>
      <c r="D1516">
        <v>1.2556</v>
      </c>
      <c r="E1516">
        <v>30.81</v>
      </c>
      <c r="F1516">
        <v>131.35</v>
      </c>
      <c r="K1516" s="3"/>
      <c r="O1516" s="3"/>
    </row>
    <row r="1517" spans="1:15">
      <c r="A1517" s="3">
        <v>38041</v>
      </c>
      <c r="B1517" s="3">
        <v>38041</v>
      </c>
      <c r="C1517">
        <v>138.87</v>
      </c>
      <c r="D1517">
        <v>1.2685999999999999</v>
      </c>
      <c r="E1517">
        <v>30.81</v>
      </c>
      <c r="F1517">
        <v>132.6</v>
      </c>
      <c r="K1517" s="3"/>
      <c r="O1517" s="3"/>
    </row>
    <row r="1518" spans="1:15">
      <c r="A1518" s="3">
        <v>38042</v>
      </c>
      <c r="B1518" s="3">
        <v>38042</v>
      </c>
      <c r="C1518">
        <v>139.09</v>
      </c>
      <c r="D1518">
        <v>1.2501</v>
      </c>
      <c r="E1518">
        <v>31.57</v>
      </c>
      <c r="F1518">
        <v>130.85</v>
      </c>
      <c r="K1518" s="3"/>
      <c r="O1518" s="3"/>
    </row>
    <row r="1519" spans="1:15">
      <c r="A1519" s="3">
        <v>38043</v>
      </c>
      <c r="B1519" s="3">
        <v>38043</v>
      </c>
      <c r="C1519">
        <v>139.25</v>
      </c>
      <c r="D1519">
        <v>1.244</v>
      </c>
      <c r="E1519">
        <v>31.57</v>
      </c>
      <c r="F1519">
        <v>134.80000000000001</v>
      </c>
      <c r="K1519" s="3"/>
      <c r="O1519" s="3"/>
    </row>
    <row r="1520" spans="1:15">
      <c r="A1520" s="3">
        <v>38044</v>
      </c>
      <c r="B1520" s="3">
        <v>38044</v>
      </c>
      <c r="C1520">
        <v>139.01</v>
      </c>
      <c r="D1520">
        <v>1.2493000000000001</v>
      </c>
      <c r="E1520">
        <v>32.229999999999997</v>
      </c>
      <c r="F1520">
        <v>134.30000000000001</v>
      </c>
      <c r="K1520" s="3"/>
      <c r="O1520" s="3"/>
    </row>
    <row r="1521" spans="1:15">
      <c r="A1521" s="3">
        <v>38045</v>
      </c>
      <c r="B1521" s="3">
        <v>38045</v>
      </c>
      <c r="C1521">
        <v>139.01</v>
      </c>
      <c r="D1521">
        <v>1.2493000000000001</v>
      </c>
      <c r="E1521">
        <v>32.229999999999997</v>
      </c>
      <c r="F1521">
        <v>134.30000000000001</v>
      </c>
      <c r="K1521" s="3"/>
      <c r="O1521" s="3"/>
    </row>
    <row r="1522" spans="1:15">
      <c r="A1522" s="3">
        <v>38046</v>
      </c>
      <c r="B1522" s="3">
        <v>38046</v>
      </c>
      <c r="C1522">
        <v>139.01</v>
      </c>
      <c r="D1522">
        <v>1.2493000000000001</v>
      </c>
      <c r="E1522">
        <v>32.229999999999997</v>
      </c>
      <c r="F1522">
        <v>134.30000000000001</v>
      </c>
      <c r="K1522" s="3"/>
      <c r="O1522" s="3"/>
    </row>
    <row r="1523" spans="1:15">
      <c r="A1523" s="3">
        <v>38047</v>
      </c>
      <c r="B1523" s="3">
        <v>38047</v>
      </c>
      <c r="C1523">
        <v>139.22</v>
      </c>
      <c r="D1523">
        <v>1.2458</v>
      </c>
      <c r="E1523">
        <v>33.340000000000003</v>
      </c>
      <c r="F1523">
        <v>139.44999999999999</v>
      </c>
      <c r="K1523" s="3"/>
      <c r="O1523" s="3"/>
    </row>
    <row r="1524" spans="1:15">
      <c r="A1524" s="3">
        <v>38048</v>
      </c>
      <c r="B1524" s="3">
        <v>38048</v>
      </c>
      <c r="C1524">
        <v>139.19999999999999</v>
      </c>
      <c r="D1524">
        <v>1.2216</v>
      </c>
      <c r="E1524">
        <v>33.15</v>
      </c>
      <c r="F1524">
        <v>137.1</v>
      </c>
      <c r="K1524" s="3"/>
      <c r="O1524" s="3"/>
    </row>
    <row r="1525" spans="1:15">
      <c r="A1525" s="3">
        <v>38049</v>
      </c>
      <c r="B1525" s="3">
        <v>38049</v>
      </c>
      <c r="C1525">
        <v>139.96</v>
      </c>
      <c r="D1525">
        <v>1.2205999999999999</v>
      </c>
      <c r="E1525">
        <v>32.229999999999997</v>
      </c>
      <c r="F1525">
        <v>130.1</v>
      </c>
      <c r="K1525" s="3"/>
      <c r="O1525" s="3"/>
    </row>
    <row r="1526" spans="1:15">
      <c r="A1526" s="3">
        <v>38050</v>
      </c>
      <c r="B1526" s="3">
        <v>38050</v>
      </c>
      <c r="C1526">
        <v>139.65</v>
      </c>
      <c r="D1526">
        <v>1.2202999999999999</v>
      </c>
      <c r="E1526">
        <v>32.89</v>
      </c>
      <c r="F1526">
        <v>131.75</v>
      </c>
      <c r="K1526" s="3"/>
      <c r="O1526" s="3"/>
    </row>
    <row r="1527" spans="1:15">
      <c r="A1527" s="3">
        <v>38051</v>
      </c>
      <c r="B1527" s="3">
        <v>38051</v>
      </c>
      <c r="C1527">
        <v>139.38999999999999</v>
      </c>
      <c r="D1527">
        <v>1.2365999999999999</v>
      </c>
      <c r="E1527">
        <v>33.35</v>
      </c>
      <c r="F1527">
        <v>133.80000000000001</v>
      </c>
      <c r="K1527" s="3"/>
      <c r="O1527" s="3"/>
    </row>
    <row r="1528" spans="1:15">
      <c r="A1528" s="3">
        <v>38052</v>
      </c>
      <c r="B1528" s="3">
        <v>38052</v>
      </c>
      <c r="C1528">
        <v>139.38999999999999</v>
      </c>
      <c r="D1528">
        <v>1.2365999999999999</v>
      </c>
      <c r="E1528">
        <v>33.35</v>
      </c>
      <c r="F1528">
        <v>133.80000000000001</v>
      </c>
      <c r="K1528" s="3"/>
      <c r="O1528" s="3"/>
    </row>
    <row r="1529" spans="1:15">
      <c r="A1529" s="3">
        <v>38053</v>
      </c>
      <c r="B1529" s="3">
        <v>38053</v>
      </c>
      <c r="C1529">
        <v>139.38999999999999</v>
      </c>
      <c r="D1529">
        <v>1.2365999999999999</v>
      </c>
      <c r="E1529">
        <v>33.35</v>
      </c>
      <c r="F1529">
        <v>133.80000000000001</v>
      </c>
      <c r="K1529" s="3"/>
      <c r="O1529" s="3"/>
    </row>
    <row r="1530" spans="1:15">
      <c r="A1530" s="3">
        <v>38054</v>
      </c>
      <c r="B1530" s="3">
        <v>38054</v>
      </c>
      <c r="C1530">
        <v>139.38</v>
      </c>
      <c r="D1530">
        <v>1.2406999999999999</v>
      </c>
      <c r="E1530">
        <v>32.770000000000003</v>
      </c>
      <c r="F1530">
        <v>129.19999999999999</v>
      </c>
      <c r="K1530" s="3"/>
      <c r="O1530" s="3"/>
    </row>
    <row r="1531" spans="1:15">
      <c r="A1531" s="3">
        <v>38055</v>
      </c>
      <c r="B1531" s="3">
        <v>38055</v>
      </c>
      <c r="C1531">
        <v>139.05000000000001</v>
      </c>
      <c r="D1531">
        <v>1.2325999999999999</v>
      </c>
      <c r="E1531">
        <v>32.229999999999997</v>
      </c>
      <c r="F1531">
        <v>127</v>
      </c>
      <c r="K1531" s="3"/>
      <c r="O1531" s="3"/>
    </row>
    <row r="1532" spans="1:15">
      <c r="A1532" s="3">
        <v>38056</v>
      </c>
      <c r="B1532" s="3">
        <v>38056</v>
      </c>
      <c r="C1532">
        <v>138.83000000000001</v>
      </c>
      <c r="D1532">
        <v>1.2224999999999999</v>
      </c>
      <c r="E1532">
        <v>31.99</v>
      </c>
      <c r="F1532">
        <v>128.4</v>
      </c>
      <c r="K1532" s="3"/>
      <c r="O1532" s="3"/>
    </row>
    <row r="1533" spans="1:15">
      <c r="A1533" s="3">
        <v>38057</v>
      </c>
      <c r="B1533" s="3">
        <v>38057</v>
      </c>
      <c r="C1533">
        <v>138.91</v>
      </c>
      <c r="D1533">
        <v>1.2355</v>
      </c>
      <c r="E1533">
        <v>32.83</v>
      </c>
      <c r="F1533">
        <v>133.55000000000001</v>
      </c>
      <c r="K1533" s="3"/>
      <c r="O1533" s="3"/>
    </row>
    <row r="1534" spans="1:15">
      <c r="A1534" s="3">
        <v>38058</v>
      </c>
      <c r="B1534" s="3">
        <v>38058</v>
      </c>
      <c r="C1534">
        <v>138.88</v>
      </c>
      <c r="D1534">
        <v>1.2215</v>
      </c>
      <c r="E1534">
        <v>32.24</v>
      </c>
      <c r="F1534">
        <v>130.9</v>
      </c>
      <c r="K1534" s="3"/>
      <c r="O1534" s="3"/>
    </row>
    <row r="1535" spans="1:15">
      <c r="A1535" s="3">
        <v>38059</v>
      </c>
      <c r="B1535" s="3">
        <v>38059</v>
      </c>
      <c r="C1535">
        <v>138.88</v>
      </c>
      <c r="D1535">
        <v>1.2215</v>
      </c>
      <c r="E1535">
        <v>32.24</v>
      </c>
      <c r="F1535">
        <v>130.9</v>
      </c>
      <c r="K1535" s="3"/>
      <c r="O1535" s="3"/>
    </row>
    <row r="1536" spans="1:15">
      <c r="A1536" s="3">
        <v>38060</v>
      </c>
      <c r="B1536" s="3">
        <v>38060</v>
      </c>
      <c r="C1536">
        <v>138.88</v>
      </c>
      <c r="D1536">
        <v>1.2215</v>
      </c>
      <c r="E1536">
        <v>32.24</v>
      </c>
      <c r="F1536">
        <v>130.9</v>
      </c>
      <c r="K1536" s="3"/>
      <c r="O1536" s="3"/>
    </row>
    <row r="1537" spans="1:15">
      <c r="A1537" s="3">
        <v>38061</v>
      </c>
      <c r="B1537" s="3">
        <v>38061</v>
      </c>
      <c r="C1537">
        <v>139.01</v>
      </c>
      <c r="D1537">
        <v>1.2264999999999999</v>
      </c>
      <c r="E1537">
        <v>33.799999999999997</v>
      </c>
      <c r="F1537">
        <v>134.69999999999999</v>
      </c>
      <c r="K1537" s="3"/>
      <c r="O1537" s="3"/>
    </row>
    <row r="1538" spans="1:15">
      <c r="A1538" s="3">
        <v>38062</v>
      </c>
      <c r="B1538" s="3">
        <v>38062</v>
      </c>
      <c r="C1538">
        <v>139.33000000000001</v>
      </c>
      <c r="D1538">
        <v>1.2273000000000001</v>
      </c>
      <c r="E1538">
        <v>33.450000000000003</v>
      </c>
      <c r="F1538">
        <v>136.4</v>
      </c>
      <c r="K1538" s="3"/>
      <c r="O1538" s="3"/>
    </row>
    <row r="1539" spans="1:15">
      <c r="A1539" s="3">
        <v>38063</v>
      </c>
      <c r="B1539" s="3">
        <v>38063</v>
      </c>
      <c r="C1539">
        <v>139.44</v>
      </c>
      <c r="D1539">
        <v>1.2237</v>
      </c>
      <c r="E1539">
        <v>33.53</v>
      </c>
      <c r="F1539">
        <v>134.85</v>
      </c>
      <c r="K1539" s="3"/>
      <c r="O1539" s="3"/>
    </row>
    <row r="1540" spans="1:15">
      <c r="A1540" s="3">
        <v>38064</v>
      </c>
      <c r="B1540" s="3">
        <v>38064</v>
      </c>
      <c r="C1540">
        <v>138.97999999999999</v>
      </c>
      <c r="D1540">
        <v>1.2390000000000001</v>
      </c>
      <c r="E1540">
        <v>33.130000000000003</v>
      </c>
      <c r="F1540">
        <v>136.94999999999999</v>
      </c>
      <c r="K1540" s="3"/>
      <c r="O1540" s="3"/>
    </row>
    <row r="1541" spans="1:15">
      <c r="A1541" s="3">
        <v>38065</v>
      </c>
      <c r="B1541" s="3">
        <v>38065</v>
      </c>
      <c r="C1541">
        <v>138.85</v>
      </c>
      <c r="D1541">
        <v>1.2290000000000001</v>
      </c>
      <c r="E1541">
        <v>33.26</v>
      </c>
      <c r="F1541">
        <v>137.9</v>
      </c>
      <c r="K1541" s="3"/>
      <c r="O1541" s="3"/>
    </row>
    <row r="1542" spans="1:15">
      <c r="A1542" s="3">
        <v>38066</v>
      </c>
      <c r="B1542" s="3">
        <v>38066</v>
      </c>
      <c r="C1542">
        <v>138.85</v>
      </c>
      <c r="D1542">
        <v>1.2290000000000001</v>
      </c>
      <c r="E1542">
        <v>33.26</v>
      </c>
      <c r="F1542">
        <v>137.9</v>
      </c>
      <c r="K1542" s="3"/>
      <c r="O1542" s="3"/>
    </row>
    <row r="1543" spans="1:15">
      <c r="A1543" s="3">
        <v>38067</v>
      </c>
      <c r="B1543" s="3">
        <v>38067</v>
      </c>
      <c r="C1543">
        <v>138.85</v>
      </c>
      <c r="D1543">
        <v>1.2290000000000001</v>
      </c>
      <c r="E1543">
        <v>33.26</v>
      </c>
      <c r="F1543">
        <v>137.9</v>
      </c>
      <c r="K1543" s="3"/>
      <c r="O1543" s="3"/>
    </row>
    <row r="1544" spans="1:15">
      <c r="A1544" s="3">
        <v>38068</v>
      </c>
      <c r="B1544" s="3">
        <v>38068</v>
      </c>
      <c r="C1544">
        <v>138.88999999999999</v>
      </c>
      <c r="D1544">
        <v>1.2331000000000001</v>
      </c>
      <c r="E1544">
        <v>32.799999999999997</v>
      </c>
      <c r="F1544">
        <v>135.5</v>
      </c>
      <c r="K1544" s="3"/>
      <c r="O1544" s="3"/>
    </row>
    <row r="1545" spans="1:15">
      <c r="A1545" s="3">
        <v>38069</v>
      </c>
      <c r="B1545" s="3">
        <v>38069</v>
      </c>
      <c r="C1545">
        <v>138.78</v>
      </c>
      <c r="D1545">
        <v>1.2339</v>
      </c>
      <c r="E1545">
        <v>33.31</v>
      </c>
      <c r="F1545">
        <v>136.05000000000001</v>
      </c>
      <c r="K1545" s="3"/>
      <c r="O1545" s="3"/>
    </row>
    <row r="1546" spans="1:15">
      <c r="A1546" s="3">
        <v>38070</v>
      </c>
      <c r="B1546" s="3">
        <v>38070</v>
      </c>
      <c r="C1546">
        <v>138.84</v>
      </c>
      <c r="D1546">
        <v>1.2135</v>
      </c>
      <c r="E1546">
        <v>33.01</v>
      </c>
      <c r="F1546">
        <v>135.55000000000001</v>
      </c>
      <c r="K1546" s="3"/>
      <c r="O1546" s="3"/>
    </row>
    <row r="1547" spans="1:15">
      <c r="A1547" s="3">
        <v>38071</v>
      </c>
      <c r="B1547" s="3">
        <v>38071</v>
      </c>
      <c r="C1547">
        <v>138.6</v>
      </c>
      <c r="D1547">
        <v>1.2128000000000001</v>
      </c>
      <c r="E1547">
        <v>31.83</v>
      </c>
      <c r="F1547">
        <v>134.55000000000001</v>
      </c>
      <c r="K1547" s="3"/>
      <c r="O1547" s="3"/>
    </row>
    <row r="1548" spans="1:15">
      <c r="A1548" s="3">
        <v>38072</v>
      </c>
      <c r="B1548" s="3">
        <v>38072</v>
      </c>
      <c r="C1548">
        <v>138.47</v>
      </c>
      <c r="D1548">
        <v>1.2132000000000001</v>
      </c>
      <c r="E1548">
        <v>31.99</v>
      </c>
      <c r="F1548">
        <v>135.25</v>
      </c>
      <c r="K1548" s="3"/>
      <c r="O1548" s="3"/>
    </row>
    <row r="1549" spans="1:15">
      <c r="A1549" s="3">
        <v>38073</v>
      </c>
      <c r="B1549" s="3">
        <v>38073</v>
      </c>
      <c r="C1549">
        <v>138.47</v>
      </c>
      <c r="D1549">
        <v>1.2132000000000001</v>
      </c>
      <c r="E1549">
        <v>31.99</v>
      </c>
      <c r="F1549">
        <v>135.25</v>
      </c>
      <c r="K1549" s="3"/>
      <c r="O1549" s="3"/>
    </row>
    <row r="1550" spans="1:15">
      <c r="A1550" s="3">
        <v>38074</v>
      </c>
      <c r="B1550" s="3">
        <v>38074</v>
      </c>
      <c r="C1550">
        <v>138.47</v>
      </c>
      <c r="D1550">
        <v>1.2132000000000001</v>
      </c>
      <c r="E1550">
        <v>31.99</v>
      </c>
      <c r="F1550">
        <v>135.25</v>
      </c>
      <c r="K1550" s="3"/>
      <c r="O1550" s="3"/>
    </row>
    <row r="1551" spans="1:15">
      <c r="A1551" s="3">
        <v>38075</v>
      </c>
      <c r="B1551" s="3">
        <v>38075</v>
      </c>
      <c r="C1551">
        <v>138.74</v>
      </c>
      <c r="D1551">
        <v>1.2158</v>
      </c>
      <c r="E1551">
        <v>31.74</v>
      </c>
      <c r="F1551">
        <v>135.94999999999999</v>
      </c>
      <c r="K1551" s="3"/>
      <c r="O1551" s="3"/>
    </row>
    <row r="1552" spans="1:15">
      <c r="A1552" s="3">
        <v>38076</v>
      </c>
      <c r="B1552" s="3">
        <v>38076</v>
      </c>
      <c r="C1552">
        <v>138.80000000000001</v>
      </c>
      <c r="D1552">
        <v>1.2171000000000001</v>
      </c>
      <c r="E1552">
        <v>32.450000000000003</v>
      </c>
      <c r="F1552">
        <v>134.19999999999999</v>
      </c>
      <c r="K1552" s="3"/>
      <c r="O1552" s="3"/>
    </row>
    <row r="1553" spans="1:15">
      <c r="A1553" s="3">
        <v>38077</v>
      </c>
      <c r="B1553" s="3">
        <v>38077</v>
      </c>
      <c r="C1553">
        <v>138.94999999999999</v>
      </c>
      <c r="D1553">
        <v>1.2316</v>
      </c>
      <c r="E1553">
        <v>31.51</v>
      </c>
      <c r="F1553">
        <v>136</v>
      </c>
      <c r="K1553" s="3"/>
      <c r="O1553" s="3"/>
    </row>
    <row r="1554" spans="1:15">
      <c r="A1554" s="3">
        <v>38078</v>
      </c>
      <c r="B1554" s="3">
        <v>38078</v>
      </c>
      <c r="C1554">
        <v>138.79</v>
      </c>
      <c r="D1554">
        <v>1.2364999999999999</v>
      </c>
      <c r="E1554">
        <v>31.55</v>
      </c>
      <c r="F1554">
        <v>137.1</v>
      </c>
      <c r="K1554" s="3"/>
      <c r="O1554" s="3"/>
    </row>
    <row r="1555" spans="1:15">
      <c r="A1555" s="3">
        <v>38079</v>
      </c>
      <c r="B1555" s="3">
        <v>38079</v>
      </c>
      <c r="C1555">
        <v>138.52000000000001</v>
      </c>
      <c r="D1555">
        <v>1.2136</v>
      </c>
      <c r="E1555">
        <v>30.21</v>
      </c>
      <c r="F1555">
        <v>134.69999999999999</v>
      </c>
      <c r="K1555" s="3"/>
      <c r="O1555" s="3"/>
    </row>
    <row r="1556" spans="1:15">
      <c r="A1556" s="3">
        <v>38080</v>
      </c>
      <c r="B1556" s="3">
        <v>38080</v>
      </c>
      <c r="C1556">
        <v>138.52000000000001</v>
      </c>
      <c r="D1556">
        <v>1.2136</v>
      </c>
      <c r="E1556">
        <v>30.21</v>
      </c>
      <c r="F1556">
        <v>134.69999999999999</v>
      </c>
      <c r="K1556" s="3"/>
      <c r="O1556" s="3"/>
    </row>
    <row r="1557" spans="1:15">
      <c r="A1557" s="3">
        <v>38081</v>
      </c>
      <c r="B1557" s="3">
        <v>38081</v>
      </c>
      <c r="C1557">
        <v>138.52000000000001</v>
      </c>
      <c r="D1557">
        <v>1.2136</v>
      </c>
      <c r="E1557">
        <v>30.21</v>
      </c>
      <c r="F1557">
        <v>134.69999999999999</v>
      </c>
      <c r="K1557" s="3"/>
      <c r="O1557" s="3"/>
    </row>
    <row r="1558" spans="1:15">
      <c r="A1558" s="3">
        <v>38082</v>
      </c>
      <c r="B1558" s="3">
        <v>38082</v>
      </c>
      <c r="C1558">
        <v>138.34</v>
      </c>
      <c r="D1558">
        <v>1.2018</v>
      </c>
      <c r="E1558">
        <v>30.69</v>
      </c>
      <c r="F1558">
        <v>130.94999999999999</v>
      </c>
      <c r="K1558" s="3"/>
      <c r="O1558" s="3"/>
    </row>
    <row r="1559" spans="1:15">
      <c r="A1559" s="3">
        <v>38083</v>
      </c>
      <c r="B1559" s="3">
        <v>38083</v>
      </c>
      <c r="C1559">
        <v>138.35</v>
      </c>
      <c r="D1559">
        <v>1.2118</v>
      </c>
      <c r="E1559">
        <v>31.35</v>
      </c>
      <c r="F1559">
        <v>131.9</v>
      </c>
      <c r="K1559" s="3"/>
      <c r="O1559" s="3"/>
    </row>
    <row r="1560" spans="1:15">
      <c r="A1560" s="3">
        <v>38084</v>
      </c>
      <c r="B1560" s="3">
        <v>38084</v>
      </c>
      <c r="C1560">
        <v>138.27000000000001</v>
      </c>
      <c r="D1560">
        <v>1.2175</v>
      </c>
      <c r="E1560">
        <v>32.450000000000003</v>
      </c>
      <c r="F1560">
        <v>130.9</v>
      </c>
      <c r="K1560" s="3"/>
      <c r="O1560" s="3"/>
    </row>
    <row r="1561" spans="1:15">
      <c r="A1561" s="3">
        <v>38085</v>
      </c>
      <c r="B1561" s="3">
        <v>38085</v>
      </c>
      <c r="C1561">
        <v>138.1</v>
      </c>
      <c r="D1561">
        <v>1.2088000000000001</v>
      </c>
      <c r="E1561">
        <v>33.340000000000003</v>
      </c>
      <c r="F1561">
        <v>130.5</v>
      </c>
      <c r="K1561" s="3"/>
      <c r="O1561" s="3"/>
    </row>
    <row r="1562" spans="1:15">
      <c r="A1562" s="3">
        <v>38086</v>
      </c>
      <c r="B1562" s="3">
        <v>38086</v>
      </c>
      <c r="C1562">
        <v>138.1</v>
      </c>
      <c r="D1562">
        <v>1.2093</v>
      </c>
      <c r="E1562">
        <v>33.340000000000003</v>
      </c>
      <c r="F1562">
        <v>130.5</v>
      </c>
      <c r="K1562" s="3"/>
      <c r="O1562" s="3"/>
    </row>
    <row r="1563" spans="1:15">
      <c r="A1563" s="3">
        <v>38087</v>
      </c>
      <c r="B1563" s="3">
        <v>38087</v>
      </c>
      <c r="C1563">
        <v>138.1</v>
      </c>
      <c r="D1563">
        <v>1.2093</v>
      </c>
      <c r="E1563">
        <v>33.340000000000003</v>
      </c>
      <c r="F1563">
        <v>130.5</v>
      </c>
      <c r="K1563" s="3"/>
      <c r="O1563" s="3"/>
    </row>
    <row r="1564" spans="1:15">
      <c r="A1564" s="3">
        <v>38088</v>
      </c>
      <c r="B1564" s="3">
        <v>38088</v>
      </c>
      <c r="C1564">
        <v>138.1</v>
      </c>
      <c r="D1564">
        <v>1.2093</v>
      </c>
      <c r="E1564">
        <v>33.340000000000003</v>
      </c>
      <c r="F1564">
        <v>130.5</v>
      </c>
      <c r="K1564" s="3"/>
      <c r="O1564" s="3"/>
    </row>
    <row r="1565" spans="1:15">
      <c r="A1565" s="3">
        <v>38089</v>
      </c>
      <c r="B1565" s="3">
        <v>38089</v>
      </c>
      <c r="C1565">
        <v>137.75</v>
      </c>
      <c r="D1565">
        <v>1.2078</v>
      </c>
      <c r="E1565">
        <v>33.340000000000003</v>
      </c>
      <c r="F1565">
        <v>128.85</v>
      </c>
      <c r="K1565" s="3"/>
      <c r="O1565" s="3"/>
    </row>
    <row r="1566" spans="1:15">
      <c r="A1566" s="3">
        <v>38090</v>
      </c>
      <c r="B1566" s="3">
        <v>38090</v>
      </c>
      <c r="C1566">
        <v>137.91</v>
      </c>
      <c r="D1566">
        <v>1.1946000000000001</v>
      </c>
      <c r="E1566">
        <v>33.19</v>
      </c>
      <c r="F1566">
        <v>128</v>
      </c>
      <c r="K1566" s="3"/>
      <c r="O1566" s="3"/>
    </row>
    <row r="1567" spans="1:15">
      <c r="A1567" s="3">
        <v>38091</v>
      </c>
      <c r="B1567" s="3">
        <v>38091</v>
      </c>
      <c r="C1567">
        <v>138</v>
      </c>
      <c r="D1567">
        <v>1.1961999999999999</v>
      </c>
      <c r="E1567">
        <v>33.450000000000003</v>
      </c>
      <c r="F1567">
        <v>129.5</v>
      </c>
      <c r="K1567" s="3"/>
      <c r="O1567" s="3"/>
    </row>
    <row r="1568" spans="1:15">
      <c r="A1568" s="3">
        <v>38092</v>
      </c>
      <c r="B1568" s="3">
        <v>38092</v>
      </c>
      <c r="C1568">
        <v>137.93</v>
      </c>
      <c r="D1568">
        <v>1.1983999999999999</v>
      </c>
      <c r="E1568">
        <v>33.119999999999997</v>
      </c>
      <c r="F1568">
        <v>128.85</v>
      </c>
      <c r="K1568" s="3"/>
      <c r="O1568" s="3"/>
    </row>
    <row r="1569" spans="1:15">
      <c r="A1569" s="3">
        <v>38093</v>
      </c>
      <c r="B1569" s="3">
        <v>38093</v>
      </c>
      <c r="C1569">
        <v>137.69</v>
      </c>
      <c r="D1569">
        <v>1.1993</v>
      </c>
      <c r="E1569">
        <v>33.64</v>
      </c>
      <c r="F1569">
        <v>134.25</v>
      </c>
      <c r="K1569" s="3"/>
      <c r="O1569" s="3"/>
    </row>
    <row r="1570" spans="1:15">
      <c r="A1570" s="3">
        <v>38094</v>
      </c>
      <c r="B1570" s="3">
        <v>38094</v>
      </c>
      <c r="C1570">
        <v>137.69</v>
      </c>
      <c r="D1570">
        <v>1.1993</v>
      </c>
      <c r="E1570">
        <v>33.64</v>
      </c>
      <c r="F1570">
        <v>134.25</v>
      </c>
      <c r="K1570" s="3"/>
      <c r="O1570" s="3"/>
    </row>
    <row r="1571" spans="1:15">
      <c r="A1571" s="3">
        <v>38095</v>
      </c>
      <c r="B1571" s="3">
        <v>38095</v>
      </c>
      <c r="C1571">
        <v>137.69</v>
      </c>
      <c r="D1571">
        <v>1.1993</v>
      </c>
      <c r="E1571">
        <v>33.64</v>
      </c>
      <c r="F1571">
        <v>134.25</v>
      </c>
      <c r="K1571" s="3"/>
      <c r="O1571" s="3"/>
    </row>
    <row r="1572" spans="1:15">
      <c r="A1572" s="3">
        <v>38096</v>
      </c>
      <c r="B1572" s="3">
        <v>38096</v>
      </c>
      <c r="C1572">
        <v>137.63</v>
      </c>
      <c r="D1572">
        <v>1.2022999999999999</v>
      </c>
      <c r="E1572">
        <v>33.46</v>
      </c>
      <c r="F1572">
        <v>135.9</v>
      </c>
      <c r="K1572" s="3"/>
      <c r="O1572" s="3"/>
    </row>
    <row r="1573" spans="1:15">
      <c r="A1573" s="3">
        <v>38097</v>
      </c>
      <c r="B1573" s="3">
        <v>38097</v>
      </c>
      <c r="C1573">
        <v>137.54</v>
      </c>
      <c r="D1573">
        <v>1.1868000000000001</v>
      </c>
      <c r="E1573">
        <v>33.11</v>
      </c>
      <c r="F1573">
        <v>131</v>
      </c>
      <c r="K1573" s="3"/>
      <c r="O1573" s="3"/>
    </row>
    <row r="1574" spans="1:15">
      <c r="A1574" s="3">
        <v>38098</v>
      </c>
      <c r="B1574" s="3">
        <v>38098</v>
      </c>
      <c r="C1574">
        <v>138.03</v>
      </c>
      <c r="D1574">
        <v>1.1842999999999999</v>
      </c>
      <c r="E1574">
        <v>32.46</v>
      </c>
      <c r="F1574">
        <v>122.75</v>
      </c>
      <c r="K1574" s="3"/>
      <c r="O1574" s="3"/>
    </row>
    <row r="1575" spans="1:15">
      <c r="A1575" s="3">
        <v>38099</v>
      </c>
      <c r="B1575" s="3">
        <v>38099</v>
      </c>
      <c r="C1575">
        <v>138.35</v>
      </c>
      <c r="D1575">
        <v>1.1903999999999999</v>
      </c>
      <c r="E1575">
        <v>33.39</v>
      </c>
      <c r="F1575">
        <v>122.55</v>
      </c>
      <c r="K1575" s="3"/>
      <c r="O1575" s="3"/>
    </row>
    <row r="1576" spans="1:15">
      <c r="A1576" s="3">
        <v>38100</v>
      </c>
      <c r="B1576" s="3">
        <v>38100</v>
      </c>
      <c r="C1576">
        <v>138.24</v>
      </c>
      <c r="D1576">
        <v>1.1842999999999999</v>
      </c>
      <c r="E1576">
        <v>33.090000000000003</v>
      </c>
      <c r="F1576">
        <v>124.3</v>
      </c>
      <c r="K1576" s="3"/>
      <c r="O1576" s="3"/>
    </row>
    <row r="1577" spans="1:15">
      <c r="A1577" s="3">
        <v>38101</v>
      </c>
      <c r="B1577" s="3">
        <v>38101</v>
      </c>
      <c r="C1577">
        <v>138.24</v>
      </c>
      <c r="D1577">
        <v>1.1842999999999999</v>
      </c>
      <c r="E1577">
        <v>33.090000000000003</v>
      </c>
      <c r="F1577">
        <v>124.3</v>
      </c>
      <c r="K1577" s="3"/>
      <c r="O1577" s="3"/>
    </row>
    <row r="1578" spans="1:15">
      <c r="A1578" s="3">
        <v>38102</v>
      </c>
      <c r="B1578" s="3">
        <v>38102</v>
      </c>
      <c r="C1578">
        <v>138.24</v>
      </c>
      <c r="D1578">
        <v>1.1842999999999999</v>
      </c>
      <c r="E1578">
        <v>33.090000000000003</v>
      </c>
      <c r="F1578">
        <v>124.3</v>
      </c>
      <c r="K1578" s="3"/>
      <c r="O1578" s="3"/>
    </row>
    <row r="1579" spans="1:15">
      <c r="A1579" s="3">
        <v>38103</v>
      </c>
      <c r="B1579" s="3">
        <v>38103</v>
      </c>
      <c r="C1579">
        <v>138.44999999999999</v>
      </c>
      <c r="D1579">
        <v>1.1867000000000001</v>
      </c>
      <c r="E1579">
        <v>33.58</v>
      </c>
      <c r="F1579">
        <v>124.15</v>
      </c>
      <c r="K1579" s="3"/>
      <c r="O1579" s="3"/>
    </row>
    <row r="1580" spans="1:15">
      <c r="A1580" s="3">
        <v>38104</v>
      </c>
      <c r="B1580" s="3">
        <v>38104</v>
      </c>
      <c r="C1580">
        <v>138.53</v>
      </c>
      <c r="D1580">
        <v>1.1924999999999999</v>
      </c>
      <c r="E1580">
        <v>34.28</v>
      </c>
      <c r="F1580">
        <v>123.5</v>
      </c>
      <c r="K1580" s="3"/>
      <c r="O1580" s="3"/>
    </row>
    <row r="1581" spans="1:15">
      <c r="A1581" s="3">
        <v>38105</v>
      </c>
      <c r="B1581" s="3">
        <v>38105</v>
      </c>
      <c r="C1581">
        <v>138.47</v>
      </c>
      <c r="D1581">
        <v>1.1841999999999999</v>
      </c>
      <c r="E1581">
        <v>34.31</v>
      </c>
      <c r="F1581">
        <v>117.75</v>
      </c>
      <c r="K1581" s="3"/>
      <c r="O1581" s="3"/>
    </row>
    <row r="1582" spans="1:15">
      <c r="A1582" s="3">
        <v>38106</v>
      </c>
      <c r="B1582" s="3">
        <v>38106</v>
      </c>
      <c r="C1582">
        <v>138.38</v>
      </c>
      <c r="D1582">
        <v>1.1961999999999999</v>
      </c>
      <c r="E1582">
        <v>34.380000000000003</v>
      </c>
      <c r="F1582">
        <v>119.2</v>
      </c>
      <c r="K1582" s="3"/>
      <c r="O1582" s="3"/>
    </row>
    <row r="1583" spans="1:15">
      <c r="A1583" s="3">
        <v>38107</v>
      </c>
      <c r="B1583" s="3">
        <v>38107</v>
      </c>
      <c r="C1583">
        <v>138.22</v>
      </c>
      <c r="D1583">
        <v>1.198</v>
      </c>
      <c r="E1583">
        <v>34.479999999999997</v>
      </c>
      <c r="F1583">
        <v>120.95</v>
      </c>
      <c r="K1583" s="3"/>
      <c r="O1583" s="3"/>
    </row>
    <row r="1584" spans="1:15">
      <c r="A1584" s="3">
        <v>38108</v>
      </c>
      <c r="B1584" s="3">
        <v>38108</v>
      </c>
      <c r="C1584">
        <v>138.22</v>
      </c>
      <c r="D1584">
        <v>1.198</v>
      </c>
      <c r="E1584">
        <v>34.479999999999997</v>
      </c>
      <c r="F1584">
        <v>120.95</v>
      </c>
      <c r="K1584" s="3"/>
      <c r="O1584" s="3"/>
    </row>
    <row r="1585" spans="1:15">
      <c r="A1585" s="3">
        <v>38109</v>
      </c>
      <c r="B1585" s="3">
        <v>38109</v>
      </c>
      <c r="C1585">
        <v>138.22</v>
      </c>
      <c r="D1585">
        <v>1.198</v>
      </c>
      <c r="E1585">
        <v>34.479999999999997</v>
      </c>
      <c r="F1585">
        <v>120.95</v>
      </c>
      <c r="K1585" s="3"/>
      <c r="O1585" s="3"/>
    </row>
    <row r="1586" spans="1:15">
      <c r="A1586" s="3">
        <v>38110</v>
      </c>
      <c r="B1586" s="3">
        <v>38110</v>
      </c>
      <c r="C1586">
        <v>138.19</v>
      </c>
      <c r="D1586">
        <v>1.1946000000000001</v>
      </c>
      <c r="E1586">
        <v>34.479999999999997</v>
      </c>
      <c r="F1586">
        <v>122.8</v>
      </c>
      <c r="K1586" s="3"/>
      <c r="O1586" s="3"/>
    </row>
    <row r="1587" spans="1:15">
      <c r="A1587" s="3">
        <v>38111</v>
      </c>
      <c r="B1587" s="3">
        <v>38111</v>
      </c>
      <c r="C1587">
        <v>137.80000000000001</v>
      </c>
      <c r="D1587">
        <v>1.21</v>
      </c>
      <c r="E1587">
        <v>35.93</v>
      </c>
      <c r="F1587">
        <v>123.15</v>
      </c>
      <c r="K1587" s="3"/>
      <c r="O1587" s="3"/>
    </row>
    <row r="1588" spans="1:15">
      <c r="A1588" s="3">
        <v>38112</v>
      </c>
      <c r="B1588" s="3">
        <v>38112</v>
      </c>
      <c r="C1588">
        <v>137.55000000000001</v>
      </c>
      <c r="D1588">
        <v>1.2175</v>
      </c>
      <c r="E1588">
        <v>36.72</v>
      </c>
      <c r="F1588">
        <v>124.65</v>
      </c>
      <c r="K1588" s="3"/>
      <c r="O1588" s="3"/>
    </row>
    <row r="1589" spans="1:15">
      <c r="A1589" s="3">
        <v>38113</v>
      </c>
      <c r="B1589" s="3">
        <v>38113</v>
      </c>
      <c r="C1589">
        <v>137.41</v>
      </c>
      <c r="D1589">
        <v>1.2081999999999999</v>
      </c>
      <c r="E1589">
        <v>36.53</v>
      </c>
      <c r="F1589">
        <v>123.85</v>
      </c>
      <c r="K1589" s="3"/>
      <c r="O1589" s="3"/>
    </row>
    <row r="1590" spans="1:15">
      <c r="A1590" s="3">
        <v>38114</v>
      </c>
      <c r="B1590" s="3">
        <v>38114</v>
      </c>
      <c r="C1590">
        <v>137.35</v>
      </c>
      <c r="D1590">
        <v>1.1883999999999999</v>
      </c>
      <c r="E1590">
        <v>37</v>
      </c>
      <c r="F1590">
        <v>119.25</v>
      </c>
      <c r="K1590" s="3"/>
      <c r="O1590" s="3"/>
    </row>
    <row r="1591" spans="1:15">
      <c r="A1591" s="3">
        <v>38115</v>
      </c>
      <c r="B1591" s="3">
        <v>38115</v>
      </c>
      <c r="C1591">
        <v>137.35</v>
      </c>
      <c r="D1591">
        <v>1.1883999999999999</v>
      </c>
      <c r="E1591">
        <v>37</v>
      </c>
      <c r="F1591">
        <v>119.25</v>
      </c>
      <c r="K1591" s="3"/>
      <c r="O1591" s="3"/>
    </row>
    <row r="1592" spans="1:15">
      <c r="A1592" s="3">
        <v>38116</v>
      </c>
      <c r="B1592" s="3">
        <v>38116</v>
      </c>
      <c r="C1592">
        <v>137.35</v>
      </c>
      <c r="D1592">
        <v>1.1883999999999999</v>
      </c>
      <c r="E1592">
        <v>37</v>
      </c>
      <c r="F1592">
        <v>119.25</v>
      </c>
      <c r="K1592" s="3"/>
      <c r="O1592" s="3"/>
    </row>
    <row r="1593" spans="1:15">
      <c r="A1593" s="3">
        <v>38117</v>
      </c>
      <c r="B1593" s="3">
        <v>38117</v>
      </c>
      <c r="C1593">
        <v>137.35</v>
      </c>
      <c r="D1593">
        <v>1.1849000000000001</v>
      </c>
      <c r="E1593">
        <v>35.97</v>
      </c>
      <c r="F1593">
        <v>116.75</v>
      </c>
      <c r="K1593" s="3"/>
      <c r="O1593" s="3"/>
    </row>
    <row r="1594" spans="1:15">
      <c r="A1594" s="3">
        <v>38118</v>
      </c>
      <c r="B1594" s="3">
        <v>38118</v>
      </c>
      <c r="C1594">
        <v>137.30000000000001</v>
      </c>
      <c r="D1594">
        <v>1.1872</v>
      </c>
      <c r="E1594">
        <v>37.36</v>
      </c>
      <c r="F1594">
        <v>119.35</v>
      </c>
      <c r="K1594" s="3"/>
      <c r="O1594" s="3"/>
    </row>
    <row r="1595" spans="1:15">
      <c r="A1595" s="3">
        <v>38119</v>
      </c>
      <c r="B1595" s="3">
        <v>38119</v>
      </c>
      <c r="C1595">
        <v>137.19999999999999</v>
      </c>
      <c r="D1595">
        <v>1.1902999999999999</v>
      </c>
      <c r="E1595">
        <v>37.950000000000003</v>
      </c>
      <c r="F1595">
        <v>118.7</v>
      </c>
      <c r="K1595" s="3"/>
      <c r="O1595" s="3"/>
    </row>
    <row r="1596" spans="1:15">
      <c r="A1596" s="3">
        <v>38120</v>
      </c>
      <c r="B1596" s="3">
        <v>38120</v>
      </c>
      <c r="C1596">
        <v>137</v>
      </c>
      <c r="D1596">
        <v>1.1821999999999999</v>
      </c>
      <c r="E1596">
        <v>38.49</v>
      </c>
      <c r="F1596">
        <v>117.75</v>
      </c>
      <c r="K1596" s="3"/>
      <c r="O1596" s="3"/>
    </row>
    <row r="1597" spans="1:15">
      <c r="A1597" s="3">
        <v>38121</v>
      </c>
      <c r="B1597" s="3">
        <v>38121</v>
      </c>
      <c r="C1597">
        <v>136.93</v>
      </c>
      <c r="D1597">
        <v>1.1888000000000001</v>
      </c>
      <c r="E1597">
        <v>38.76</v>
      </c>
      <c r="F1597">
        <v>117.6</v>
      </c>
      <c r="K1597" s="3"/>
      <c r="O1597" s="3"/>
    </row>
    <row r="1598" spans="1:15">
      <c r="A1598" s="3">
        <v>38122</v>
      </c>
      <c r="B1598" s="3">
        <v>38122</v>
      </c>
      <c r="C1598">
        <v>136.93</v>
      </c>
      <c r="D1598">
        <v>1.1888000000000001</v>
      </c>
      <c r="E1598">
        <v>38.76</v>
      </c>
      <c r="F1598">
        <v>117.6</v>
      </c>
      <c r="K1598" s="3"/>
      <c r="O1598" s="3"/>
    </row>
    <row r="1599" spans="1:15">
      <c r="A1599" s="3">
        <v>38123</v>
      </c>
      <c r="B1599" s="3">
        <v>38123</v>
      </c>
      <c r="C1599">
        <v>136.93</v>
      </c>
      <c r="D1599">
        <v>1.1888000000000001</v>
      </c>
      <c r="E1599">
        <v>38.76</v>
      </c>
      <c r="F1599">
        <v>117.6</v>
      </c>
      <c r="K1599" s="3"/>
      <c r="O1599" s="3"/>
    </row>
    <row r="1600" spans="1:15">
      <c r="A1600" s="3">
        <v>38124</v>
      </c>
      <c r="B1600" s="3">
        <v>38124</v>
      </c>
      <c r="C1600">
        <v>136.74</v>
      </c>
      <c r="D1600">
        <v>1.2027000000000001</v>
      </c>
      <c r="E1600">
        <v>37.909999999999997</v>
      </c>
      <c r="F1600">
        <v>114.45</v>
      </c>
      <c r="K1600" s="3"/>
      <c r="O1600" s="3"/>
    </row>
    <row r="1601" spans="1:15">
      <c r="A1601" s="3">
        <v>38125</v>
      </c>
      <c r="B1601" s="3">
        <v>38125</v>
      </c>
      <c r="C1601">
        <v>136.55000000000001</v>
      </c>
      <c r="D1601">
        <v>1.1953</v>
      </c>
      <c r="E1601">
        <v>36.950000000000003</v>
      </c>
      <c r="F1601">
        <v>115.6</v>
      </c>
      <c r="K1601" s="3"/>
      <c r="O1601" s="3"/>
    </row>
    <row r="1602" spans="1:15">
      <c r="A1602" s="3">
        <v>38126</v>
      </c>
      <c r="B1602" s="3">
        <v>38126</v>
      </c>
      <c r="C1602">
        <v>136.46</v>
      </c>
      <c r="D1602">
        <v>1.2009000000000001</v>
      </c>
      <c r="E1602">
        <v>37.9</v>
      </c>
      <c r="F1602">
        <v>119.75</v>
      </c>
      <c r="K1602" s="3"/>
      <c r="O1602" s="3"/>
    </row>
    <row r="1603" spans="1:15">
      <c r="A1603" s="3">
        <v>38127</v>
      </c>
      <c r="B1603" s="3">
        <v>38127</v>
      </c>
      <c r="C1603">
        <v>136.38</v>
      </c>
      <c r="D1603">
        <v>1.1964999999999999</v>
      </c>
      <c r="E1603">
        <v>37.26</v>
      </c>
      <c r="F1603">
        <v>118.9</v>
      </c>
      <c r="K1603" s="3"/>
      <c r="O1603" s="3"/>
    </row>
    <row r="1604" spans="1:15">
      <c r="A1604" s="3">
        <v>38128</v>
      </c>
      <c r="B1604" s="3">
        <v>38128</v>
      </c>
      <c r="C1604">
        <v>136.72</v>
      </c>
      <c r="D1604">
        <v>1.198</v>
      </c>
      <c r="E1604">
        <v>36.51</v>
      </c>
      <c r="F1604">
        <v>122</v>
      </c>
      <c r="K1604" s="3"/>
      <c r="O1604" s="3"/>
    </row>
    <row r="1605" spans="1:15">
      <c r="A1605" s="3">
        <v>38129</v>
      </c>
      <c r="B1605" s="3">
        <v>38129</v>
      </c>
      <c r="C1605">
        <v>136.72</v>
      </c>
      <c r="D1605">
        <v>1.198</v>
      </c>
      <c r="E1605">
        <v>36.51</v>
      </c>
      <c r="F1605">
        <v>122</v>
      </c>
      <c r="K1605" s="3"/>
      <c r="O1605" s="3"/>
    </row>
    <row r="1606" spans="1:15">
      <c r="A1606" s="3">
        <v>38130</v>
      </c>
      <c r="B1606" s="3">
        <v>38130</v>
      </c>
      <c r="C1606">
        <v>136.72</v>
      </c>
      <c r="D1606">
        <v>1.198</v>
      </c>
      <c r="E1606">
        <v>36.51</v>
      </c>
      <c r="F1606">
        <v>122</v>
      </c>
      <c r="K1606" s="3"/>
      <c r="O1606" s="3"/>
    </row>
    <row r="1607" spans="1:15">
      <c r="A1607" s="3">
        <v>38131</v>
      </c>
      <c r="B1607" s="3">
        <v>38131</v>
      </c>
      <c r="C1607">
        <v>136.87</v>
      </c>
      <c r="D1607">
        <v>1.2004999999999999</v>
      </c>
      <c r="E1607">
        <v>38.17</v>
      </c>
      <c r="F1607">
        <v>123.25</v>
      </c>
      <c r="K1607" s="3"/>
      <c r="O1607" s="3"/>
    </row>
    <row r="1608" spans="1:15">
      <c r="A1608" s="3">
        <v>38132</v>
      </c>
      <c r="B1608" s="3">
        <v>38132</v>
      </c>
      <c r="C1608">
        <v>137.1</v>
      </c>
      <c r="D1608">
        <v>1.2107000000000001</v>
      </c>
      <c r="E1608">
        <v>37.44</v>
      </c>
      <c r="F1608">
        <v>123.2</v>
      </c>
      <c r="K1608" s="3"/>
      <c r="O1608" s="3"/>
    </row>
    <row r="1609" spans="1:15">
      <c r="A1609" s="3">
        <v>38133</v>
      </c>
      <c r="B1609" s="3">
        <v>38133</v>
      </c>
      <c r="C1609">
        <v>136.97</v>
      </c>
      <c r="D1609">
        <v>1.2105999999999999</v>
      </c>
      <c r="E1609">
        <v>37.08</v>
      </c>
      <c r="F1609">
        <v>123.25</v>
      </c>
      <c r="K1609" s="3"/>
      <c r="O1609" s="3"/>
    </row>
    <row r="1610" spans="1:15">
      <c r="A1610" s="3">
        <v>38134</v>
      </c>
      <c r="B1610" s="3">
        <v>38134</v>
      </c>
      <c r="C1610">
        <v>137.03</v>
      </c>
      <c r="D1610">
        <v>1.2263999999999999</v>
      </c>
      <c r="E1610">
        <v>36.25</v>
      </c>
      <c r="F1610">
        <v>127.3</v>
      </c>
      <c r="K1610" s="3"/>
      <c r="O1610" s="3"/>
    </row>
    <row r="1611" spans="1:15">
      <c r="A1611" s="3">
        <v>38135</v>
      </c>
      <c r="B1611" s="3">
        <v>38135</v>
      </c>
      <c r="C1611">
        <v>137.21</v>
      </c>
      <c r="D1611">
        <v>1.2222999999999999</v>
      </c>
      <c r="E1611">
        <v>36.58</v>
      </c>
      <c r="F1611">
        <v>127.75</v>
      </c>
      <c r="K1611" s="3"/>
      <c r="O1611" s="3"/>
    </row>
    <row r="1612" spans="1:15">
      <c r="A1612" s="3">
        <v>38136</v>
      </c>
      <c r="B1612" s="3">
        <v>38136</v>
      </c>
      <c r="C1612">
        <v>137.21</v>
      </c>
      <c r="D1612">
        <v>1.2222999999999999</v>
      </c>
      <c r="E1612">
        <v>36.58</v>
      </c>
      <c r="F1612">
        <v>127.75</v>
      </c>
      <c r="K1612" s="3"/>
      <c r="O1612" s="3"/>
    </row>
    <row r="1613" spans="1:15">
      <c r="A1613" s="3">
        <v>38137</v>
      </c>
      <c r="B1613" s="3">
        <v>38137</v>
      </c>
      <c r="C1613">
        <v>137.21</v>
      </c>
      <c r="D1613">
        <v>1.2222999999999999</v>
      </c>
      <c r="E1613">
        <v>36.58</v>
      </c>
      <c r="F1613">
        <v>127.75</v>
      </c>
      <c r="K1613" s="3"/>
      <c r="O1613" s="3"/>
    </row>
    <row r="1614" spans="1:15">
      <c r="A1614" s="3">
        <v>38138</v>
      </c>
      <c r="B1614" s="3">
        <v>38138</v>
      </c>
      <c r="C1614">
        <v>137.21</v>
      </c>
      <c r="D1614">
        <v>1.2188000000000001</v>
      </c>
      <c r="E1614">
        <v>36.58</v>
      </c>
      <c r="F1614">
        <v>127.75</v>
      </c>
      <c r="K1614" s="3"/>
      <c r="O1614" s="3"/>
    </row>
    <row r="1615" spans="1:15">
      <c r="A1615" s="3">
        <v>38139</v>
      </c>
      <c r="B1615" s="3">
        <v>38139</v>
      </c>
      <c r="C1615">
        <v>136.65</v>
      </c>
      <c r="D1615">
        <v>1.2248000000000001</v>
      </c>
      <c r="E1615">
        <v>39.08</v>
      </c>
      <c r="F1615">
        <v>129.25</v>
      </c>
      <c r="K1615" s="3"/>
      <c r="O1615" s="3"/>
    </row>
    <row r="1616" spans="1:15">
      <c r="A1616" s="3">
        <v>38140</v>
      </c>
      <c r="B1616" s="3">
        <v>38140</v>
      </c>
      <c r="C1616">
        <v>136.52000000000001</v>
      </c>
      <c r="D1616">
        <v>1.2215</v>
      </c>
      <c r="E1616">
        <v>36.86</v>
      </c>
      <c r="F1616">
        <v>124.8</v>
      </c>
      <c r="K1616" s="3"/>
      <c r="O1616" s="3"/>
    </row>
    <row r="1617" spans="1:15">
      <c r="A1617" s="3">
        <v>38141</v>
      </c>
      <c r="B1617" s="3">
        <v>38141</v>
      </c>
      <c r="C1617">
        <v>136.38</v>
      </c>
      <c r="D1617">
        <v>1.2228000000000001</v>
      </c>
      <c r="E1617">
        <v>36.4</v>
      </c>
      <c r="F1617">
        <v>124.6</v>
      </c>
      <c r="K1617" s="3"/>
      <c r="O1617" s="3"/>
    </row>
    <row r="1618" spans="1:15">
      <c r="A1618" s="3">
        <v>38142</v>
      </c>
      <c r="B1618" s="3">
        <v>38142</v>
      </c>
      <c r="C1618">
        <v>136.29</v>
      </c>
      <c r="D1618">
        <v>1.2282999999999999</v>
      </c>
      <c r="E1618">
        <v>35.67</v>
      </c>
      <c r="F1618">
        <v>123.15</v>
      </c>
      <c r="K1618" s="3"/>
      <c r="O1618" s="3"/>
    </row>
    <row r="1619" spans="1:15">
      <c r="A1619" s="3">
        <v>38143</v>
      </c>
      <c r="B1619" s="3">
        <v>38143</v>
      </c>
      <c r="C1619">
        <v>136.29</v>
      </c>
      <c r="D1619">
        <v>1.2282999999999999</v>
      </c>
      <c r="E1619">
        <v>35.67</v>
      </c>
      <c r="F1619">
        <v>123.15</v>
      </c>
      <c r="K1619" s="3"/>
      <c r="O1619" s="3"/>
    </row>
    <row r="1620" spans="1:15">
      <c r="A1620" s="3">
        <v>38144</v>
      </c>
      <c r="B1620" s="3">
        <v>38144</v>
      </c>
      <c r="C1620">
        <v>136.29</v>
      </c>
      <c r="D1620">
        <v>1.2282999999999999</v>
      </c>
      <c r="E1620">
        <v>35.67</v>
      </c>
      <c r="F1620">
        <v>123.15</v>
      </c>
      <c r="K1620" s="3"/>
      <c r="O1620" s="3"/>
    </row>
    <row r="1621" spans="1:15">
      <c r="A1621" s="3">
        <v>38145</v>
      </c>
      <c r="B1621" s="3">
        <v>38145</v>
      </c>
      <c r="C1621">
        <v>135.96</v>
      </c>
      <c r="D1621">
        <v>1.2322</v>
      </c>
      <c r="E1621">
        <v>35.96</v>
      </c>
      <c r="F1621">
        <v>126.55</v>
      </c>
      <c r="K1621" s="3"/>
      <c r="O1621" s="3"/>
    </row>
    <row r="1622" spans="1:15">
      <c r="A1622" s="3">
        <v>38146</v>
      </c>
      <c r="B1622" s="3">
        <v>38146</v>
      </c>
      <c r="C1622">
        <v>136.07</v>
      </c>
      <c r="D1622">
        <v>1.2269000000000001</v>
      </c>
      <c r="E1622">
        <v>35.049999999999997</v>
      </c>
      <c r="F1622">
        <v>123.75</v>
      </c>
      <c r="K1622" s="3"/>
      <c r="O1622" s="3"/>
    </row>
    <row r="1623" spans="1:15">
      <c r="A1623" s="3">
        <v>38147</v>
      </c>
      <c r="B1623" s="3">
        <v>38147</v>
      </c>
      <c r="C1623">
        <v>136.19999999999999</v>
      </c>
      <c r="D1623">
        <v>1.2049000000000001</v>
      </c>
      <c r="E1623">
        <v>35.29</v>
      </c>
      <c r="F1623">
        <v>116.45</v>
      </c>
      <c r="K1623" s="3"/>
      <c r="O1623" s="3"/>
    </row>
    <row r="1624" spans="1:15">
      <c r="A1624" s="3">
        <v>38148</v>
      </c>
      <c r="B1624" s="3">
        <v>38148</v>
      </c>
      <c r="C1624">
        <v>136.15</v>
      </c>
      <c r="D1624">
        <v>1.2105999999999999</v>
      </c>
      <c r="E1624">
        <v>35.74</v>
      </c>
      <c r="F1624">
        <v>117.3</v>
      </c>
      <c r="K1624" s="3"/>
      <c r="O1624" s="3"/>
    </row>
    <row r="1625" spans="1:15">
      <c r="A1625" s="3">
        <v>38149</v>
      </c>
      <c r="B1625" s="3">
        <v>38149</v>
      </c>
      <c r="C1625">
        <v>136.16999999999999</v>
      </c>
      <c r="D1625">
        <v>1.2005999999999999</v>
      </c>
      <c r="E1625">
        <v>35.44</v>
      </c>
      <c r="F1625">
        <v>117.3</v>
      </c>
      <c r="K1625" s="3"/>
      <c r="O1625" s="3"/>
    </row>
    <row r="1626" spans="1:15">
      <c r="A1626" s="3">
        <v>38150</v>
      </c>
      <c r="B1626" s="3">
        <v>38150</v>
      </c>
      <c r="C1626">
        <v>136.16999999999999</v>
      </c>
      <c r="D1626">
        <v>1.2005999999999999</v>
      </c>
      <c r="E1626">
        <v>35.44</v>
      </c>
      <c r="F1626">
        <v>117.3</v>
      </c>
      <c r="K1626" s="3"/>
      <c r="O1626" s="3"/>
    </row>
    <row r="1627" spans="1:15">
      <c r="A1627" s="3">
        <v>38151</v>
      </c>
      <c r="B1627" s="3">
        <v>38151</v>
      </c>
      <c r="C1627">
        <v>136.16999999999999</v>
      </c>
      <c r="D1627">
        <v>1.2005999999999999</v>
      </c>
      <c r="E1627">
        <v>35.44</v>
      </c>
      <c r="F1627">
        <v>117.3</v>
      </c>
      <c r="K1627" s="3"/>
      <c r="O1627" s="3"/>
    </row>
    <row r="1628" spans="1:15">
      <c r="A1628" s="3">
        <v>38152</v>
      </c>
      <c r="B1628" s="3">
        <v>38152</v>
      </c>
      <c r="C1628">
        <v>136.22999999999999</v>
      </c>
      <c r="D1628">
        <v>1.2058</v>
      </c>
      <c r="E1628">
        <v>35.49</v>
      </c>
      <c r="F1628">
        <v>115.25</v>
      </c>
      <c r="K1628" s="3"/>
      <c r="O1628" s="3"/>
    </row>
    <row r="1629" spans="1:15">
      <c r="A1629" s="3">
        <v>38153</v>
      </c>
      <c r="B1629" s="3">
        <v>38153</v>
      </c>
      <c r="C1629">
        <v>136.27000000000001</v>
      </c>
      <c r="D1629">
        <v>1.2161999999999999</v>
      </c>
      <c r="E1629">
        <v>35.29</v>
      </c>
      <c r="F1629">
        <v>119.1</v>
      </c>
      <c r="K1629" s="3"/>
      <c r="O1629" s="3"/>
    </row>
    <row r="1630" spans="1:15">
      <c r="A1630" s="3">
        <v>38154</v>
      </c>
      <c r="B1630" s="3">
        <v>38154</v>
      </c>
      <c r="C1630">
        <v>136.44999999999999</v>
      </c>
      <c r="D1630">
        <v>1.2011000000000001</v>
      </c>
      <c r="E1630">
        <v>35.200000000000003</v>
      </c>
      <c r="F1630">
        <v>117.9</v>
      </c>
      <c r="K1630" s="3"/>
      <c r="O1630" s="3"/>
    </row>
    <row r="1631" spans="1:15">
      <c r="A1631" s="3">
        <v>38155</v>
      </c>
      <c r="B1631" s="3">
        <v>38155</v>
      </c>
      <c r="C1631">
        <v>136.33000000000001</v>
      </c>
      <c r="D1631">
        <v>1.2054</v>
      </c>
      <c r="E1631">
        <v>36.21</v>
      </c>
      <c r="F1631">
        <v>119.9</v>
      </c>
      <c r="K1631" s="3"/>
      <c r="O1631" s="3"/>
    </row>
    <row r="1632" spans="1:15">
      <c r="A1632" s="3">
        <v>38156</v>
      </c>
      <c r="B1632" s="3">
        <v>38156</v>
      </c>
      <c r="C1632">
        <v>136.32</v>
      </c>
      <c r="D1632">
        <v>1.2137</v>
      </c>
      <c r="E1632">
        <v>36.21</v>
      </c>
      <c r="F1632">
        <v>119.25</v>
      </c>
      <c r="K1632" s="3"/>
      <c r="O1632" s="3"/>
    </row>
    <row r="1633" spans="1:15">
      <c r="A1633" s="3">
        <v>38157</v>
      </c>
      <c r="B1633" s="3">
        <v>38157</v>
      </c>
      <c r="C1633">
        <v>136.32</v>
      </c>
      <c r="D1633">
        <v>1.2137</v>
      </c>
      <c r="E1633">
        <v>36.21</v>
      </c>
      <c r="F1633">
        <v>119.25</v>
      </c>
      <c r="K1633" s="3"/>
      <c r="O1633" s="3"/>
    </row>
    <row r="1634" spans="1:15">
      <c r="A1634" s="3">
        <v>38158</v>
      </c>
      <c r="B1634" s="3">
        <v>38158</v>
      </c>
      <c r="C1634">
        <v>136.32</v>
      </c>
      <c r="D1634">
        <v>1.2137</v>
      </c>
      <c r="E1634">
        <v>36.21</v>
      </c>
      <c r="F1634">
        <v>119.25</v>
      </c>
      <c r="K1634" s="3"/>
      <c r="O1634" s="3"/>
    </row>
    <row r="1635" spans="1:15">
      <c r="A1635" s="3">
        <v>38159</v>
      </c>
      <c r="B1635" s="3">
        <v>38159</v>
      </c>
      <c r="C1635">
        <v>136.56</v>
      </c>
      <c r="D1635">
        <v>1.2114</v>
      </c>
      <c r="E1635">
        <v>35.130000000000003</v>
      </c>
      <c r="F1635">
        <v>119.5</v>
      </c>
      <c r="K1635" s="3"/>
      <c r="O1635" s="3"/>
    </row>
    <row r="1636" spans="1:15">
      <c r="A1636" s="3">
        <v>38160</v>
      </c>
      <c r="B1636" s="3">
        <v>38160</v>
      </c>
      <c r="C1636">
        <v>136.58000000000001</v>
      </c>
      <c r="D1636">
        <v>1.2108000000000001</v>
      </c>
      <c r="E1636">
        <v>35.61</v>
      </c>
      <c r="F1636">
        <v>116.35</v>
      </c>
      <c r="K1636" s="3"/>
      <c r="O1636" s="3"/>
    </row>
    <row r="1637" spans="1:15">
      <c r="A1637" s="3">
        <v>38161</v>
      </c>
      <c r="B1637" s="3">
        <v>38161</v>
      </c>
      <c r="C1637">
        <v>136.29</v>
      </c>
      <c r="D1637">
        <v>1.2093</v>
      </c>
      <c r="E1637">
        <v>35.03</v>
      </c>
      <c r="F1637">
        <v>119.5</v>
      </c>
      <c r="K1637" s="3"/>
      <c r="O1637" s="3"/>
    </row>
    <row r="1638" spans="1:15">
      <c r="A1638" s="3">
        <v>38162</v>
      </c>
      <c r="B1638" s="3">
        <v>38162</v>
      </c>
      <c r="C1638">
        <v>136.33000000000001</v>
      </c>
      <c r="D1638">
        <v>1.2170000000000001</v>
      </c>
      <c r="E1638">
        <v>35.299999999999997</v>
      </c>
      <c r="F1638">
        <v>122.35</v>
      </c>
      <c r="K1638" s="3"/>
      <c r="O1638" s="3"/>
    </row>
    <row r="1639" spans="1:15">
      <c r="A1639" s="3">
        <v>38163</v>
      </c>
      <c r="B1639" s="3">
        <v>38163</v>
      </c>
      <c r="C1639">
        <v>136.6</v>
      </c>
      <c r="D1639">
        <v>1.2178</v>
      </c>
      <c r="E1639">
        <v>34.97</v>
      </c>
      <c r="F1639">
        <v>120.95</v>
      </c>
      <c r="K1639" s="3"/>
      <c r="O1639" s="3"/>
    </row>
    <row r="1640" spans="1:15">
      <c r="A1640" s="3">
        <v>38164</v>
      </c>
      <c r="B1640" s="3">
        <v>38164</v>
      </c>
      <c r="C1640">
        <v>136.6</v>
      </c>
      <c r="D1640">
        <v>1.2178</v>
      </c>
      <c r="E1640">
        <v>34.97</v>
      </c>
      <c r="F1640">
        <v>120.95</v>
      </c>
      <c r="K1640" s="3"/>
      <c r="O1640" s="3"/>
    </row>
    <row r="1641" spans="1:15">
      <c r="A1641" s="3">
        <v>38165</v>
      </c>
      <c r="B1641" s="3">
        <v>38165</v>
      </c>
      <c r="C1641">
        <v>136.6</v>
      </c>
      <c r="D1641">
        <v>1.2178</v>
      </c>
      <c r="E1641">
        <v>34.97</v>
      </c>
      <c r="F1641">
        <v>120.95</v>
      </c>
      <c r="K1641" s="3"/>
      <c r="O1641" s="3"/>
    </row>
    <row r="1642" spans="1:15">
      <c r="A1642" s="3">
        <v>38166</v>
      </c>
      <c r="B1642" s="3">
        <v>38166</v>
      </c>
      <c r="C1642">
        <v>136.44</v>
      </c>
      <c r="D1642">
        <v>1.2185999999999999</v>
      </c>
      <c r="E1642">
        <v>33.700000000000003</v>
      </c>
      <c r="F1642">
        <v>120.75</v>
      </c>
      <c r="K1642" s="3"/>
      <c r="O1642" s="3"/>
    </row>
    <row r="1643" spans="1:15">
      <c r="A1643" s="3">
        <v>38167</v>
      </c>
      <c r="B1643" s="3">
        <v>38167</v>
      </c>
      <c r="C1643">
        <v>136.37</v>
      </c>
      <c r="D1643">
        <v>1.2081</v>
      </c>
      <c r="E1643">
        <v>33.11</v>
      </c>
      <c r="F1643">
        <v>117.15</v>
      </c>
      <c r="K1643" s="3"/>
      <c r="O1643" s="3"/>
    </row>
    <row r="1644" spans="1:15">
      <c r="A1644" s="3">
        <v>38168</v>
      </c>
      <c r="B1644" s="3">
        <v>38168</v>
      </c>
      <c r="C1644">
        <v>135.85</v>
      </c>
      <c r="D1644">
        <v>1.22</v>
      </c>
      <c r="E1644">
        <v>34.5</v>
      </c>
      <c r="F1644">
        <v>120.5</v>
      </c>
      <c r="K1644" s="3"/>
      <c r="O1644" s="3"/>
    </row>
    <row r="1645" spans="1:15">
      <c r="A1645" s="3">
        <v>38169</v>
      </c>
      <c r="B1645" s="3">
        <v>38169</v>
      </c>
      <c r="C1645">
        <v>135.91</v>
      </c>
      <c r="D1645">
        <v>1.216</v>
      </c>
      <c r="E1645">
        <v>36.07</v>
      </c>
      <c r="F1645">
        <v>122.2</v>
      </c>
      <c r="K1645" s="3"/>
      <c r="O1645" s="3"/>
    </row>
    <row r="1646" spans="1:15">
      <c r="A1646" s="3">
        <v>38170</v>
      </c>
      <c r="B1646" s="3">
        <v>38170</v>
      </c>
      <c r="C1646">
        <v>135.85</v>
      </c>
      <c r="D1646">
        <v>1.2316</v>
      </c>
      <c r="E1646">
        <v>35.92</v>
      </c>
      <c r="F1646">
        <v>122</v>
      </c>
      <c r="K1646" s="3"/>
      <c r="O1646" s="3"/>
    </row>
    <row r="1647" spans="1:15">
      <c r="A1647" s="3">
        <v>38171</v>
      </c>
      <c r="B1647" s="3">
        <v>38171</v>
      </c>
      <c r="C1647">
        <v>135.85</v>
      </c>
      <c r="D1647">
        <v>1.2316</v>
      </c>
      <c r="E1647">
        <v>35.92</v>
      </c>
      <c r="F1647">
        <v>122</v>
      </c>
      <c r="K1647" s="3"/>
      <c r="O1647" s="3"/>
    </row>
    <row r="1648" spans="1:15">
      <c r="A1648" s="3">
        <v>38172</v>
      </c>
      <c r="B1648" s="3">
        <v>38172</v>
      </c>
      <c r="C1648">
        <v>135.85</v>
      </c>
      <c r="D1648">
        <v>1.2316</v>
      </c>
      <c r="E1648">
        <v>35.92</v>
      </c>
      <c r="F1648">
        <v>122</v>
      </c>
      <c r="K1648" s="3"/>
      <c r="O1648" s="3"/>
    </row>
    <row r="1649" spans="1:15">
      <c r="A1649" s="3">
        <v>38173</v>
      </c>
      <c r="B1649" s="3">
        <v>38173</v>
      </c>
      <c r="C1649">
        <v>135.43</v>
      </c>
      <c r="D1649">
        <v>1.2290000000000001</v>
      </c>
      <c r="E1649">
        <v>36.299999999999997</v>
      </c>
      <c r="F1649">
        <v>122</v>
      </c>
      <c r="K1649" s="3"/>
      <c r="O1649" s="3"/>
    </row>
    <row r="1650" spans="1:15">
      <c r="A1650" s="3">
        <v>38174</v>
      </c>
      <c r="B1650" s="3">
        <v>38174</v>
      </c>
      <c r="C1650">
        <v>135.57</v>
      </c>
      <c r="D1650">
        <v>1.2283999999999999</v>
      </c>
      <c r="E1650">
        <v>37.18</v>
      </c>
      <c r="F1650">
        <v>122</v>
      </c>
      <c r="K1650" s="3"/>
      <c r="O1650" s="3"/>
    </row>
    <row r="1651" spans="1:15">
      <c r="A1651" s="3">
        <v>38175</v>
      </c>
      <c r="B1651" s="3">
        <v>38175</v>
      </c>
      <c r="C1651">
        <v>135.31</v>
      </c>
      <c r="D1651">
        <v>1.2373000000000001</v>
      </c>
      <c r="E1651">
        <v>36.61</v>
      </c>
      <c r="F1651">
        <v>125.7</v>
      </c>
      <c r="K1651" s="3"/>
      <c r="O1651" s="3"/>
    </row>
    <row r="1652" spans="1:15">
      <c r="A1652" s="3">
        <v>38176</v>
      </c>
      <c r="B1652" s="3">
        <v>38176</v>
      </c>
      <c r="C1652">
        <v>135.34</v>
      </c>
      <c r="D1652">
        <v>1.2384999999999999</v>
      </c>
      <c r="E1652">
        <v>37.770000000000003</v>
      </c>
      <c r="F1652">
        <v>125.15</v>
      </c>
      <c r="K1652" s="3"/>
      <c r="O1652" s="3"/>
    </row>
    <row r="1653" spans="1:15">
      <c r="A1653" s="3">
        <v>38177</v>
      </c>
      <c r="B1653" s="3">
        <v>38177</v>
      </c>
      <c r="C1653">
        <v>135.30000000000001</v>
      </c>
      <c r="D1653">
        <v>1.2415</v>
      </c>
      <c r="E1653">
        <v>37.049999999999997</v>
      </c>
      <c r="F1653">
        <v>128.1</v>
      </c>
      <c r="K1653" s="3"/>
      <c r="O1653" s="3"/>
    </row>
    <row r="1654" spans="1:15">
      <c r="A1654" s="3">
        <v>38178</v>
      </c>
      <c r="B1654" s="3">
        <v>38178</v>
      </c>
      <c r="C1654">
        <v>135.30000000000001</v>
      </c>
      <c r="D1654">
        <v>1.2415</v>
      </c>
      <c r="E1654">
        <v>37.049999999999997</v>
      </c>
      <c r="F1654">
        <v>128.1</v>
      </c>
      <c r="K1654" s="3"/>
      <c r="O1654" s="3"/>
    </row>
    <row r="1655" spans="1:15">
      <c r="A1655" s="3">
        <v>38179</v>
      </c>
      <c r="B1655" s="3">
        <v>38179</v>
      </c>
      <c r="C1655">
        <v>135.30000000000001</v>
      </c>
      <c r="D1655">
        <v>1.2415</v>
      </c>
      <c r="E1655">
        <v>37.049999999999997</v>
      </c>
      <c r="F1655">
        <v>128.1</v>
      </c>
      <c r="K1655" s="3"/>
      <c r="O1655" s="3"/>
    </row>
    <row r="1656" spans="1:15">
      <c r="A1656" s="3">
        <v>38180</v>
      </c>
      <c r="B1656" s="3">
        <v>38180</v>
      </c>
      <c r="C1656">
        <v>135.41</v>
      </c>
      <c r="D1656">
        <v>1.2408999999999999</v>
      </c>
      <c r="E1656">
        <v>36.630000000000003</v>
      </c>
      <c r="F1656">
        <v>127.75</v>
      </c>
      <c r="K1656" s="3"/>
      <c r="O1656" s="3"/>
    </row>
    <row r="1657" spans="1:15">
      <c r="A1657" s="3">
        <v>38181</v>
      </c>
      <c r="B1657" s="3">
        <v>38181</v>
      </c>
      <c r="C1657">
        <v>135.43</v>
      </c>
      <c r="D1657">
        <v>1.2326999999999999</v>
      </c>
      <c r="E1657">
        <v>36.69</v>
      </c>
      <c r="F1657">
        <v>127.9</v>
      </c>
      <c r="K1657" s="3"/>
      <c r="O1657" s="3"/>
    </row>
    <row r="1658" spans="1:15">
      <c r="A1658" s="3">
        <v>38182</v>
      </c>
      <c r="B1658" s="3">
        <v>38182</v>
      </c>
      <c r="C1658">
        <v>135.46</v>
      </c>
      <c r="D1658">
        <v>1.238</v>
      </c>
      <c r="E1658">
        <v>38.54</v>
      </c>
      <c r="F1658">
        <v>127.8</v>
      </c>
      <c r="K1658" s="3"/>
      <c r="O1658" s="3"/>
    </row>
    <row r="1659" spans="1:15">
      <c r="A1659" s="3">
        <v>38183</v>
      </c>
      <c r="B1659" s="3">
        <v>38183</v>
      </c>
      <c r="C1659">
        <v>135.37</v>
      </c>
      <c r="D1659">
        <v>1.2355</v>
      </c>
      <c r="E1659">
        <v>38.11</v>
      </c>
      <c r="F1659">
        <v>128.94999999999999</v>
      </c>
      <c r="K1659" s="3"/>
      <c r="O1659" s="3"/>
    </row>
    <row r="1660" spans="1:15">
      <c r="A1660" s="3">
        <v>38184</v>
      </c>
      <c r="B1660" s="3">
        <v>38184</v>
      </c>
      <c r="C1660">
        <v>135.43</v>
      </c>
      <c r="D1660">
        <v>1.2452000000000001</v>
      </c>
      <c r="E1660">
        <v>38</v>
      </c>
      <c r="F1660">
        <v>131.35</v>
      </c>
      <c r="K1660" s="3"/>
      <c r="O1660" s="3"/>
    </row>
    <row r="1661" spans="1:15">
      <c r="A1661" s="3">
        <v>38185</v>
      </c>
      <c r="B1661" s="3">
        <v>38185</v>
      </c>
      <c r="C1661">
        <v>135.43</v>
      </c>
      <c r="D1661">
        <v>1.2452000000000001</v>
      </c>
      <c r="E1661">
        <v>38</v>
      </c>
      <c r="F1661">
        <v>131.35</v>
      </c>
      <c r="K1661" s="3"/>
      <c r="O1661" s="3"/>
    </row>
    <row r="1662" spans="1:15">
      <c r="A1662" s="3">
        <v>38186</v>
      </c>
      <c r="B1662" s="3">
        <v>38186</v>
      </c>
      <c r="C1662">
        <v>135.43</v>
      </c>
      <c r="D1662">
        <v>1.2452000000000001</v>
      </c>
      <c r="E1662">
        <v>38</v>
      </c>
      <c r="F1662">
        <v>131.35</v>
      </c>
      <c r="K1662" s="3"/>
      <c r="O1662" s="3"/>
    </row>
    <row r="1663" spans="1:15">
      <c r="A1663" s="3">
        <v>38187</v>
      </c>
      <c r="B1663" s="3">
        <v>38187</v>
      </c>
      <c r="C1663">
        <v>135.30000000000001</v>
      </c>
      <c r="D1663">
        <v>1.2441</v>
      </c>
      <c r="E1663">
        <v>37.9</v>
      </c>
      <c r="F1663">
        <v>130.85</v>
      </c>
      <c r="K1663" s="3"/>
      <c r="O1663" s="3"/>
    </row>
    <row r="1664" spans="1:15">
      <c r="A1664" s="3">
        <v>38188</v>
      </c>
      <c r="B1664" s="3">
        <v>38188</v>
      </c>
      <c r="C1664">
        <v>135.19999999999999</v>
      </c>
      <c r="D1664">
        <v>1.2330000000000001</v>
      </c>
      <c r="E1664">
        <v>37.01</v>
      </c>
      <c r="F1664">
        <v>128.80000000000001</v>
      </c>
      <c r="K1664" s="3"/>
      <c r="O1664" s="3"/>
    </row>
    <row r="1665" spans="1:15">
      <c r="A1665" s="3">
        <v>38189</v>
      </c>
      <c r="B1665" s="3">
        <v>38189</v>
      </c>
      <c r="C1665">
        <v>135.27000000000001</v>
      </c>
      <c r="D1665">
        <v>1.2259</v>
      </c>
      <c r="E1665">
        <v>37.159999999999997</v>
      </c>
      <c r="F1665">
        <v>127.65</v>
      </c>
      <c r="K1665" s="3"/>
      <c r="O1665" s="3"/>
    </row>
    <row r="1666" spans="1:15">
      <c r="A1666" s="3">
        <v>38190</v>
      </c>
      <c r="B1666" s="3">
        <v>38190</v>
      </c>
      <c r="C1666">
        <v>135.27000000000001</v>
      </c>
      <c r="D1666">
        <v>1.2257</v>
      </c>
      <c r="E1666">
        <v>38.01</v>
      </c>
      <c r="F1666">
        <v>128.44999999999999</v>
      </c>
      <c r="K1666" s="3"/>
      <c r="O1666" s="3"/>
    </row>
    <row r="1667" spans="1:15">
      <c r="A1667" s="3">
        <v>38191</v>
      </c>
      <c r="B1667" s="3">
        <v>38191</v>
      </c>
      <c r="C1667">
        <v>135.44</v>
      </c>
      <c r="D1667">
        <v>1.2093</v>
      </c>
      <c r="E1667">
        <v>38.270000000000003</v>
      </c>
      <c r="F1667">
        <v>124.7</v>
      </c>
      <c r="K1667" s="3"/>
      <c r="O1667" s="3"/>
    </row>
    <row r="1668" spans="1:15">
      <c r="A1668" s="3">
        <v>38192</v>
      </c>
      <c r="B1668" s="3">
        <v>38192</v>
      </c>
      <c r="C1668">
        <v>135.44</v>
      </c>
      <c r="D1668">
        <v>1.2093</v>
      </c>
      <c r="E1668">
        <v>38.270000000000003</v>
      </c>
      <c r="F1668">
        <v>124.7</v>
      </c>
      <c r="K1668" s="3"/>
      <c r="O1668" s="3"/>
    </row>
    <row r="1669" spans="1:15">
      <c r="A1669" s="3">
        <v>38193</v>
      </c>
      <c r="B1669" s="3">
        <v>38193</v>
      </c>
      <c r="C1669">
        <v>135.44</v>
      </c>
      <c r="D1669">
        <v>1.2093</v>
      </c>
      <c r="E1669">
        <v>38.270000000000003</v>
      </c>
      <c r="F1669">
        <v>124.7</v>
      </c>
      <c r="K1669" s="3"/>
      <c r="O1669" s="3"/>
    </row>
    <row r="1670" spans="1:15">
      <c r="A1670" s="3">
        <v>38194</v>
      </c>
      <c r="B1670" s="3">
        <v>38194</v>
      </c>
      <c r="C1670">
        <v>135.75</v>
      </c>
      <c r="D1670">
        <v>1.2141999999999999</v>
      </c>
      <c r="E1670">
        <v>38.11</v>
      </c>
      <c r="F1670">
        <v>124.95</v>
      </c>
      <c r="K1670" s="3"/>
      <c r="O1670" s="3"/>
    </row>
    <row r="1671" spans="1:15">
      <c r="A1671" s="3">
        <v>38195</v>
      </c>
      <c r="B1671" s="3">
        <v>38195</v>
      </c>
      <c r="C1671">
        <v>136.19</v>
      </c>
      <c r="D1671">
        <v>1.2058</v>
      </c>
      <c r="E1671">
        <v>38.54</v>
      </c>
      <c r="F1671">
        <v>122</v>
      </c>
      <c r="K1671" s="3"/>
      <c r="O1671" s="3"/>
    </row>
    <row r="1672" spans="1:15">
      <c r="A1672" s="3">
        <v>38196</v>
      </c>
      <c r="B1672" s="3">
        <v>38196</v>
      </c>
      <c r="C1672">
        <v>136.41</v>
      </c>
      <c r="D1672">
        <v>1.2056</v>
      </c>
      <c r="E1672">
        <v>39.53</v>
      </c>
      <c r="F1672">
        <v>126.8</v>
      </c>
      <c r="K1672" s="3"/>
      <c r="O1672" s="3"/>
    </row>
    <row r="1673" spans="1:15">
      <c r="A1673" s="3">
        <v>38197</v>
      </c>
      <c r="B1673" s="3">
        <v>38197</v>
      </c>
      <c r="C1673">
        <v>136.36000000000001</v>
      </c>
      <c r="D1673">
        <v>1.2044999999999999</v>
      </c>
      <c r="E1673">
        <v>39.25</v>
      </c>
      <c r="F1673">
        <v>129.35</v>
      </c>
      <c r="K1673" s="3"/>
      <c r="O1673" s="3"/>
    </row>
    <row r="1674" spans="1:15">
      <c r="A1674" s="3">
        <v>38198</v>
      </c>
      <c r="B1674" s="3">
        <v>38198</v>
      </c>
      <c r="C1674">
        <v>136.41</v>
      </c>
      <c r="D1674">
        <v>1.2019</v>
      </c>
      <c r="E1674">
        <v>40.03</v>
      </c>
      <c r="F1674">
        <v>130.80000000000001</v>
      </c>
      <c r="K1674" s="3"/>
      <c r="O1674" s="3"/>
    </row>
    <row r="1675" spans="1:15">
      <c r="A1675" s="3">
        <v>38199</v>
      </c>
      <c r="B1675" s="3">
        <v>38199</v>
      </c>
      <c r="C1675">
        <v>136.41</v>
      </c>
      <c r="D1675">
        <v>1.2019</v>
      </c>
      <c r="E1675">
        <v>40.03</v>
      </c>
      <c r="F1675">
        <v>130.80000000000001</v>
      </c>
      <c r="K1675" s="3"/>
      <c r="O1675" s="3"/>
    </row>
    <row r="1676" spans="1:15">
      <c r="A1676" s="3">
        <v>38200</v>
      </c>
      <c r="B1676" s="3">
        <v>38200</v>
      </c>
      <c r="C1676">
        <v>136.41</v>
      </c>
      <c r="D1676">
        <v>1.2019</v>
      </c>
      <c r="E1676">
        <v>40.03</v>
      </c>
      <c r="F1676">
        <v>130.80000000000001</v>
      </c>
      <c r="K1676" s="3"/>
      <c r="O1676" s="3"/>
    </row>
    <row r="1677" spans="1:15">
      <c r="A1677" s="3">
        <v>38201</v>
      </c>
      <c r="B1677" s="3">
        <v>38201</v>
      </c>
      <c r="C1677">
        <v>136.38</v>
      </c>
      <c r="D1677">
        <v>1.2025999999999999</v>
      </c>
      <c r="E1677">
        <v>39.97</v>
      </c>
      <c r="F1677">
        <v>130.55000000000001</v>
      </c>
      <c r="K1677" s="3"/>
      <c r="O1677" s="3"/>
    </row>
    <row r="1678" spans="1:15">
      <c r="A1678" s="3">
        <v>38202</v>
      </c>
      <c r="B1678" s="3">
        <v>38202</v>
      </c>
      <c r="C1678">
        <v>136.29</v>
      </c>
      <c r="D1678">
        <v>1.2060999999999999</v>
      </c>
      <c r="E1678">
        <v>40.64</v>
      </c>
      <c r="F1678">
        <v>130.30000000000001</v>
      </c>
      <c r="K1678" s="3"/>
      <c r="O1678" s="3"/>
    </row>
    <row r="1679" spans="1:15">
      <c r="A1679" s="3">
        <v>38203</v>
      </c>
      <c r="B1679" s="3">
        <v>38203</v>
      </c>
      <c r="C1679">
        <v>136.49</v>
      </c>
      <c r="D1679">
        <v>1.2050000000000001</v>
      </c>
      <c r="E1679">
        <v>39.700000000000003</v>
      </c>
      <c r="F1679">
        <v>129.44999999999999</v>
      </c>
      <c r="K1679" s="3"/>
      <c r="O1679" s="3"/>
    </row>
    <row r="1680" spans="1:15">
      <c r="A1680" s="3">
        <v>38204</v>
      </c>
      <c r="B1680" s="3">
        <v>38204</v>
      </c>
      <c r="C1680">
        <v>136.49</v>
      </c>
      <c r="D1680">
        <v>1.2054</v>
      </c>
      <c r="E1680">
        <v>41.12</v>
      </c>
      <c r="F1680">
        <v>128</v>
      </c>
      <c r="K1680" s="3"/>
      <c r="O1680" s="3"/>
    </row>
    <row r="1681" spans="1:15">
      <c r="A1681" s="3">
        <v>38205</v>
      </c>
      <c r="B1681" s="3">
        <v>38205</v>
      </c>
      <c r="C1681">
        <v>136.35</v>
      </c>
      <c r="D1681">
        <v>1.2279</v>
      </c>
      <c r="E1681">
        <v>40.630000000000003</v>
      </c>
      <c r="F1681">
        <v>127.8</v>
      </c>
      <c r="K1681" s="3"/>
      <c r="O1681" s="3"/>
    </row>
    <row r="1682" spans="1:15">
      <c r="A1682" s="3">
        <v>38206</v>
      </c>
      <c r="B1682" s="3">
        <v>38206</v>
      </c>
      <c r="C1682">
        <v>136.35</v>
      </c>
      <c r="D1682">
        <v>1.2279</v>
      </c>
      <c r="E1682">
        <v>40.630000000000003</v>
      </c>
      <c r="F1682">
        <v>127.8</v>
      </c>
      <c r="K1682" s="3"/>
      <c r="O1682" s="3"/>
    </row>
    <row r="1683" spans="1:15">
      <c r="A1683" s="3">
        <v>38207</v>
      </c>
      <c r="B1683" s="3">
        <v>38207</v>
      </c>
      <c r="C1683">
        <v>136.35</v>
      </c>
      <c r="D1683">
        <v>1.2279</v>
      </c>
      <c r="E1683">
        <v>40.630000000000003</v>
      </c>
      <c r="F1683">
        <v>127.8</v>
      </c>
      <c r="K1683" s="3"/>
      <c r="O1683" s="3"/>
    </row>
    <row r="1684" spans="1:15">
      <c r="A1684" s="3">
        <v>38208</v>
      </c>
      <c r="B1684" s="3">
        <v>38208</v>
      </c>
      <c r="C1684">
        <v>135.63</v>
      </c>
      <c r="D1684">
        <v>1.2273000000000001</v>
      </c>
      <c r="E1684">
        <v>41.56</v>
      </c>
      <c r="F1684">
        <v>124.15</v>
      </c>
      <c r="K1684" s="3"/>
      <c r="O1684" s="3"/>
    </row>
    <row r="1685" spans="1:15">
      <c r="A1685" s="3">
        <v>38209</v>
      </c>
      <c r="B1685" s="3">
        <v>38209</v>
      </c>
      <c r="C1685">
        <v>135.18</v>
      </c>
      <c r="D1685">
        <v>1.2237</v>
      </c>
      <c r="E1685">
        <v>41.28</v>
      </c>
      <c r="F1685">
        <v>125.7</v>
      </c>
      <c r="K1685" s="3"/>
      <c r="O1685" s="3"/>
    </row>
    <row r="1686" spans="1:15">
      <c r="A1686" s="3">
        <v>38210</v>
      </c>
      <c r="B1686" s="3">
        <v>38210</v>
      </c>
      <c r="C1686">
        <v>135.44999999999999</v>
      </c>
      <c r="D1686">
        <v>1.2218</v>
      </c>
      <c r="E1686">
        <v>41.57</v>
      </c>
      <c r="F1686">
        <v>127.25</v>
      </c>
      <c r="K1686" s="3"/>
      <c r="O1686" s="3"/>
    </row>
    <row r="1687" spans="1:15">
      <c r="A1687" s="3">
        <v>38211</v>
      </c>
      <c r="B1687" s="3">
        <v>38211</v>
      </c>
      <c r="C1687">
        <v>135.16</v>
      </c>
      <c r="D1687">
        <v>1.2252000000000001</v>
      </c>
      <c r="E1687">
        <v>42.29</v>
      </c>
      <c r="F1687">
        <v>126.75</v>
      </c>
      <c r="K1687" s="3"/>
      <c r="O1687" s="3"/>
    </row>
    <row r="1688" spans="1:15">
      <c r="A1688" s="3">
        <v>38212</v>
      </c>
      <c r="B1688" s="3">
        <v>38212</v>
      </c>
      <c r="C1688">
        <v>135.37</v>
      </c>
      <c r="D1688">
        <v>1.2374000000000001</v>
      </c>
      <c r="E1688">
        <v>43.88</v>
      </c>
      <c r="F1688">
        <v>131.80000000000001</v>
      </c>
      <c r="K1688" s="3"/>
      <c r="O1688" s="3"/>
    </row>
    <row r="1689" spans="1:15">
      <c r="A1689" s="3">
        <v>38213</v>
      </c>
      <c r="B1689" s="3">
        <v>38213</v>
      </c>
      <c r="C1689">
        <v>135.37</v>
      </c>
      <c r="D1689">
        <v>1.2374000000000001</v>
      </c>
      <c r="E1689">
        <v>43.88</v>
      </c>
      <c r="F1689">
        <v>131.80000000000001</v>
      </c>
      <c r="K1689" s="3"/>
      <c r="O1689" s="3"/>
    </row>
    <row r="1690" spans="1:15">
      <c r="A1690" s="3">
        <v>38214</v>
      </c>
      <c r="B1690" s="3">
        <v>38214</v>
      </c>
      <c r="C1690">
        <v>135.37</v>
      </c>
      <c r="D1690">
        <v>1.2374000000000001</v>
      </c>
      <c r="E1690">
        <v>43.88</v>
      </c>
      <c r="F1690">
        <v>131.80000000000001</v>
      </c>
      <c r="K1690" s="3"/>
      <c r="O1690" s="3"/>
    </row>
    <row r="1691" spans="1:15">
      <c r="A1691" s="3">
        <v>38215</v>
      </c>
      <c r="B1691" s="3">
        <v>38215</v>
      </c>
      <c r="C1691">
        <v>135.78</v>
      </c>
      <c r="D1691">
        <v>1.2363</v>
      </c>
      <c r="E1691">
        <v>43.67</v>
      </c>
      <c r="F1691">
        <v>131.55000000000001</v>
      </c>
      <c r="K1691" s="3"/>
      <c r="O1691" s="3"/>
    </row>
    <row r="1692" spans="1:15">
      <c r="A1692" s="3">
        <v>38216</v>
      </c>
      <c r="B1692" s="3">
        <v>38216</v>
      </c>
      <c r="C1692">
        <v>136.52000000000001</v>
      </c>
      <c r="D1692">
        <v>1.2354000000000001</v>
      </c>
      <c r="E1692">
        <v>42.99</v>
      </c>
      <c r="F1692">
        <v>130.75</v>
      </c>
      <c r="K1692" s="3"/>
      <c r="O1692" s="3"/>
    </row>
    <row r="1693" spans="1:15">
      <c r="A1693" s="3">
        <v>38217</v>
      </c>
      <c r="B1693" s="3">
        <v>38217</v>
      </c>
      <c r="C1693">
        <v>136.19</v>
      </c>
      <c r="D1693">
        <v>1.2337</v>
      </c>
      <c r="E1693">
        <v>43.03</v>
      </c>
      <c r="F1693">
        <v>127.05</v>
      </c>
      <c r="K1693" s="3"/>
      <c r="O1693" s="3"/>
    </row>
    <row r="1694" spans="1:15">
      <c r="A1694" s="3">
        <v>38218</v>
      </c>
      <c r="B1694" s="3">
        <v>38218</v>
      </c>
      <c r="C1694">
        <v>136.61000000000001</v>
      </c>
      <c r="D1694">
        <v>1.2363</v>
      </c>
      <c r="E1694">
        <v>44.33</v>
      </c>
      <c r="F1694">
        <v>129.15</v>
      </c>
      <c r="K1694" s="3"/>
      <c r="O1694" s="3"/>
    </row>
    <row r="1695" spans="1:15">
      <c r="A1695" s="3">
        <v>38219</v>
      </c>
      <c r="B1695" s="3">
        <v>38219</v>
      </c>
      <c r="C1695">
        <v>136.31</v>
      </c>
      <c r="D1695">
        <v>1.2321</v>
      </c>
      <c r="E1695">
        <v>43.54</v>
      </c>
      <c r="F1695">
        <v>126.85</v>
      </c>
      <c r="K1695" s="3"/>
      <c r="O1695" s="3"/>
    </row>
    <row r="1696" spans="1:15">
      <c r="A1696" s="3">
        <v>38220</v>
      </c>
      <c r="B1696" s="3">
        <v>38220</v>
      </c>
      <c r="C1696">
        <v>136.31</v>
      </c>
      <c r="D1696">
        <v>1.2321</v>
      </c>
      <c r="E1696">
        <v>43.54</v>
      </c>
      <c r="F1696">
        <v>126.85</v>
      </c>
      <c r="K1696" s="3"/>
      <c r="O1696" s="3"/>
    </row>
    <row r="1697" spans="1:15">
      <c r="A1697" s="3">
        <v>38221</v>
      </c>
      <c r="B1697" s="3">
        <v>38221</v>
      </c>
      <c r="C1697">
        <v>136.31</v>
      </c>
      <c r="D1697">
        <v>1.2321</v>
      </c>
      <c r="E1697">
        <v>43.54</v>
      </c>
      <c r="F1697">
        <v>126.85</v>
      </c>
      <c r="K1697" s="3"/>
      <c r="O1697" s="3"/>
    </row>
    <row r="1698" spans="1:15">
      <c r="A1698" s="3">
        <v>38222</v>
      </c>
      <c r="B1698" s="3">
        <v>38222</v>
      </c>
      <c r="C1698">
        <v>136.37</v>
      </c>
      <c r="D1698">
        <v>1.2142999999999999</v>
      </c>
      <c r="E1698">
        <v>43.03</v>
      </c>
      <c r="F1698">
        <v>124.15</v>
      </c>
      <c r="K1698" s="3"/>
      <c r="O1698" s="3"/>
    </row>
    <row r="1699" spans="1:15">
      <c r="A1699" s="3">
        <v>38223</v>
      </c>
      <c r="B1699" s="3">
        <v>38223</v>
      </c>
      <c r="C1699">
        <v>136.46</v>
      </c>
      <c r="D1699">
        <v>1.2081999999999999</v>
      </c>
      <c r="E1699">
        <v>42.32</v>
      </c>
      <c r="F1699">
        <v>123.9</v>
      </c>
      <c r="K1699" s="3"/>
      <c r="O1699" s="3"/>
    </row>
    <row r="1700" spans="1:15">
      <c r="A1700" s="3">
        <v>38224</v>
      </c>
      <c r="B1700" s="3">
        <v>38224</v>
      </c>
      <c r="C1700">
        <v>136.5</v>
      </c>
      <c r="D1700">
        <v>1.2082999999999999</v>
      </c>
      <c r="E1700">
        <v>40.68</v>
      </c>
      <c r="F1700">
        <v>123.95</v>
      </c>
      <c r="K1700" s="3"/>
      <c r="O1700" s="3"/>
    </row>
    <row r="1701" spans="1:15">
      <c r="A1701" s="3">
        <v>38225</v>
      </c>
      <c r="B1701" s="3">
        <v>38225</v>
      </c>
      <c r="C1701">
        <v>136.59</v>
      </c>
      <c r="D1701">
        <v>1.2101999999999999</v>
      </c>
      <c r="E1701">
        <v>40.33</v>
      </c>
      <c r="F1701">
        <v>125.05</v>
      </c>
      <c r="K1701" s="3"/>
      <c r="O1701" s="3"/>
    </row>
    <row r="1702" spans="1:15">
      <c r="A1702" s="3">
        <v>38226</v>
      </c>
      <c r="B1702" s="3">
        <v>38226</v>
      </c>
      <c r="C1702">
        <v>136.63</v>
      </c>
      <c r="D1702">
        <v>1.2011000000000001</v>
      </c>
      <c r="E1702">
        <v>40.64</v>
      </c>
      <c r="F1702">
        <v>125.9</v>
      </c>
      <c r="K1702" s="3"/>
      <c r="O1702" s="3"/>
    </row>
    <row r="1703" spans="1:15">
      <c r="A1703" s="3">
        <v>38227</v>
      </c>
      <c r="B1703" s="3">
        <v>38227</v>
      </c>
      <c r="C1703">
        <v>136.63</v>
      </c>
      <c r="D1703">
        <v>1.2011000000000001</v>
      </c>
      <c r="E1703">
        <v>40.64</v>
      </c>
      <c r="F1703">
        <v>125.9</v>
      </c>
      <c r="K1703" s="3"/>
      <c r="O1703" s="3"/>
    </row>
    <row r="1704" spans="1:15">
      <c r="A1704" s="3">
        <v>38228</v>
      </c>
      <c r="B1704" s="3">
        <v>38228</v>
      </c>
      <c r="C1704">
        <v>136.63</v>
      </c>
      <c r="D1704">
        <v>1.2011000000000001</v>
      </c>
      <c r="E1704">
        <v>40.64</v>
      </c>
      <c r="F1704">
        <v>125.9</v>
      </c>
      <c r="K1704" s="3"/>
      <c r="O1704" s="3"/>
    </row>
    <row r="1705" spans="1:15">
      <c r="A1705" s="3">
        <v>38229</v>
      </c>
      <c r="B1705" s="3">
        <v>38229</v>
      </c>
      <c r="C1705">
        <v>136.63</v>
      </c>
      <c r="D1705">
        <v>1.2049000000000001</v>
      </c>
      <c r="E1705">
        <v>40.64</v>
      </c>
      <c r="F1705">
        <v>126.2</v>
      </c>
      <c r="K1705" s="3"/>
      <c r="O1705" s="3"/>
    </row>
    <row r="1706" spans="1:15">
      <c r="A1706" s="3">
        <v>38230</v>
      </c>
      <c r="B1706" s="3">
        <v>38230</v>
      </c>
      <c r="C1706">
        <v>136.26</v>
      </c>
      <c r="D1706">
        <v>1.2182999999999999</v>
      </c>
      <c r="E1706">
        <v>39.61</v>
      </c>
      <c r="F1706">
        <v>128.1</v>
      </c>
      <c r="K1706" s="3"/>
      <c r="O1706" s="3"/>
    </row>
    <row r="1707" spans="1:15">
      <c r="A1707" s="3">
        <v>38231</v>
      </c>
      <c r="B1707" s="3">
        <v>38231</v>
      </c>
      <c r="C1707">
        <v>135.66</v>
      </c>
      <c r="D1707">
        <v>1.2188000000000001</v>
      </c>
      <c r="E1707">
        <v>41.47</v>
      </c>
      <c r="F1707">
        <v>127.5</v>
      </c>
      <c r="K1707" s="3"/>
      <c r="O1707" s="3"/>
    </row>
    <row r="1708" spans="1:15">
      <c r="A1708" s="3">
        <v>38232</v>
      </c>
      <c r="B1708" s="3">
        <v>38232</v>
      </c>
      <c r="C1708">
        <v>135.85</v>
      </c>
      <c r="D1708">
        <v>1.2175</v>
      </c>
      <c r="E1708">
        <v>41.57</v>
      </c>
      <c r="F1708">
        <v>124.75</v>
      </c>
      <c r="K1708" s="3"/>
      <c r="O1708" s="3"/>
    </row>
    <row r="1709" spans="1:15">
      <c r="A1709" s="3">
        <v>38233</v>
      </c>
      <c r="B1709" s="3">
        <v>38233</v>
      </c>
      <c r="C1709">
        <v>135.97</v>
      </c>
      <c r="D1709">
        <v>1.2058</v>
      </c>
      <c r="E1709">
        <v>41.23</v>
      </c>
      <c r="F1709">
        <v>124.05</v>
      </c>
      <c r="K1709" s="3"/>
      <c r="O1709" s="3"/>
    </row>
    <row r="1710" spans="1:15">
      <c r="A1710" s="3">
        <v>38234</v>
      </c>
      <c r="B1710" s="3">
        <v>38234</v>
      </c>
      <c r="C1710">
        <v>135.97</v>
      </c>
      <c r="D1710">
        <v>1.2058</v>
      </c>
      <c r="E1710">
        <v>41.23</v>
      </c>
      <c r="F1710">
        <v>124.05</v>
      </c>
      <c r="K1710" s="3"/>
      <c r="O1710" s="3"/>
    </row>
    <row r="1711" spans="1:15">
      <c r="A1711" s="3">
        <v>38235</v>
      </c>
      <c r="B1711" s="3">
        <v>38235</v>
      </c>
      <c r="C1711">
        <v>135.97</v>
      </c>
      <c r="D1711">
        <v>1.2058</v>
      </c>
      <c r="E1711">
        <v>41.23</v>
      </c>
      <c r="F1711">
        <v>124.05</v>
      </c>
      <c r="K1711" s="3"/>
      <c r="O1711" s="3"/>
    </row>
    <row r="1712" spans="1:15">
      <c r="A1712" s="3">
        <v>38236</v>
      </c>
      <c r="B1712" s="3">
        <v>38236</v>
      </c>
      <c r="C1712">
        <v>136.02000000000001</v>
      </c>
      <c r="D1712">
        <v>1.2063999999999999</v>
      </c>
      <c r="E1712">
        <v>40.619999999999997</v>
      </c>
      <c r="F1712">
        <v>124.05</v>
      </c>
      <c r="K1712" s="3"/>
      <c r="O1712" s="3"/>
    </row>
    <row r="1713" spans="1:15">
      <c r="A1713" s="3">
        <v>38237</v>
      </c>
      <c r="B1713" s="3">
        <v>38237</v>
      </c>
      <c r="C1713">
        <v>135.91</v>
      </c>
      <c r="D1713">
        <v>1.2109000000000001</v>
      </c>
      <c r="E1713">
        <v>40.76</v>
      </c>
      <c r="F1713">
        <v>127.3</v>
      </c>
      <c r="K1713" s="3"/>
      <c r="O1713" s="3"/>
    </row>
    <row r="1714" spans="1:15">
      <c r="A1714" s="3">
        <v>38238</v>
      </c>
      <c r="B1714" s="3">
        <v>38238</v>
      </c>
      <c r="C1714">
        <v>135.79</v>
      </c>
      <c r="D1714">
        <v>1.2182999999999999</v>
      </c>
      <c r="E1714">
        <v>40.39</v>
      </c>
      <c r="F1714">
        <v>125.75</v>
      </c>
      <c r="K1714" s="3"/>
      <c r="O1714" s="3"/>
    </row>
    <row r="1715" spans="1:15">
      <c r="A1715" s="3">
        <v>38239</v>
      </c>
      <c r="B1715" s="3">
        <v>38239</v>
      </c>
      <c r="C1715">
        <v>135.61000000000001</v>
      </c>
      <c r="D1715">
        <v>1.2214</v>
      </c>
      <c r="E1715">
        <v>42.22</v>
      </c>
      <c r="F1715">
        <v>126.5</v>
      </c>
      <c r="K1715" s="3"/>
      <c r="O1715" s="3"/>
    </row>
    <row r="1716" spans="1:15">
      <c r="A1716" s="3">
        <v>38240</v>
      </c>
      <c r="B1716" s="3">
        <v>38240</v>
      </c>
      <c r="C1716">
        <v>135.66999999999999</v>
      </c>
      <c r="D1716">
        <v>1.2262</v>
      </c>
      <c r="E1716">
        <v>40.200000000000003</v>
      </c>
      <c r="F1716">
        <v>128.1</v>
      </c>
      <c r="K1716" s="3"/>
      <c r="O1716" s="3"/>
    </row>
    <row r="1717" spans="1:15">
      <c r="A1717" s="3">
        <v>38241</v>
      </c>
      <c r="B1717" s="3">
        <v>38241</v>
      </c>
      <c r="C1717">
        <v>135.66999999999999</v>
      </c>
      <c r="D1717">
        <v>1.2262</v>
      </c>
      <c r="E1717">
        <v>40.200000000000003</v>
      </c>
      <c r="F1717">
        <v>128.1</v>
      </c>
      <c r="K1717" s="3"/>
      <c r="O1717" s="3"/>
    </row>
    <row r="1718" spans="1:15">
      <c r="A1718" s="3">
        <v>38242</v>
      </c>
      <c r="B1718" s="3">
        <v>38242</v>
      </c>
      <c r="C1718">
        <v>135.66999999999999</v>
      </c>
      <c r="D1718">
        <v>1.2262</v>
      </c>
      <c r="E1718">
        <v>40.200000000000003</v>
      </c>
      <c r="F1718">
        <v>128.1</v>
      </c>
      <c r="K1718" s="3"/>
      <c r="O1718" s="3"/>
    </row>
    <row r="1719" spans="1:15">
      <c r="A1719" s="3">
        <v>38243</v>
      </c>
      <c r="B1719" s="3">
        <v>38243</v>
      </c>
      <c r="C1719">
        <v>135.55000000000001</v>
      </c>
      <c r="D1719">
        <v>1.2261</v>
      </c>
      <c r="E1719">
        <v>41.06</v>
      </c>
      <c r="F1719">
        <v>128.5</v>
      </c>
      <c r="K1719" s="3"/>
      <c r="O1719" s="3"/>
    </row>
    <row r="1720" spans="1:15">
      <c r="A1720" s="3">
        <v>38244</v>
      </c>
      <c r="B1720" s="3">
        <v>38244</v>
      </c>
      <c r="C1720">
        <v>135.44999999999999</v>
      </c>
      <c r="D1720">
        <v>1.2254</v>
      </c>
      <c r="E1720">
        <v>41.73</v>
      </c>
      <c r="F1720">
        <v>127.8</v>
      </c>
      <c r="K1720" s="3"/>
      <c r="O1720" s="3"/>
    </row>
    <row r="1721" spans="1:15">
      <c r="A1721" s="3">
        <v>38245</v>
      </c>
      <c r="B1721" s="3">
        <v>38245</v>
      </c>
      <c r="C1721">
        <v>135.37</v>
      </c>
      <c r="D1721">
        <v>1.2151000000000001</v>
      </c>
      <c r="E1721">
        <v>41.85</v>
      </c>
      <c r="F1721">
        <v>126.75</v>
      </c>
      <c r="K1721" s="3"/>
      <c r="O1721" s="3"/>
    </row>
    <row r="1722" spans="1:15">
      <c r="A1722" s="3">
        <v>38246</v>
      </c>
      <c r="B1722" s="3">
        <v>38246</v>
      </c>
      <c r="C1722">
        <v>135.15</v>
      </c>
      <c r="D1722">
        <v>1.2181999999999999</v>
      </c>
      <c r="E1722">
        <v>40.75</v>
      </c>
      <c r="F1722">
        <v>129.80000000000001</v>
      </c>
      <c r="K1722" s="3"/>
      <c r="O1722" s="3"/>
    </row>
    <row r="1723" spans="1:15">
      <c r="A1723" s="3">
        <v>38247</v>
      </c>
      <c r="B1723" s="3">
        <v>38247</v>
      </c>
      <c r="C1723">
        <v>135.16</v>
      </c>
      <c r="D1723">
        <v>1.2186999999999999</v>
      </c>
      <c r="E1723">
        <v>42.45</v>
      </c>
      <c r="F1723">
        <v>130.19999999999999</v>
      </c>
      <c r="K1723" s="3"/>
      <c r="O1723" s="3"/>
    </row>
    <row r="1724" spans="1:15">
      <c r="A1724" s="3">
        <v>38248</v>
      </c>
      <c r="B1724" s="3">
        <v>38248</v>
      </c>
      <c r="C1724">
        <v>135.16</v>
      </c>
      <c r="D1724">
        <v>1.2186999999999999</v>
      </c>
      <c r="E1724">
        <v>42.45</v>
      </c>
      <c r="F1724">
        <v>130.19999999999999</v>
      </c>
      <c r="K1724" s="3"/>
      <c r="O1724" s="3"/>
    </row>
    <row r="1725" spans="1:15">
      <c r="A1725" s="3">
        <v>38249</v>
      </c>
      <c r="B1725" s="3">
        <v>38249</v>
      </c>
      <c r="C1725">
        <v>135.16</v>
      </c>
      <c r="D1725">
        <v>1.2186999999999999</v>
      </c>
      <c r="E1725">
        <v>42.45</v>
      </c>
      <c r="F1725">
        <v>130.19999999999999</v>
      </c>
      <c r="K1725" s="3"/>
      <c r="O1725" s="3"/>
    </row>
    <row r="1726" spans="1:15">
      <c r="A1726" s="3">
        <v>38250</v>
      </c>
      <c r="B1726" s="3">
        <v>38250</v>
      </c>
      <c r="C1726">
        <v>135.44</v>
      </c>
      <c r="D1726">
        <v>1.2176</v>
      </c>
      <c r="E1726">
        <v>42.91</v>
      </c>
      <c r="F1726">
        <v>131.9</v>
      </c>
      <c r="K1726" s="3"/>
      <c r="O1726" s="3"/>
    </row>
    <row r="1727" spans="1:15">
      <c r="A1727" s="3">
        <v>38251</v>
      </c>
      <c r="B1727" s="3">
        <v>38251</v>
      </c>
      <c r="C1727">
        <v>135.22</v>
      </c>
      <c r="D1727">
        <v>1.2336</v>
      </c>
      <c r="E1727">
        <v>43.39</v>
      </c>
      <c r="F1727">
        <v>134.15</v>
      </c>
      <c r="K1727" s="3"/>
      <c r="O1727" s="3"/>
    </row>
    <row r="1728" spans="1:15">
      <c r="A1728" s="3">
        <v>38252</v>
      </c>
      <c r="B1728" s="3">
        <v>38252</v>
      </c>
      <c r="C1728">
        <v>135.13999999999999</v>
      </c>
      <c r="D1728">
        <v>1.2269000000000001</v>
      </c>
      <c r="E1728">
        <v>44.93</v>
      </c>
      <c r="F1728">
        <v>138</v>
      </c>
      <c r="K1728" s="3"/>
      <c r="O1728" s="3"/>
    </row>
    <row r="1729" spans="1:15">
      <c r="A1729" s="3">
        <v>38253</v>
      </c>
      <c r="B1729" s="3">
        <v>38253</v>
      </c>
      <c r="C1729">
        <v>134.80000000000001</v>
      </c>
      <c r="D1729">
        <v>1.2271000000000001</v>
      </c>
      <c r="E1729">
        <v>45.13</v>
      </c>
      <c r="F1729">
        <v>136.80000000000001</v>
      </c>
      <c r="K1729" s="3"/>
      <c r="O1729" s="3"/>
    </row>
    <row r="1730" spans="1:15">
      <c r="A1730" s="3">
        <v>38254</v>
      </c>
      <c r="B1730" s="3">
        <v>38254</v>
      </c>
      <c r="C1730">
        <v>134.66</v>
      </c>
      <c r="D1730">
        <v>1.2276</v>
      </c>
      <c r="E1730">
        <v>45.33</v>
      </c>
      <c r="F1730">
        <v>136.19999999999999</v>
      </c>
      <c r="K1730" s="3"/>
      <c r="O1730" s="3"/>
    </row>
    <row r="1731" spans="1:15">
      <c r="A1731" s="3">
        <v>38255</v>
      </c>
      <c r="B1731" s="3">
        <v>38255</v>
      </c>
      <c r="C1731">
        <v>134.66</v>
      </c>
      <c r="D1731">
        <v>1.2276</v>
      </c>
      <c r="E1731">
        <v>45.33</v>
      </c>
      <c r="F1731">
        <v>136.19999999999999</v>
      </c>
      <c r="K1731" s="3"/>
      <c r="O1731" s="3"/>
    </row>
    <row r="1732" spans="1:15">
      <c r="A1732" s="3">
        <v>38256</v>
      </c>
      <c r="B1732" s="3">
        <v>38256</v>
      </c>
      <c r="C1732">
        <v>134.66</v>
      </c>
      <c r="D1732">
        <v>1.2276</v>
      </c>
      <c r="E1732">
        <v>45.33</v>
      </c>
      <c r="F1732">
        <v>136.19999999999999</v>
      </c>
      <c r="K1732" s="3"/>
      <c r="O1732" s="3"/>
    </row>
    <row r="1733" spans="1:15">
      <c r="A1733" s="3">
        <v>38257</v>
      </c>
      <c r="B1733" s="3">
        <v>38257</v>
      </c>
      <c r="C1733">
        <v>134.80000000000001</v>
      </c>
      <c r="D1733">
        <v>1.2293000000000001</v>
      </c>
      <c r="E1733">
        <v>45.93</v>
      </c>
      <c r="F1733">
        <v>138.55000000000001</v>
      </c>
      <c r="K1733" s="3"/>
      <c r="O1733" s="3"/>
    </row>
    <row r="1734" spans="1:15">
      <c r="A1734" s="3">
        <v>38258</v>
      </c>
      <c r="B1734" s="3">
        <v>38258</v>
      </c>
      <c r="C1734">
        <v>134.66999999999999</v>
      </c>
      <c r="D1734">
        <v>1.2327999999999999</v>
      </c>
      <c r="E1734">
        <v>46.45</v>
      </c>
      <c r="F1734">
        <v>137.80000000000001</v>
      </c>
      <c r="K1734" s="3"/>
      <c r="O1734" s="3"/>
    </row>
    <row r="1735" spans="1:15">
      <c r="A1735" s="3">
        <v>38259</v>
      </c>
      <c r="B1735" s="3">
        <v>38259</v>
      </c>
      <c r="C1735">
        <v>134.47</v>
      </c>
      <c r="D1735">
        <v>1.2333000000000001</v>
      </c>
      <c r="E1735">
        <v>46.08</v>
      </c>
      <c r="F1735">
        <v>139.30000000000001</v>
      </c>
      <c r="K1735" s="3"/>
      <c r="O1735" s="3"/>
    </row>
    <row r="1736" spans="1:15">
      <c r="A1736" s="3">
        <v>38260</v>
      </c>
      <c r="B1736" s="3">
        <v>38260</v>
      </c>
      <c r="C1736">
        <v>134.4</v>
      </c>
      <c r="D1736">
        <v>1.2436</v>
      </c>
      <c r="E1736">
        <v>46.38</v>
      </c>
      <c r="F1736">
        <v>139.6</v>
      </c>
      <c r="K1736" s="3"/>
      <c r="O1736" s="3"/>
    </row>
    <row r="1737" spans="1:15">
      <c r="A1737" s="3">
        <v>38261</v>
      </c>
      <c r="B1737" s="3">
        <v>38261</v>
      </c>
      <c r="C1737">
        <v>134.27000000000001</v>
      </c>
      <c r="D1737">
        <v>1.2417</v>
      </c>
      <c r="E1737">
        <v>46.62</v>
      </c>
      <c r="F1737">
        <v>140.4</v>
      </c>
      <c r="K1737" s="3"/>
      <c r="O1737" s="3"/>
    </row>
    <row r="1738" spans="1:15">
      <c r="A1738" s="3">
        <v>38262</v>
      </c>
      <c r="B1738" s="3">
        <v>38262</v>
      </c>
      <c r="C1738">
        <v>134.27000000000001</v>
      </c>
      <c r="D1738">
        <v>1.2417</v>
      </c>
      <c r="E1738">
        <v>46.62</v>
      </c>
      <c r="F1738">
        <v>140.4</v>
      </c>
      <c r="K1738" s="3"/>
      <c r="O1738" s="3"/>
    </row>
    <row r="1739" spans="1:15">
      <c r="A1739" s="3">
        <v>38263</v>
      </c>
      <c r="B1739" s="3">
        <v>38263</v>
      </c>
      <c r="C1739">
        <v>134.27000000000001</v>
      </c>
      <c r="D1739">
        <v>1.2417</v>
      </c>
      <c r="E1739">
        <v>46.62</v>
      </c>
      <c r="F1739">
        <v>140.4</v>
      </c>
      <c r="K1739" s="3"/>
      <c r="O1739" s="3"/>
    </row>
    <row r="1740" spans="1:15">
      <c r="A1740" s="3">
        <v>38264</v>
      </c>
      <c r="B1740" s="3">
        <v>38264</v>
      </c>
      <c r="C1740">
        <v>134.37</v>
      </c>
      <c r="D1740">
        <v>1.2287999999999999</v>
      </c>
      <c r="E1740">
        <v>46.19</v>
      </c>
      <c r="F1740">
        <v>139.69999999999999</v>
      </c>
      <c r="K1740" s="3"/>
      <c r="O1740" s="3"/>
    </row>
    <row r="1741" spans="1:15">
      <c r="A1741" s="3">
        <v>38265</v>
      </c>
      <c r="B1741" s="3">
        <v>38265</v>
      </c>
      <c r="C1741">
        <v>134.36000000000001</v>
      </c>
      <c r="D1741">
        <v>1.2313000000000001</v>
      </c>
      <c r="E1741">
        <v>47.13</v>
      </c>
      <c r="F1741">
        <v>140.15</v>
      </c>
      <c r="K1741" s="3"/>
      <c r="O1741" s="3"/>
    </row>
    <row r="1742" spans="1:15">
      <c r="A1742" s="3">
        <v>38266</v>
      </c>
      <c r="B1742" s="3">
        <v>38266</v>
      </c>
      <c r="C1742">
        <v>134.29</v>
      </c>
      <c r="D1742">
        <v>1.2287999999999999</v>
      </c>
      <c r="E1742">
        <v>47.99</v>
      </c>
      <c r="F1742">
        <v>142.30000000000001</v>
      </c>
      <c r="K1742" s="3"/>
      <c r="O1742" s="3"/>
    </row>
    <row r="1743" spans="1:15">
      <c r="A1743" s="3">
        <v>38267</v>
      </c>
      <c r="B1743" s="3">
        <v>38267</v>
      </c>
      <c r="C1743">
        <v>134.12</v>
      </c>
      <c r="D1743">
        <v>1.2284999999999999</v>
      </c>
      <c r="E1743">
        <v>48.9</v>
      </c>
      <c r="F1743">
        <v>142.75</v>
      </c>
      <c r="K1743" s="3"/>
      <c r="O1743" s="3"/>
    </row>
    <row r="1744" spans="1:15">
      <c r="A1744" s="3">
        <v>38268</v>
      </c>
      <c r="B1744" s="3">
        <v>38268</v>
      </c>
      <c r="C1744">
        <v>133.9</v>
      </c>
      <c r="D1744">
        <v>1.2408999999999999</v>
      </c>
      <c r="E1744">
        <v>49.71</v>
      </c>
      <c r="F1744">
        <v>146.94999999999999</v>
      </c>
      <c r="K1744" s="3"/>
      <c r="O1744" s="3"/>
    </row>
    <row r="1745" spans="1:15">
      <c r="A1745" s="3">
        <v>38269</v>
      </c>
      <c r="B1745" s="3">
        <v>38269</v>
      </c>
      <c r="C1745">
        <v>133.9</v>
      </c>
      <c r="D1745">
        <v>1.2408999999999999</v>
      </c>
      <c r="E1745">
        <v>49.71</v>
      </c>
      <c r="F1745">
        <v>146.94999999999999</v>
      </c>
      <c r="K1745" s="3"/>
      <c r="O1745" s="3"/>
    </row>
    <row r="1746" spans="1:15">
      <c r="A1746" s="3">
        <v>38270</v>
      </c>
      <c r="B1746" s="3">
        <v>38270</v>
      </c>
      <c r="C1746">
        <v>133.9</v>
      </c>
      <c r="D1746">
        <v>1.2408999999999999</v>
      </c>
      <c r="E1746">
        <v>49.71</v>
      </c>
      <c r="F1746">
        <v>146.94999999999999</v>
      </c>
      <c r="K1746" s="3"/>
      <c r="O1746" s="3"/>
    </row>
    <row r="1747" spans="1:15">
      <c r="A1747" s="3">
        <v>38271</v>
      </c>
      <c r="B1747" s="3">
        <v>38271</v>
      </c>
      <c r="C1747">
        <v>133.68</v>
      </c>
      <c r="D1747">
        <v>1.2388999999999999</v>
      </c>
      <c r="E1747">
        <v>50.66</v>
      </c>
      <c r="F1747">
        <v>146.85</v>
      </c>
      <c r="K1747" s="3"/>
      <c r="O1747" s="3"/>
    </row>
    <row r="1748" spans="1:15">
      <c r="A1748" s="3">
        <v>38272</v>
      </c>
      <c r="B1748" s="3">
        <v>38272</v>
      </c>
      <c r="C1748">
        <v>133.59</v>
      </c>
      <c r="D1748">
        <v>1.2327999999999999</v>
      </c>
      <c r="E1748">
        <v>49.6</v>
      </c>
      <c r="F1748">
        <v>144.80000000000001</v>
      </c>
      <c r="K1748" s="3"/>
      <c r="O1748" s="3"/>
    </row>
    <row r="1749" spans="1:15">
      <c r="A1749" s="3">
        <v>38273</v>
      </c>
      <c r="B1749" s="3">
        <v>38273</v>
      </c>
      <c r="C1749">
        <v>133.18</v>
      </c>
      <c r="D1749">
        <v>1.2347999999999999</v>
      </c>
      <c r="E1749">
        <v>50.05</v>
      </c>
      <c r="F1749">
        <v>128.80000000000001</v>
      </c>
      <c r="K1749" s="3"/>
      <c r="O1749" s="3"/>
    </row>
    <row r="1750" spans="1:15">
      <c r="A1750" s="3">
        <v>38274</v>
      </c>
      <c r="B1750" s="3">
        <v>38274</v>
      </c>
      <c r="C1750">
        <v>132.88999999999999</v>
      </c>
      <c r="D1750">
        <v>1.2387999999999999</v>
      </c>
      <c r="E1750">
        <v>50.84</v>
      </c>
      <c r="F1750">
        <v>126.95</v>
      </c>
      <c r="K1750" s="3"/>
      <c r="O1750" s="3"/>
    </row>
    <row r="1751" spans="1:15">
      <c r="A1751" s="3">
        <v>38275</v>
      </c>
      <c r="B1751" s="3">
        <v>38275</v>
      </c>
      <c r="C1751">
        <v>132.96</v>
      </c>
      <c r="D1751">
        <v>1.2468999999999999</v>
      </c>
      <c r="E1751">
        <v>49.93</v>
      </c>
      <c r="F1751">
        <v>130.9</v>
      </c>
      <c r="K1751" s="3"/>
      <c r="O1751" s="3"/>
    </row>
    <row r="1752" spans="1:15">
      <c r="A1752" s="3">
        <v>38276</v>
      </c>
      <c r="B1752" s="3">
        <v>38276</v>
      </c>
      <c r="C1752">
        <v>132.96</v>
      </c>
      <c r="D1752">
        <v>1.2468999999999999</v>
      </c>
      <c r="E1752">
        <v>49.93</v>
      </c>
      <c r="F1752">
        <v>130.9</v>
      </c>
      <c r="K1752" s="3"/>
      <c r="O1752" s="3"/>
    </row>
    <row r="1753" spans="1:15">
      <c r="A1753" s="3">
        <v>38277</v>
      </c>
      <c r="B1753" s="3">
        <v>38277</v>
      </c>
      <c r="C1753">
        <v>132.96</v>
      </c>
      <c r="D1753">
        <v>1.2468999999999999</v>
      </c>
      <c r="E1753">
        <v>49.93</v>
      </c>
      <c r="F1753">
        <v>130.9</v>
      </c>
      <c r="K1753" s="3"/>
      <c r="O1753" s="3"/>
    </row>
    <row r="1754" spans="1:15">
      <c r="A1754" s="3">
        <v>38278</v>
      </c>
      <c r="B1754" s="3">
        <v>38278</v>
      </c>
      <c r="C1754">
        <v>132.88</v>
      </c>
      <c r="D1754">
        <v>1.2494000000000001</v>
      </c>
      <c r="E1754">
        <v>48.91</v>
      </c>
      <c r="F1754">
        <v>128.4</v>
      </c>
      <c r="K1754" s="3"/>
      <c r="O1754" s="3"/>
    </row>
    <row r="1755" spans="1:15">
      <c r="A1755" s="3">
        <v>38279</v>
      </c>
      <c r="B1755" s="3">
        <v>38279</v>
      </c>
      <c r="C1755">
        <v>132.83000000000001</v>
      </c>
      <c r="D1755">
        <v>1.2513000000000001</v>
      </c>
      <c r="E1755">
        <v>48.77</v>
      </c>
      <c r="F1755">
        <v>129.69999999999999</v>
      </c>
      <c r="K1755" s="3"/>
      <c r="O1755" s="3"/>
    </row>
    <row r="1756" spans="1:15">
      <c r="A1756" s="3">
        <v>38280</v>
      </c>
      <c r="B1756" s="3">
        <v>38280</v>
      </c>
      <c r="C1756">
        <v>132.63999999999999</v>
      </c>
      <c r="D1756">
        <v>1.2589999999999999</v>
      </c>
      <c r="E1756">
        <v>50.52</v>
      </c>
      <c r="F1756">
        <v>130.15</v>
      </c>
      <c r="K1756" s="3"/>
      <c r="O1756" s="3"/>
    </row>
    <row r="1757" spans="1:15">
      <c r="A1757" s="3">
        <v>38281</v>
      </c>
      <c r="B1757" s="3">
        <v>38281</v>
      </c>
      <c r="C1757">
        <v>132.63999999999999</v>
      </c>
      <c r="D1757">
        <v>1.2616000000000001</v>
      </c>
      <c r="E1757">
        <v>50.72</v>
      </c>
      <c r="F1757">
        <v>131.35</v>
      </c>
      <c r="K1757" s="3"/>
      <c r="O1757" s="3"/>
    </row>
    <row r="1758" spans="1:15">
      <c r="A1758" s="3">
        <v>38282</v>
      </c>
      <c r="B1758" s="3">
        <v>38282</v>
      </c>
      <c r="C1758">
        <v>132.35</v>
      </c>
      <c r="D1758">
        <v>1.2683</v>
      </c>
      <c r="E1758">
        <v>51.22</v>
      </c>
      <c r="F1758">
        <v>130.55000000000001</v>
      </c>
      <c r="K1758" s="3"/>
      <c r="O1758" s="3"/>
    </row>
    <row r="1759" spans="1:15">
      <c r="A1759" s="3">
        <v>38283</v>
      </c>
      <c r="B1759" s="3">
        <v>38283</v>
      </c>
      <c r="C1759">
        <v>132.35</v>
      </c>
      <c r="D1759">
        <v>1.2683</v>
      </c>
      <c r="E1759">
        <v>51.22</v>
      </c>
      <c r="F1759">
        <v>130.55000000000001</v>
      </c>
      <c r="K1759" s="3"/>
      <c r="O1759" s="3"/>
    </row>
    <row r="1760" spans="1:15">
      <c r="A1760" s="3">
        <v>38284</v>
      </c>
      <c r="B1760" s="3">
        <v>38284</v>
      </c>
      <c r="C1760">
        <v>132.35</v>
      </c>
      <c r="D1760">
        <v>1.2683</v>
      </c>
      <c r="E1760">
        <v>51.22</v>
      </c>
      <c r="F1760">
        <v>130.55000000000001</v>
      </c>
      <c r="K1760" s="3"/>
      <c r="O1760" s="3"/>
    </row>
    <row r="1761" spans="1:15">
      <c r="A1761" s="3">
        <v>38285</v>
      </c>
      <c r="B1761" s="3">
        <v>38285</v>
      </c>
      <c r="C1761">
        <v>132.35</v>
      </c>
      <c r="D1761">
        <v>1.2806999999999999</v>
      </c>
      <c r="E1761">
        <v>50.78</v>
      </c>
      <c r="F1761">
        <v>127.65</v>
      </c>
      <c r="K1761" s="3"/>
      <c r="O1761" s="3"/>
    </row>
    <row r="1762" spans="1:15">
      <c r="A1762" s="3">
        <v>38286</v>
      </c>
      <c r="B1762" s="3">
        <v>38286</v>
      </c>
      <c r="C1762">
        <v>132.15</v>
      </c>
      <c r="D1762">
        <v>1.2768999999999999</v>
      </c>
      <c r="E1762">
        <v>51.56</v>
      </c>
      <c r="F1762">
        <v>128.15</v>
      </c>
      <c r="K1762" s="3"/>
      <c r="O1762" s="3"/>
    </row>
    <row r="1763" spans="1:15">
      <c r="A1763" s="3">
        <v>38287</v>
      </c>
      <c r="B1763" s="3">
        <v>38287</v>
      </c>
      <c r="C1763">
        <v>132.09</v>
      </c>
      <c r="D1763">
        <v>1.2713000000000001</v>
      </c>
      <c r="E1763">
        <v>49.45</v>
      </c>
      <c r="F1763">
        <v>128.80000000000001</v>
      </c>
      <c r="K1763" s="3"/>
      <c r="O1763" s="3"/>
    </row>
    <row r="1764" spans="1:15">
      <c r="A1764" s="3">
        <v>38288</v>
      </c>
      <c r="B1764" s="3">
        <v>38288</v>
      </c>
      <c r="C1764">
        <v>131.97</v>
      </c>
      <c r="D1764">
        <v>1.2746</v>
      </c>
      <c r="E1764">
        <v>48.37</v>
      </c>
      <c r="F1764">
        <v>125.35</v>
      </c>
      <c r="K1764" s="3"/>
      <c r="O1764" s="3"/>
    </row>
    <row r="1765" spans="1:15">
      <c r="A1765" s="3">
        <v>38289</v>
      </c>
      <c r="B1765" s="3">
        <v>38289</v>
      </c>
      <c r="C1765">
        <v>132.02000000000001</v>
      </c>
      <c r="D1765">
        <v>1.2798</v>
      </c>
      <c r="E1765">
        <v>48.98</v>
      </c>
      <c r="F1765">
        <v>133.75</v>
      </c>
      <c r="K1765" s="3"/>
      <c r="O1765" s="3"/>
    </row>
    <row r="1766" spans="1:15">
      <c r="A1766" s="3">
        <v>38290</v>
      </c>
      <c r="B1766" s="3">
        <v>38290</v>
      </c>
      <c r="C1766">
        <v>132.02000000000001</v>
      </c>
      <c r="D1766">
        <v>1.2798</v>
      </c>
      <c r="E1766">
        <v>48.98</v>
      </c>
      <c r="F1766">
        <v>133.75</v>
      </c>
      <c r="K1766" s="3"/>
      <c r="O1766" s="3"/>
    </row>
    <row r="1767" spans="1:15">
      <c r="A1767" s="3">
        <v>38291</v>
      </c>
      <c r="B1767" s="3">
        <v>38291</v>
      </c>
      <c r="C1767">
        <v>132.02000000000001</v>
      </c>
      <c r="D1767">
        <v>1.2798</v>
      </c>
      <c r="E1767">
        <v>48.98</v>
      </c>
      <c r="F1767">
        <v>133.75</v>
      </c>
      <c r="K1767" s="3"/>
      <c r="O1767" s="3"/>
    </row>
    <row r="1768" spans="1:15">
      <c r="A1768" s="3">
        <v>38292</v>
      </c>
      <c r="B1768" s="3">
        <v>38292</v>
      </c>
      <c r="C1768">
        <v>131.83000000000001</v>
      </c>
      <c r="D1768">
        <v>1.2751999999999999</v>
      </c>
      <c r="E1768">
        <v>47.06</v>
      </c>
      <c r="F1768">
        <v>130.75</v>
      </c>
      <c r="K1768" s="3"/>
      <c r="O1768" s="3"/>
    </row>
    <row r="1769" spans="1:15">
      <c r="A1769" s="3">
        <v>38293</v>
      </c>
      <c r="B1769" s="3">
        <v>38293</v>
      </c>
      <c r="C1769">
        <v>131.66999999999999</v>
      </c>
      <c r="D1769">
        <v>1.2744</v>
      </c>
      <c r="E1769">
        <v>46.55</v>
      </c>
      <c r="F1769">
        <v>132.05000000000001</v>
      </c>
      <c r="K1769" s="3"/>
      <c r="O1769" s="3"/>
    </row>
    <row r="1770" spans="1:15">
      <c r="A1770" s="3">
        <v>38294</v>
      </c>
      <c r="B1770" s="3">
        <v>38294</v>
      </c>
      <c r="C1770">
        <v>131.44999999999999</v>
      </c>
      <c r="D1770">
        <v>1.2821</v>
      </c>
      <c r="E1770">
        <v>47.56</v>
      </c>
      <c r="F1770">
        <v>133</v>
      </c>
      <c r="K1770" s="3"/>
      <c r="O1770" s="3"/>
    </row>
    <row r="1771" spans="1:15">
      <c r="A1771" s="3">
        <v>38295</v>
      </c>
      <c r="B1771" s="3">
        <v>38295</v>
      </c>
      <c r="C1771">
        <v>131.32</v>
      </c>
      <c r="D1771">
        <v>1.2871999999999999</v>
      </c>
      <c r="E1771">
        <v>46.01</v>
      </c>
      <c r="F1771">
        <v>134.9</v>
      </c>
      <c r="K1771" s="3"/>
      <c r="O1771" s="3"/>
    </row>
    <row r="1772" spans="1:15">
      <c r="A1772" s="3">
        <v>38296</v>
      </c>
      <c r="B1772" s="3">
        <v>38296</v>
      </c>
      <c r="C1772">
        <v>131.33000000000001</v>
      </c>
      <c r="D1772">
        <v>1.2964</v>
      </c>
      <c r="E1772">
        <v>46.42</v>
      </c>
      <c r="F1772">
        <v>136.30000000000001</v>
      </c>
      <c r="K1772" s="3"/>
      <c r="O1772" s="3"/>
    </row>
    <row r="1773" spans="1:15">
      <c r="A1773" s="3">
        <v>38297</v>
      </c>
      <c r="B1773" s="3">
        <v>38297</v>
      </c>
      <c r="C1773">
        <v>131.33000000000001</v>
      </c>
      <c r="D1773">
        <v>1.2964</v>
      </c>
      <c r="E1773">
        <v>46.42</v>
      </c>
      <c r="F1773">
        <v>136.30000000000001</v>
      </c>
      <c r="K1773" s="3"/>
      <c r="O1773" s="3"/>
    </row>
    <row r="1774" spans="1:15">
      <c r="A1774" s="3">
        <v>38298</v>
      </c>
      <c r="B1774" s="3">
        <v>38298</v>
      </c>
      <c r="C1774">
        <v>131.33000000000001</v>
      </c>
      <c r="D1774">
        <v>1.2964</v>
      </c>
      <c r="E1774">
        <v>46.42</v>
      </c>
      <c r="F1774">
        <v>136.30000000000001</v>
      </c>
      <c r="K1774" s="3"/>
      <c r="O1774" s="3"/>
    </row>
    <row r="1775" spans="1:15">
      <c r="A1775" s="3">
        <v>38299</v>
      </c>
      <c r="B1775" s="3">
        <v>38299</v>
      </c>
      <c r="C1775">
        <v>131.32</v>
      </c>
      <c r="D1775">
        <v>1.292</v>
      </c>
      <c r="E1775">
        <v>45.92</v>
      </c>
      <c r="F1775">
        <v>136.15</v>
      </c>
      <c r="K1775" s="3"/>
      <c r="O1775" s="3"/>
    </row>
    <row r="1776" spans="1:15">
      <c r="A1776" s="3">
        <v>38300</v>
      </c>
      <c r="B1776" s="3">
        <v>38300</v>
      </c>
      <c r="C1776">
        <v>131.12</v>
      </c>
      <c r="D1776">
        <v>1.29</v>
      </c>
      <c r="E1776">
        <v>43.71</v>
      </c>
      <c r="F1776">
        <v>137.55000000000001</v>
      </c>
      <c r="K1776" s="3"/>
      <c r="O1776" s="3"/>
    </row>
    <row r="1777" spans="1:15">
      <c r="A1777" s="3">
        <v>38301</v>
      </c>
      <c r="B1777" s="3">
        <v>38301</v>
      </c>
      <c r="C1777">
        <v>130.94999999999999</v>
      </c>
      <c r="D1777">
        <v>1.2888999999999999</v>
      </c>
      <c r="E1777">
        <v>44.75</v>
      </c>
      <c r="F1777">
        <v>136.30000000000001</v>
      </c>
      <c r="K1777" s="3"/>
      <c r="O1777" s="3"/>
    </row>
    <row r="1778" spans="1:15">
      <c r="A1778" s="3">
        <v>38302</v>
      </c>
      <c r="B1778" s="3">
        <v>38302</v>
      </c>
      <c r="C1778">
        <v>130.91999999999999</v>
      </c>
      <c r="D1778">
        <v>1.2907</v>
      </c>
      <c r="E1778">
        <v>43.02</v>
      </c>
      <c r="F1778">
        <v>137.25</v>
      </c>
      <c r="K1778" s="3"/>
      <c r="O1778" s="3"/>
    </row>
    <row r="1779" spans="1:15">
      <c r="A1779" s="3">
        <v>38303</v>
      </c>
      <c r="B1779" s="3">
        <v>38303</v>
      </c>
      <c r="C1779">
        <v>130.91999999999999</v>
      </c>
      <c r="D1779">
        <v>1.2974000000000001</v>
      </c>
      <c r="E1779">
        <v>42.31</v>
      </c>
      <c r="F1779">
        <v>139.44999999999999</v>
      </c>
      <c r="K1779" s="3"/>
      <c r="O1779" s="3"/>
    </row>
    <row r="1780" spans="1:15">
      <c r="A1780" s="3">
        <v>38304</v>
      </c>
      <c r="B1780" s="3">
        <v>38304</v>
      </c>
      <c r="C1780">
        <v>130.91999999999999</v>
      </c>
      <c r="D1780">
        <v>1.2974000000000001</v>
      </c>
      <c r="E1780">
        <v>42.31</v>
      </c>
      <c r="F1780">
        <v>139.44999999999999</v>
      </c>
      <c r="K1780" s="3"/>
      <c r="O1780" s="3"/>
    </row>
    <row r="1781" spans="1:15">
      <c r="A1781" s="3">
        <v>38305</v>
      </c>
      <c r="B1781" s="3">
        <v>38305</v>
      </c>
      <c r="C1781">
        <v>130.91999999999999</v>
      </c>
      <c r="D1781">
        <v>1.2974000000000001</v>
      </c>
      <c r="E1781">
        <v>42.31</v>
      </c>
      <c r="F1781">
        <v>139.44999999999999</v>
      </c>
      <c r="K1781" s="3"/>
      <c r="O1781" s="3"/>
    </row>
    <row r="1782" spans="1:15">
      <c r="A1782" s="3">
        <v>38306</v>
      </c>
      <c r="B1782" s="3">
        <v>38306</v>
      </c>
      <c r="C1782">
        <v>130.65</v>
      </c>
      <c r="D1782">
        <v>1.2949999999999999</v>
      </c>
      <c r="E1782">
        <v>40.340000000000003</v>
      </c>
      <c r="F1782">
        <v>138.75</v>
      </c>
      <c r="K1782" s="3"/>
      <c r="O1782" s="3"/>
    </row>
    <row r="1783" spans="1:15">
      <c r="A1783" s="3">
        <v>38307</v>
      </c>
      <c r="B1783" s="3">
        <v>38307</v>
      </c>
      <c r="C1783">
        <v>130.44999999999999</v>
      </c>
      <c r="D1783">
        <v>1.2957000000000001</v>
      </c>
      <c r="E1783">
        <v>42.29</v>
      </c>
      <c r="F1783">
        <v>136.9</v>
      </c>
      <c r="K1783" s="3"/>
      <c r="O1783" s="3"/>
    </row>
    <row r="1784" spans="1:15">
      <c r="A1784" s="3">
        <v>38308</v>
      </c>
      <c r="B1784" s="3">
        <v>38308</v>
      </c>
      <c r="C1784">
        <v>130.32</v>
      </c>
      <c r="D1784">
        <v>1.3031999999999999</v>
      </c>
      <c r="E1784">
        <v>42.76</v>
      </c>
      <c r="F1784">
        <v>141.05000000000001</v>
      </c>
      <c r="K1784" s="3"/>
      <c r="O1784" s="3"/>
    </row>
    <row r="1785" spans="1:15">
      <c r="A1785" s="3">
        <v>38309</v>
      </c>
      <c r="B1785" s="3">
        <v>38309</v>
      </c>
      <c r="C1785">
        <v>130.26</v>
      </c>
      <c r="D1785">
        <v>1.296</v>
      </c>
      <c r="E1785">
        <v>42.72</v>
      </c>
      <c r="F1785">
        <v>142.5</v>
      </c>
      <c r="K1785" s="3"/>
      <c r="O1785" s="3"/>
    </row>
    <row r="1786" spans="1:15">
      <c r="A1786" s="3">
        <v>38310</v>
      </c>
      <c r="B1786" s="3">
        <v>38310</v>
      </c>
      <c r="C1786">
        <v>129.99</v>
      </c>
      <c r="D1786">
        <v>1.3023</v>
      </c>
      <c r="E1786">
        <v>44.89</v>
      </c>
      <c r="F1786">
        <v>143.19999999999999</v>
      </c>
      <c r="K1786" s="3"/>
      <c r="O1786" s="3"/>
    </row>
    <row r="1787" spans="1:15">
      <c r="A1787" s="3">
        <v>38311</v>
      </c>
      <c r="B1787" s="3">
        <v>38311</v>
      </c>
      <c r="C1787">
        <v>129.99</v>
      </c>
      <c r="D1787">
        <v>1.3023</v>
      </c>
      <c r="E1787">
        <v>44.89</v>
      </c>
      <c r="F1787">
        <v>143.19999999999999</v>
      </c>
      <c r="K1787" s="3"/>
      <c r="O1787" s="3"/>
    </row>
    <row r="1788" spans="1:15">
      <c r="A1788" s="3">
        <v>38312</v>
      </c>
      <c r="B1788" s="3">
        <v>38312</v>
      </c>
      <c r="C1788">
        <v>129.99</v>
      </c>
      <c r="D1788">
        <v>1.3023</v>
      </c>
      <c r="E1788">
        <v>44.89</v>
      </c>
      <c r="F1788">
        <v>143.19999999999999</v>
      </c>
      <c r="K1788" s="3"/>
      <c r="O1788" s="3"/>
    </row>
    <row r="1789" spans="1:15">
      <c r="A1789" s="3">
        <v>38313</v>
      </c>
      <c r="B1789" s="3">
        <v>38313</v>
      </c>
      <c r="C1789">
        <v>129.86000000000001</v>
      </c>
      <c r="D1789">
        <v>1.3048999999999999</v>
      </c>
      <c r="E1789">
        <v>44.38</v>
      </c>
      <c r="F1789">
        <v>140.9</v>
      </c>
      <c r="K1789" s="3"/>
      <c r="O1789" s="3"/>
    </row>
    <row r="1790" spans="1:15">
      <c r="A1790" s="3">
        <v>38314</v>
      </c>
      <c r="B1790" s="3">
        <v>38314</v>
      </c>
      <c r="C1790">
        <v>130.07</v>
      </c>
      <c r="D1790">
        <v>1.3087</v>
      </c>
      <c r="E1790">
        <v>44.45</v>
      </c>
      <c r="F1790">
        <v>141.75</v>
      </c>
      <c r="K1790" s="3"/>
      <c r="O1790" s="3"/>
    </row>
    <row r="1791" spans="1:15">
      <c r="A1791" s="3">
        <v>38315</v>
      </c>
      <c r="B1791" s="3">
        <v>38315</v>
      </c>
      <c r="C1791">
        <v>130.12</v>
      </c>
      <c r="D1791">
        <v>1.3187</v>
      </c>
      <c r="E1791">
        <v>44.82</v>
      </c>
      <c r="F1791">
        <v>143.85</v>
      </c>
      <c r="K1791" s="3"/>
      <c r="O1791" s="3"/>
    </row>
    <row r="1792" spans="1:15">
      <c r="A1792" s="3">
        <v>38316</v>
      </c>
      <c r="B1792" s="3">
        <v>38316</v>
      </c>
      <c r="C1792">
        <v>129.88999999999999</v>
      </c>
      <c r="D1792">
        <v>1.3269</v>
      </c>
      <c r="E1792">
        <v>44.66</v>
      </c>
      <c r="F1792">
        <v>143.85</v>
      </c>
      <c r="K1792" s="3"/>
      <c r="O1792" s="3"/>
    </row>
    <row r="1793" spans="1:15">
      <c r="A1793" s="3">
        <v>38317</v>
      </c>
      <c r="B1793" s="3">
        <v>38317</v>
      </c>
      <c r="C1793">
        <v>129.96</v>
      </c>
      <c r="D1793">
        <v>1.3297000000000001</v>
      </c>
      <c r="E1793">
        <v>44.57</v>
      </c>
      <c r="F1793">
        <v>143.85</v>
      </c>
      <c r="K1793" s="3"/>
      <c r="O1793" s="3"/>
    </row>
    <row r="1794" spans="1:15">
      <c r="A1794" s="3">
        <v>38318</v>
      </c>
      <c r="B1794" s="3">
        <v>38318</v>
      </c>
      <c r="C1794">
        <v>129.96</v>
      </c>
      <c r="D1794">
        <v>1.3297000000000001</v>
      </c>
      <c r="E1794">
        <v>44.57</v>
      </c>
      <c r="F1794">
        <v>143.85</v>
      </c>
      <c r="K1794" s="3"/>
      <c r="O1794" s="3"/>
    </row>
    <row r="1795" spans="1:15">
      <c r="A1795" s="3">
        <v>38319</v>
      </c>
      <c r="B1795" s="3">
        <v>38319</v>
      </c>
      <c r="C1795">
        <v>129.96</v>
      </c>
      <c r="D1795">
        <v>1.3297000000000001</v>
      </c>
      <c r="E1795">
        <v>44.57</v>
      </c>
      <c r="F1795">
        <v>143.85</v>
      </c>
      <c r="K1795" s="3"/>
      <c r="O1795" s="3"/>
    </row>
    <row r="1796" spans="1:15">
      <c r="A1796" s="3">
        <v>38320</v>
      </c>
      <c r="B1796" s="3">
        <v>38320</v>
      </c>
      <c r="C1796">
        <v>130.01</v>
      </c>
      <c r="D1796">
        <v>1.3282</v>
      </c>
      <c r="E1796">
        <v>45.75</v>
      </c>
      <c r="F1796">
        <v>144.5</v>
      </c>
      <c r="K1796" s="3"/>
      <c r="O1796" s="3"/>
    </row>
    <row r="1797" spans="1:15">
      <c r="A1797" s="3">
        <v>38321</v>
      </c>
      <c r="B1797" s="3">
        <v>38321</v>
      </c>
      <c r="C1797">
        <v>130.04</v>
      </c>
      <c r="D1797">
        <v>1.3279000000000001</v>
      </c>
      <c r="E1797">
        <v>45.51</v>
      </c>
      <c r="F1797">
        <v>144.30000000000001</v>
      </c>
      <c r="K1797" s="3"/>
      <c r="O1797" s="3"/>
    </row>
    <row r="1798" spans="1:15">
      <c r="A1798" s="3">
        <v>38322</v>
      </c>
      <c r="B1798" s="3">
        <v>38322</v>
      </c>
      <c r="C1798">
        <v>129.99</v>
      </c>
      <c r="D1798">
        <v>1.3346</v>
      </c>
      <c r="E1798">
        <v>42.31</v>
      </c>
      <c r="F1798">
        <v>146.75</v>
      </c>
      <c r="K1798" s="3"/>
      <c r="O1798" s="3"/>
    </row>
    <row r="1799" spans="1:15">
      <c r="A1799" s="3">
        <v>38323</v>
      </c>
      <c r="B1799" s="3">
        <v>38323</v>
      </c>
      <c r="C1799">
        <v>129.99</v>
      </c>
      <c r="D1799">
        <v>1.327</v>
      </c>
      <c r="E1799">
        <v>40.15</v>
      </c>
      <c r="F1799">
        <v>143.69999999999999</v>
      </c>
      <c r="K1799" s="3"/>
      <c r="O1799" s="3"/>
    </row>
    <row r="1800" spans="1:15">
      <c r="A1800" s="3">
        <v>38324</v>
      </c>
      <c r="B1800" s="3">
        <v>38324</v>
      </c>
      <c r="C1800">
        <v>130.02000000000001</v>
      </c>
      <c r="D1800">
        <v>1.3453999999999999</v>
      </c>
      <c r="E1800">
        <v>39.36</v>
      </c>
      <c r="F1800">
        <v>143.5</v>
      </c>
      <c r="K1800" s="3"/>
      <c r="O1800" s="3"/>
    </row>
    <row r="1801" spans="1:15">
      <c r="A1801" s="3">
        <v>38325</v>
      </c>
      <c r="B1801" s="3">
        <v>38325</v>
      </c>
      <c r="C1801">
        <v>130.02000000000001</v>
      </c>
      <c r="D1801">
        <v>1.3453999999999999</v>
      </c>
      <c r="E1801">
        <v>39.36</v>
      </c>
      <c r="F1801">
        <v>143.5</v>
      </c>
      <c r="K1801" s="3"/>
      <c r="O1801" s="3"/>
    </row>
    <row r="1802" spans="1:15">
      <c r="A1802" s="3">
        <v>38326</v>
      </c>
      <c r="B1802" s="3">
        <v>38326</v>
      </c>
      <c r="C1802">
        <v>130.02000000000001</v>
      </c>
      <c r="D1802">
        <v>1.3453999999999999</v>
      </c>
      <c r="E1802">
        <v>39.36</v>
      </c>
      <c r="F1802">
        <v>143.5</v>
      </c>
      <c r="K1802" s="3"/>
      <c r="O1802" s="3"/>
    </row>
    <row r="1803" spans="1:15">
      <c r="A1803" s="3">
        <v>38327</v>
      </c>
      <c r="B1803" s="3">
        <v>38327</v>
      </c>
      <c r="C1803">
        <v>130.08000000000001</v>
      </c>
      <c r="D1803">
        <v>1.3409</v>
      </c>
      <c r="E1803">
        <v>39.65</v>
      </c>
      <c r="F1803">
        <v>143.35</v>
      </c>
      <c r="K1803" s="3"/>
      <c r="O1803" s="3"/>
    </row>
    <row r="1804" spans="1:15">
      <c r="A1804" s="3">
        <v>38328</v>
      </c>
      <c r="B1804" s="3">
        <v>38328</v>
      </c>
      <c r="C1804">
        <v>130.18</v>
      </c>
      <c r="D1804">
        <v>1.3419000000000001</v>
      </c>
      <c r="E1804">
        <v>38.270000000000003</v>
      </c>
      <c r="F1804">
        <v>140.6</v>
      </c>
      <c r="K1804" s="3"/>
      <c r="O1804" s="3"/>
    </row>
    <row r="1805" spans="1:15">
      <c r="A1805" s="3">
        <v>38329</v>
      </c>
      <c r="B1805" s="3">
        <v>38329</v>
      </c>
      <c r="C1805">
        <v>130.32</v>
      </c>
      <c r="D1805">
        <v>1.3337000000000001</v>
      </c>
      <c r="E1805">
        <v>38.69</v>
      </c>
      <c r="F1805">
        <v>137.55000000000001</v>
      </c>
      <c r="K1805" s="3"/>
      <c r="O1805" s="3"/>
    </row>
    <row r="1806" spans="1:15">
      <c r="A1806" s="3">
        <v>38330</v>
      </c>
      <c r="B1806" s="3">
        <v>38330</v>
      </c>
      <c r="C1806">
        <v>130.09</v>
      </c>
      <c r="D1806">
        <v>1.3310999999999999</v>
      </c>
      <c r="E1806">
        <v>39.67</v>
      </c>
      <c r="F1806">
        <v>137.9</v>
      </c>
      <c r="K1806" s="3"/>
      <c r="O1806" s="3"/>
    </row>
    <row r="1807" spans="1:15">
      <c r="A1807" s="3">
        <v>38331</v>
      </c>
      <c r="B1807" s="3">
        <v>38331</v>
      </c>
      <c r="C1807">
        <v>130.12</v>
      </c>
      <c r="D1807">
        <v>1.3226</v>
      </c>
      <c r="E1807">
        <v>37.380000000000003</v>
      </c>
      <c r="F1807">
        <v>140.15</v>
      </c>
      <c r="K1807" s="3"/>
      <c r="O1807" s="3"/>
    </row>
    <row r="1808" spans="1:15">
      <c r="A1808" s="3">
        <v>38332</v>
      </c>
      <c r="B1808" s="3">
        <v>38332</v>
      </c>
      <c r="C1808">
        <v>130.12</v>
      </c>
      <c r="D1808">
        <v>1.3226</v>
      </c>
      <c r="E1808">
        <v>37.380000000000003</v>
      </c>
      <c r="F1808">
        <v>140.15</v>
      </c>
      <c r="K1808" s="3"/>
      <c r="O1808" s="3"/>
    </row>
    <row r="1809" spans="1:15">
      <c r="A1809" s="3">
        <v>38333</v>
      </c>
      <c r="B1809" s="3">
        <v>38333</v>
      </c>
      <c r="C1809">
        <v>130.12</v>
      </c>
      <c r="D1809">
        <v>1.3226</v>
      </c>
      <c r="E1809">
        <v>37.380000000000003</v>
      </c>
      <c r="F1809">
        <v>140.15</v>
      </c>
      <c r="K1809" s="3"/>
      <c r="O1809" s="3"/>
    </row>
    <row r="1810" spans="1:15">
      <c r="A1810" s="3">
        <v>38334</v>
      </c>
      <c r="B1810" s="3">
        <v>38334</v>
      </c>
      <c r="C1810">
        <v>130.08000000000001</v>
      </c>
      <c r="D1810">
        <v>1.3311999999999999</v>
      </c>
      <c r="E1810">
        <v>37.840000000000003</v>
      </c>
      <c r="F1810">
        <v>143.6</v>
      </c>
      <c r="K1810" s="3"/>
      <c r="O1810" s="3"/>
    </row>
    <row r="1811" spans="1:15">
      <c r="A1811" s="3">
        <v>38335</v>
      </c>
      <c r="B1811" s="3">
        <v>38335</v>
      </c>
      <c r="C1811">
        <v>130.1</v>
      </c>
      <c r="D1811">
        <v>1.3295999999999999</v>
      </c>
      <c r="E1811">
        <v>39.25</v>
      </c>
      <c r="F1811">
        <v>144.4</v>
      </c>
      <c r="K1811" s="3"/>
      <c r="O1811" s="3"/>
    </row>
    <row r="1812" spans="1:15">
      <c r="A1812" s="3">
        <v>38336</v>
      </c>
      <c r="B1812" s="3">
        <v>38336</v>
      </c>
      <c r="C1812">
        <v>129.74</v>
      </c>
      <c r="D1812">
        <v>1.3391999999999999</v>
      </c>
      <c r="E1812">
        <v>42.22</v>
      </c>
      <c r="F1812">
        <v>146.44999999999999</v>
      </c>
      <c r="K1812" s="3"/>
      <c r="O1812" s="3"/>
    </row>
    <row r="1813" spans="1:15">
      <c r="A1813" s="3">
        <v>38337</v>
      </c>
      <c r="B1813" s="3">
        <v>38337</v>
      </c>
      <c r="C1813">
        <v>129.75</v>
      </c>
      <c r="D1813">
        <v>1.3244</v>
      </c>
      <c r="E1813">
        <v>41.43</v>
      </c>
      <c r="F1813">
        <v>146.6</v>
      </c>
      <c r="K1813" s="3"/>
      <c r="O1813" s="3"/>
    </row>
    <row r="1814" spans="1:15">
      <c r="A1814" s="3">
        <v>38338</v>
      </c>
      <c r="B1814" s="3">
        <v>38338</v>
      </c>
      <c r="C1814">
        <v>129.77000000000001</v>
      </c>
      <c r="D1814">
        <v>1.3307</v>
      </c>
      <c r="E1814">
        <v>43.39</v>
      </c>
      <c r="F1814">
        <v>147.25</v>
      </c>
      <c r="K1814" s="3"/>
      <c r="O1814" s="3"/>
    </row>
    <row r="1815" spans="1:15">
      <c r="A1815" s="3">
        <v>38339</v>
      </c>
      <c r="B1815" s="3">
        <v>38339</v>
      </c>
      <c r="C1815">
        <v>129.77000000000001</v>
      </c>
      <c r="D1815">
        <v>1.3307</v>
      </c>
      <c r="E1815">
        <v>43.39</v>
      </c>
      <c r="F1815">
        <v>147.25</v>
      </c>
      <c r="K1815" s="3"/>
      <c r="O1815" s="3"/>
    </row>
    <row r="1816" spans="1:15">
      <c r="A1816" s="3">
        <v>38340</v>
      </c>
      <c r="B1816" s="3">
        <v>38340</v>
      </c>
      <c r="C1816">
        <v>129.77000000000001</v>
      </c>
      <c r="D1816">
        <v>1.3307</v>
      </c>
      <c r="E1816">
        <v>43.39</v>
      </c>
      <c r="F1816">
        <v>147.25</v>
      </c>
      <c r="K1816" s="3"/>
      <c r="O1816" s="3"/>
    </row>
    <row r="1817" spans="1:15">
      <c r="A1817" s="3">
        <v>38341</v>
      </c>
      <c r="B1817" s="3">
        <v>38341</v>
      </c>
      <c r="C1817">
        <v>129.88999999999999</v>
      </c>
      <c r="D1817">
        <v>1.3395999999999999</v>
      </c>
      <c r="E1817">
        <v>42.45</v>
      </c>
      <c r="F1817">
        <v>149.05000000000001</v>
      </c>
      <c r="K1817" s="3"/>
      <c r="O1817" s="3"/>
    </row>
    <row r="1818" spans="1:15">
      <c r="A1818" s="3">
        <v>38342</v>
      </c>
      <c r="B1818" s="3">
        <v>38342</v>
      </c>
      <c r="C1818">
        <v>130.01</v>
      </c>
      <c r="D1818">
        <v>1.3371999999999999</v>
      </c>
      <c r="E1818">
        <v>42.37</v>
      </c>
      <c r="F1818">
        <v>150.4</v>
      </c>
      <c r="K1818" s="3"/>
      <c r="O1818" s="3"/>
    </row>
    <row r="1819" spans="1:15">
      <c r="A1819" s="3">
        <v>38343</v>
      </c>
      <c r="B1819" s="3">
        <v>38343</v>
      </c>
      <c r="C1819">
        <v>130.06</v>
      </c>
      <c r="D1819">
        <v>1.339</v>
      </c>
      <c r="E1819">
        <v>40.64</v>
      </c>
      <c r="F1819">
        <v>147.5</v>
      </c>
      <c r="K1819" s="3"/>
      <c r="O1819" s="3"/>
    </row>
    <row r="1820" spans="1:15">
      <c r="A1820" s="3">
        <v>38344</v>
      </c>
      <c r="B1820" s="3">
        <v>38344</v>
      </c>
      <c r="C1820">
        <v>130</v>
      </c>
      <c r="D1820">
        <v>1.3514999999999999</v>
      </c>
      <c r="E1820">
        <v>40.71</v>
      </c>
      <c r="F1820">
        <v>148.30000000000001</v>
      </c>
      <c r="K1820" s="3"/>
      <c r="O1820" s="3"/>
    </row>
    <row r="1821" spans="1:15">
      <c r="A1821" s="3">
        <v>38345</v>
      </c>
      <c r="B1821" s="3">
        <v>38345</v>
      </c>
      <c r="C1821">
        <v>129.94999999999999</v>
      </c>
      <c r="D1821">
        <v>1.3531</v>
      </c>
      <c r="E1821">
        <v>40.07</v>
      </c>
      <c r="F1821">
        <v>148.30000000000001</v>
      </c>
      <c r="K1821" s="3"/>
      <c r="O1821" s="3"/>
    </row>
    <row r="1822" spans="1:15">
      <c r="A1822" s="3">
        <v>38346</v>
      </c>
      <c r="B1822" s="3">
        <v>38346</v>
      </c>
      <c r="C1822">
        <v>129.94999999999999</v>
      </c>
      <c r="D1822">
        <v>1.3531</v>
      </c>
      <c r="E1822">
        <v>40.07</v>
      </c>
      <c r="F1822">
        <v>148.30000000000001</v>
      </c>
      <c r="K1822" s="3"/>
      <c r="O1822" s="3"/>
    </row>
    <row r="1823" spans="1:15">
      <c r="A1823" s="3">
        <v>38347</v>
      </c>
      <c r="B1823" s="3">
        <v>38347</v>
      </c>
      <c r="C1823">
        <v>129.94999999999999</v>
      </c>
      <c r="D1823">
        <v>1.3531</v>
      </c>
      <c r="E1823">
        <v>40.07</v>
      </c>
      <c r="F1823">
        <v>148.30000000000001</v>
      </c>
      <c r="K1823" s="3"/>
      <c r="O1823" s="3"/>
    </row>
    <row r="1824" spans="1:15">
      <c r="A1824" s="3">
        <v>38348</v>
      </c>
      <c r="B1824" s="3">
        <v>38348</v>
      </c>
      <c r="C1824">
        <v>130.01</v>
      </c>
      <c r="D1824">
        <v>1.3616999999999999</v>
      </c>
      <c r="E1824">
        <v>40.07</v>
      </c>
      <c r="F1824">
        <v>150</v>
      </c>
      <c r="K1824" s="3"/>
      <c r="O1824" s="3"/>
    </row>
    <row r="1825" spans="1:15">
      <c r="A1825" s="3">
        <v>38349</v>
      </c>
      <c r="B1825" s="3">
        <v>38349</v>
      </c>
      <c r="C1825">
        <v>130.01</v>
      </c>
      <c r="D1825">
        <v>1.3613</v>
      </c>
      <c r="E1825">
        <v>40.07</v>
      </c>
      <c r="F1825">
        <v>154.25</v>
      </c>
      <c r="K1825" s="3"/>
      <c r="O1825" s="3"/>
    </row>
    <row r="1826" spans="1:15">
      <c r="A1826" s="3">
        <v>38350</v>
      </c>
      <c r="B1826" s="3">
        <v>38350</v>
      </c>
      <c r="C1826">
        <v>130</v>
      </c>
      <c r="D1826">
        <v>1.3607</v>
      </c>
      <c r="E1826">
        <v>39.17</v>
      </c>
      <c r="F1826">
        <v>144.5</v>
      </c>
      <c r="K1826" s="3"/>
      <c r="O1826" s="3"/>
    </row>
    <row r="1827" spans="1:15">
      <c r="A1827" s="3">
        <v>38351</v>
      </c>
      <c r="B1827" s="3">
        <v>38351</v>
      </c>
      <c r="C1827">
        <v>129.97</v>
      </c>
      <c r="D1827">
        <v>1.3636999999999999</v>
      </c>
      <c r="E1827">
        <v>40.369999999999997</v>
      </c>
      <c r="F1827">
        <v>145.25</v>
      </c>
      <c r="K1827" s="3"/>
      <c r="O1827" s="3"/>
    </row>
    <row r="1828" spans="1:15">
      <c r="A1828" s="3">
        <v>38352</v>
      </c>
      <c r="B1828" s="3">
        <v>38352</v>
      </c>
      <c r="C1828">
        <v>129.96</v>
      </c>
      <c r="D1828">
        <v>1.3553999999999999</v>
      </c>
      <c r="E1828">
        <v>40.46</v>
      </c>
      <c r="F1828">
        <v>145.25</v>
      </c>
      <c r="K1828" s="3"/>
      <c r="O1828" s="3"/>
    </row>
    <row r="1829" spans="1:15">
      <c r="A1829" s="3">
        <v>38353</v>
      </c>
      <c r="B1829" s="3">
        <v>38353</v>
      </c>
      <c r="C1829">
        <v>129.96</v>
      </c>
      <c r="D1829">
        <v>1.3553999999999999</v>
      </c>
      <c r="E1829">
        <v>40.46</v>
      </c>
      <c r="F1829">
        <v>145.25</v>
      </c>
      <c r="K1829" s="3"/>
      <c r="O1829" s="3"/>
    </row>
    <row r="1830" spans="1:15">
      <c r="A1830" s="3">
        <v>38354</v>
      </c>
      <c r="B1830" s="3">
        <v>38354</v>
      </c>
      <c r="C1830">
        <v>129.96</v>
      </c>
      <c r="D1830">
        <v>1.3553999999999999</v>
      </c>
      <c r="E1830">
        <v>40.46</v>
      </c>
      <c r="F1830">
        <v>145.25</v>
      </c>
      <c r="K1830" s="3"/>
      <c r="O1830" s="3"/>
    </row>
    <row r="1831" spans="1:15">
      <c r="A1831" s="3">
        <v>38355</v>
      </c>
      <c r="B1831" s="3">
        <v>38355</v>
      </c>
      <c r="C1831">
        <v>129.96</v>
      </c>
      <c r="D1831">
        <v>1.3465</v>
      </c>
      <c r="E1831">
        <v>40.46</v>
      </c>
      <c r="F1831">
        <v>147.35</v>
      </c>
      <c r="K1831" s="3"/>
      <c r="O1831" s="3"/>
    </row>
    <row r="1832" spans="1:15">
      <c r="A1832" s="3">
        <v>38356</v>
      </c>
      <c r="B1832" s="3">
        <v>38356</v>
      </c>
      <c r="C1832">
        <v>129.96</v>
      </c>
      <c r="D1832">
        <v>1.3279000000000001</v>
      </c>
      <c r="E1832">
        <v>41.04</v>
      </c>
      <c r="F1832">
        <v>134.30000000000001</v>
      </c>
      <c r="K1832" s="3"/>
      <c r="O1832" s="3"/>
    </row>
    <row r="1833" spans="1:15">
      <c r="A1833" s="3">
        <v>38357</v>
      </c>
      <c r="B1833" s="3">
        <v>38357</v>
      </c>
      <c r="C1833">
        <v>129.97999999999999</v>
      </c>
      <c r="D1833">
        <v>1.3262</v>
      </c>
      <c r="E1833">
        <v>40.51</v>
      </c>
      <c r="F1833">
        <v>137.5</v>
      </c>
      <c r="K1833" s="3"/>
      <c r="O1833" s="3"/>
    </row>
    <row r="1834" spans="1:15">
      <c r="A1834" s="3">
        <v>38358</v>
      </c>
      <c r="B1834" s="3">
        <v>38358</v>
      </c>
      <c r="C1834">
        <v>129.97999999999999</v>
      </c>
      <c r="D1834">
        <v>1.3172999999999999</v>
      </c>
      <c r="E1834">
        <v>42.85</v>
      </c>
      <c r="F1834">
        <v>137.5</v>
      </c>
      <c r="K1834" s="3"/>
      <c r="O1834" s="3"/>
    </row>
    <row r="1835" spans="1:15">
      <c r="A1835" s="3">
        <v>38359</v>
      </c>
      <c r="B1835" s="3">
        <v>38359</v>
      </c>
      <c r="C1835">
        <v>129.97</v>
      </c>
      <c r="D1835">
        <v>1.3053999999999999</v>
      </c>
      <c r="E1835">
        <v>43.18</v>
      </c>
      <c r="F1835">
        <v>137</v>
      </c>
      <c r="K1835" s="3"/>
      <c r="O1835" s="3"/>
    </row>
    <row r="1836" spans="1:15">
      <c r="A1836" s="3">
        <v>38360</v>
      </c>
      <c r="B1836" s="3">
        <v>38360</v>
      </c>
      <c r="C1836">
        <v>129.97</v>
      </c>
      <c r="D1836">
        <v>1.3053999999999999</v>
      </c>
      <c r="E1836">
        <v>43.18</v>
      </c>
      <c r="F1836">
        <v>137</v>
      </c>
      <c r="K1836" s="3"/>
      <c r="O1836" s="3"/>
    </row>
    <row r="1837" spans="1:15">
      <c r="A1837" s="3">
        <v>38361</v>
      </c>
      <c r="B1837" s="3">
        <v>38361</v>
      </c>
      <c r="C1837">
        <v>129.97</v>
      </c>
      <c r="D1837">
        <v>1.3053999999999999</v>
      </c>
      <c r="E1837">
        <v>43.18</v>
      </c>
      <c r="F1837">
        <v>137</v>
      </c>
      <c r="K1837" s="3"/>
      <c r="O1837" s="3"/>
    </row>
    <row r="1838" spans="1:15">
      <c r="A1838" s="3">
        <v>38362</v>
      </c>
      <c r="B1838" s="3">
        <v>38362</v>
      </c>
      <c r="C1838">
        <v>130.02000000000001</v>
      </c>
      <c r="D1838">
        <v>1.3073999999999999</v>
      </c>
      <c r="E1838">
        <v>42.92</v>
      </c>
      <c r="F1838">
        <v>136.94999999999999</v>
      </c>
      <c r="K1838" s="3"/>
      <c r="O1838" s="3"/>
    </row>
    <row r="1839" spans="1:15">
      <c r="A1839" s="3">
        <v>38363</v>
      </c>
      <c r="B1839" s="3">
        <v>38363</v>
      </c>
      <c r="C1839">
        <v>129.99</v>
      </c>
      <c r="D1839">
        <v>1.3107</v>
      </c>
      <c r="E1839">
        <v>43.12</v>
      </c>
      <c r="F1839">
        <v>139.69999999999999</v>
      </c>
      <c r="K1839" s="3"/>
      <c r="O1839" s="3"/>
    </row>
    <row r="1840" spans="1:15">
      <c r="A1840" s="3">
        <v>38364</v>
      </c>
      <c r="B1840" s="3">
        <v>38364</v>
      </c>
      <c r="C1840">
        <v>130.01</v>
      </c>
      <c r="D1840">
        <v>1.3254999999999999</v>
      </c>
      <c r="E1840">
        <v>43.68</v>
      </c>
      <c r="F1840">
        <v>140.4</v>
      </c>
      <c r="K1840" s="3"/>
      <c r="O1840" s="3"/>
    </row>
    <row r="1841" spans="1:15">
      <c r="A1841" s="3">
        <v>38365</v>
      </c>
      <c r="B1841" s="3">
        <v>38365</v>
      </c>
      <c r="C1841">
        <v>130</v>
      </c>
      <c r="D1841">
        <v>1.3224</v>
      </c>
      <c r="E1841">
        <v>45.21</v>
      </c>
      <c r="F1841">
        <v>138.1</v>
      </c>
      <c r="K1841" s="3"/>
      <c r="O1841" s="3"/>
    </row>
    <row r="1842" spans="1:15">
      <c r="A1842" s="3">
        <v>38366</v>
      </c>
      <c r="B1842" s="3">
        <v>38366</v>
      </c>
      <c r="C1842">
        <v>129.96</v>
      </c>
      <c r="D1842">
        <v>1.3111999999999999</v>
      </c>
      <c r="E1842">
        <v>45.15</v>
      </c>
      <c r="F1842">
        <v>139.6</v>
      </c>
      <c r="K1842" s="3"/>
      <c r="O1842" s="3"/>
    </row>
    <row r="1843" spans="1:15">
      <c r="A1843" s="3">
        <v>38367</v>
      </c>
      <c r="B1843" s="3">
        <v>38367</v>
      </c>
      <c r="C1843">
        <v>129.96</v>
      </c>
      <c r="D1843">
        <v>1.3111999999999999</v>
      </c>
      <c r="E1843">
        <v>45.15</v>
      </c>
      <c r="F1843">
        <v>139.6</v>
      </c>
      <c r="K1843" s="3"/>
      <c r="O1843" s="3"/>
    </row>
    <row r="1844" spans="1:15">
      <c r="A1844" s="3">
        <v>38368</v>
      </c>
      <c r="B1844" s="3">
        <v>38368</v>
      </c>
      <c r="C1844">
        <v>129.96</v>
      </c>
      <c r="D1844">
        <v>1.3111999999999999</v>
      </c>
      <c r="E1844">
        <v>45.15</v>
      </c>
      <c r="F1844">
        <v>139.6</v>
      </c>
      <c r="K1844" s="3"/>
      <c r="O1844" s="3"/>
    </row>
    <row r="1845" spans="1:15">
      <c r="A1845" s="3">
        <v>38369</v>
      </c>
      <c r="B1845" s="3">
        <v>38369</v>
      </c>
      <c r="C1845">
        <v>130.03</v>
      </c>
      <c r="D1845">
        <v>1.3067</v>
      </c>
      <c r="E1845">
        <v>45.03</v>
      </c>
      <c r="F1845">
        <v>139.6</v>
      </c>
      <c r="K1845" s="3"/>
      <c r="O1845" s="3"/>
    </row>
    <row r="1846" spans="1:15">
      <c r="A1846" s="3">
        <v>38370</v>
      </c>
      <c r="B1846" s="3">
        <v>38370</v>
      </c>
      <c r="C1846">
        <v>130.03</v>
      </c>
      <c r="D1846">
        <v>1.302</v>
      </c>
      <c r="E1846">
        <v>45.39</v>
      </c>
      <c r="F1846">
        <v>140.15</v>
      </c>
      <c r="K1846" s="3"/>
      <c r="O1846" s="3"/>
    </row>
    <row r="1847" spans="1:15">
      <c r="A1847" s="3">
        <v>38371</v>
      </c>
      <c r="B1847" s="3">
        <v>38371</v>
      </c>
      <c r="C1847">
        <v>130.03</v>
      </c>
      <c r="D1847">
        <v>1.3009999999999999</v>
      </c>
      <c r="E1847">
        <v>44.71</v>
      </c>
      <c r="F1847">
        <v>140.94999999999999</v>
      </c>
      <c r="K1847" s="3"/>
      <c r="O1847" s="3"/>
    </row>
    <row r="1848" spans="1:15">
      <c r="A1848" s="3">
        <v>38372</v>
      </c>
      <c r="B1848" s="3">
        <v>38372</v>
      </c>
      <c r="C1848">
        <v>130.04</v>
      </c>
      <c r="D1848">
        <v>1.2963</v>
      </c>
      <c r="E1848">
        <v>44.32</v>
      </c>
      <c r="F1848">
        <v>141.5</v>
      </c>
      <c r="K1848" s="3"/>
      <c r="O1848" s="3"/>
    </row>
    <row r="1849" spans="1:15">
      <c r="A1849" s="3">
        <v>38373</v>
      </c>
      <c r="B1849" s="3">
        <v>38373</v>
      </c>
      <c r="C1849">
        <v>130.08000000000001</v>
      </c>
      <c r="D1849">
        <v>1.3039000000000001</v>
      </c>
      <c r="E1849">
        <v>45.73</v>
      </c>
      <c r="F1849">
        <v>143.5</v>
      </c>
      <c r="K1849" s="3"/>
      <c r="O1849" s="3"/>
    </row>
    <row r="1850" spans="1:15">
      <c r="A1850" s="3">
        <v>38374</v>
      </c>
      <c r="B1850" s="3">
        <v>38374</v>
      </c>
      <c r="C1850">
        <v>130.08000000000001</v>
      </c>
      <c r="D1850">
        <v>1.3039000000000001</v>
      </c>
      <c r="E1850">
        <v>45.73</v>
      </c>
      <c r="F1850">
        <v>143.5</v>
      </c>
      <c r="K1850" s="3"/>
      <c r="O1850" s="3"/>
    </row>
    <row r="1851" spans="1:15">
      <c r="A1851" s="3">
        <v>38375</v>
      </c>
      <c r="B1851" s="3">
        <v>38375</v>
      </c>
      <c r="C1851">
        <v>130.08000000000001</v>
      </c>
      <c r="D1851">
        <v>1.3039000000000001</v>
      </c>
      <c r="E1851">
        <v>45.73</v>
      </c>
      <c r="F1851">
        <v>143.5</v>
      </c>
      <c r="K1851" s="3"/>
      <c r="O1851" s="3"/>
    </row>
    <row r="1852" spans="1:15">
      <c r="A1852" s="3">
        <v>38376</v>
      </c>
      <c r="B1852" s="3">
        <v>38376</v>
      </c>
      <c r="C1852">
        <v>130.22</v>
      </c>
      <c r="D1852">
        <v>1.306</v>
      </c>
      <c r="E1852">
        <v>46.01</v>
      </c>
      <c r="F1852">
        <v>143</v>
      </c>
      <c r="K1852" s="3"/>
      <c r="O1852" s="3"/>
    </row>
    <row r="1853" spans="1:15">
      <c r="A1853" s="3">
        <v>38377</v>
      </c>
      <c r="B1853" s="3">
        <v>38377</v>
      </c>
      <c r="C1853">
        <v>130.36000000000001</v>
      </c>
      <c r="D1853">
        <v>1.2972999999999999</v>
      </c>
      <c r="E1853">
        <v>46.96</v>
      </c>
      <c r="F1853">
        <v>142.9</v>
      </c>
      <c r="K1853" s="3"/>
      <c r="O1853" s="3"/>
    </row>
    <row r="1854" spans="1:15">
      <c r="A1854" s="3">
        <v>38378</v>
      </c>
      <c r="B1854" s="3">
        <v>38378</v>
      </c>
      <c r="C1854">
        <v>130.58000000000001</v>
      </c>
      <c r="D1854">
        <v>1.3072999999999999</v>
      </c>
      <c r="E1854">
        <v>46.51</v>
      </c>
      <c r="F1854">
        <v>143.55000000000001</v>
      </c>
      <c r="K1854" s="3"/>
      <c r="O1854" s="3"/>
    </row>
    <row r="1855" spans="1:15">
      <c r="A1855" s="3">
        <v>38379</v>
      </c>
      <c r="B1855" s="3">
        <v>38379</v>
      </c>
      <c r="C1855">
        <v>130.52000000000001</v>
      </c>
      <c r="D1855">
        <v>1.3046</v>
      </c>
      <c r="E1855">
        <v>46.44</v>
      </c>
      <c r="F1855">
        <v>142.69999999999999</v>
      </c>
      <c r="K1855" s="3"/>
      <c r="O1855" s="3"/>
    </row>
    <row r="1856" spans="1:15">
      <c r="A1856" s="3">
        <v>38380</v>
      </c>
      <c r="B1856" s="3">
        <v>38380</v>
      </c>
      <c r="C1856">
        <v>130.26</v>
      </c>
      <c r="D1856">
        <v>1.3038000000000001</v>
      </c>
      <c r="E1856">
        <v>44.95</v>
      </c>
      <c r="F1856">
        <v>143.85</v>
      </c>
      <c r="K1856" s="3"/>
      <c r="O1856" s="3"/>
    </row>
    <row r="1857" spans="1:15">
      <c r="A1857" s="3">
        <v>38381</v>
      </c>
      <c r="B1857" s="3">
        <v>38381</v>
      </c>
      <c r="C1857">
        <v>130.26</v>
      </c>
      <c r="D1857">
        <v>1.3038000000000001</v>
      </c>
      <c r="E1857">
        <v>44.95</v>
      </c>
      <c r="F1857">
        <v>143.85</v>
      </c>
      <c r="K1857" s="3"/>
      <c r="O1857" s="3"/>
    </row>
    <row r="1858" spans="1:15">
      <c r="A1858" s="3">
        <v>38382</v>
      </c>
      <c r="B1858" s="3">
        <v>38382</v>
      </c>
      <c r="C1858">
        <v>130.26</v>
      </c>
      <c r="D1858">
        <v>1.3038000000000001</v>
      </c>
      <c r="E1858">
        <v>44.95</v>
      </c>
      <c r="F1858">
        <v>143.85</v>
      </c>
      <c r="K1858" s="3"/>
      <c r="O1858" s="3"/>
    </row>
    <row r="1859" spans="1:15">
      <c r="A1859" s="3">
        <v>38383</v>
      </c>
      <c r="B1859" s="3">
        <v>38383</v>
      </c>
      <c r="C1859">
        <v>130.04</v>
      </c>
      <c r="D1859">
        <v>1.3039000000000001</v>
      </c>
      <c r="E1859">
        <v>45.92</v>
      </c>
      <c r="F1859">
        <v>143.5</v>
      </c>
      <c r="K1859" s="3"/>
      <c r="O1859" s="3"/>
    </row>
    <row r="1860" spans="1:15">
      <c r="A1860" s="3">
        <v>38384</v>
      </c>
      <c r="B1860" s="3">
        <v>38384</v>
      </c>
      <c r="C1860">
        <v>130.06</v>
      </c>
      <c r="D1860">
        <v>1.3047</v>
      </c>
      <c r="E1860">
        <v>44.82</v>
      </c>
      <c r="F1860">
        <v>141.6</v>
      </c>
      <c r="K1860" s="3"/>
      <c r="O1860" s="3"/>
    </row>
    <row r="1861" spans="1:15">
      <c r="A1861" s="3">
        <v>38385</v>
      </c>
      <c r="B1861" s="3">
        <v>38385</v>
      </c>
      <c r="C1861">
        <v>130.12</v>
      </c>
      <c r="D1861">
        <v>1.3027</v>
      </c>
      <c r="E1861">
        <v>44.01</v>
      </c>
      <c r="F1861">
        <v>139.35</v>
      </c>
      <c r="K1861" s="3"/>
      <c r="O1861" s="3"/>
    </row>
    <row r="1862" spans="1:15">
      <c r="A1862" s="3">
        <v>38386</v>
      </c>
      <c r="B1862" s="3">
        <v>38386</v>
      </c>
      <c r="C1862">
        <v>130.02000000000001</v>
      </c>
      <c r="D1862">
        <v>1.2975000000000001</v>
      </c>
      <c r="E1862">
        <v>43.85</v>
      </c>
      <c r="F1862">
        <v>138.85</v>
      </c>
      <c r="K1862" s="3"/>
      <c r="O1862" s="3"/>
    </row>
    <row r="1863" spans="1:15">
      <c r="A1863" s="3">
        <v>38387</v>
      </c>
      <c r="B1863" s="3">
        <v>38387</v>
      </c>
      <c r="C1863">
        <v>129.94</v>
      </c>
      <c r="D1863">
        <v>1.2868999999999999</v>
      </c>
      <c r="E1863">
        <v>43.89</v>
      </c>
      <c r="F1863">
        <v>137.55000000000001</v>
      </c>
      <c r="K1863" s="3"/>
      <c r="O1863" s="3"/>
    </row>
    <row r="1864" spans="1:15">
      <c r="A1864" s="3">
        <v>38388</v>
      </c>
      <c r="B1864" s="3">
        <v>38388</v>
      </c>
      <c r="C1864">
        <v>129.94</v>
      </c>
      <c r="D1864">
        <v>1.2868999999999999</v>
      </c>
      <c r="E1864">
        <v>43.89</v>
      </c>
      <c r="F1864">
        <v>137.55000000000001</v>
      </c>
      <c r="K1864" s="3"/>
      <c r="O1864" s="3"/>
    </row>
    <row r="1865" spans="1:15">
      <c r="A1865" s="3">
        <v>38389</v>
      </c>
      <c r="B1865" s="3">
        <v>38389</v>
      </c>
      <c r="C1865">
        <v>129.94</v>
      </c>
      <c r="D1865">
        <v>1.2868999999999999</v>
      </c>
      <c r="E1865">
        <v>43.89</v>
      </c>
      <c r="F1865">
        <v>137.55000000000001</v>
      </c>
      <c r="K1865" s="3"/>
      <c r="O1865" s="3"/>
    </row>
    <row r="1866" spans="1:15">
      <c r="A1866" s="3">
        <v>38390</v>
      </c>
      <c r="B1866" s="3">
        <v>38390</v>
      </c>
      <c r="C1866">
        <v>129.97999999999999</v>
      </c>
      <c r="D1866">
        <v>1.2757000000000001</v>
      </c>
      <c r="E1866">
        <v>43.04</v>
      </c>
      <c r="F1866">
        <v>138.85</v>
      </c>
      <c r="K1866" s="3"/>
      <c r="O1866" s="3"/>
    </row>
    <row r="1867" spans="1:15">
      <c r="A1867" s="3">
        <v>38391</v>
      </c>
      <c r="B1867" s="3">
        <v>38391</v>
      </c>
      <c r="C1867">
        <v>130.18</v>
      </c>
      <c r="D1867">
        <v>1.2762</v>
      </c>
      <c r="E1867">
        <v>43.07</v>
      </c>
      <c r="F1867">
        <v>138.80000000000001</v>
      </c>
      <c r="K1867" s="3"/>
      <c r="O1867" s="3"/>
    </row>
    <row r="1868" spans="1:15">
      <c r="A1868" s="3">
        <v>38392</v>
      </c>
      <c r="B1868" s="3">
        <v>38392</v>
      </c>
      <c r="C1868">
        <v>130.07</v>
      </c>
      <c r="D1868">
        <v>1.2805</v>
      </c>
      <c r="E1868">
        <v>43.13</v>
      </c>
      <c r="F1868">
        <v>138.69999999999999</v>
      </c>
      <c r="K1868" s="3"/>
      <c r="O1868" s="3"/>
    </row>
    <row r="1869" spans="1:15">
      <c r="A1869" s="3">
        <v>38393</v>
      </c>
      <c r="B1869" s="3">
        <v>38393</v>
      </c>
      <c r="C1869">
        <v>130.02000000000001</v>
      </c>
      <c r="D1869">
        <v>1.2874000000000001</v>
      </c>
      <c r="E1869">
        <v>44.48</v>
      </c>
      <c r="F1869">
        <v>142.5</v>
      </c>
      <c r="K1869" s="3"/>
      <c r="O1869" s="3"/>
    </row>
    <row r="1870" spans="1:15">
      <c r="A1870" s="3">
        <v>38394</v>
      </c>
      <c r="B1870" s="3">
        <v>38394</v>
      </c>
      <c r="C1870">
        <v>130.1</v>
      </c>
      <c r="D1870">
        <v>1.2866</v>
      </c>
      <c r="E1870">
        <v>44.8</v>
      </c>
      <c r="F1870">
        <v>142.25</v>
      </c>
      <c r="K1870" s="3"/>
      <c r="O1870" s="3"/>
    </row>
    <row r="1871" spans="1:15">
      <c r="A1871" s="3">
        <v>38395</v>
      </c>
      <c r="B1871" s="3">
        <v>38395</v>
      </c>
      <c r="C1871">
        <v>130.1</v>
      </c>
      <c r="D1871">
        <v>1.2866</v>
      </c>
      <c r="E1871">
        <v>44.8</v>
      </c>
      <c r="F1871">
        <v>142.25</v>
      </c>
      <c r="K1871" s="3"/>
      <c r="O1871" s="3"/>
    </row>
    <row r="1872" spans="1:15">
      <c r="A1872" s="3">
        <v>38396</v>
      </c>
      <c r="B1872" s="3">
        <v>38396</v>
      </c>
      <c r="C1872">
        <v>130.1</v>
      </c>
      <c r="D1872">
        <v>1.2866</v>
      </c>
      <c r="E1872">
        <v>44.8</v>
      </c>
      <c r="F1872">
        <v>142.25</v>
      </c>
      <c r="K1872" s="3"/>
      <c r="O1872" s="3"/>
    </row>
    <row r="1873" spans="1:15">
      <c r="A1873" s="3">
        <v>38397</v>
      </c>
      <c r="B1873" s="3">
        <v>38397</v>
      </c>
      <c r="C1873">
        <v>130.47999999999999</v>
      </c>
      <c r="D1873">
        <v>1.2976000000000001</v>
      </c>
      <c r="E1873">
        <v>45.53</v>
      </c>
      <c r="F1873">
        <v>143.94999999999999</v>
      </c>
      <c r="K1873" s="3"/>
      <c r="O1873" s="3"/>
    </row>
    <row r="1874" spans="1:15">
      <c r="A1874" s="3">
        <v>38398</v>
      </c>
      <c r="B1874" s="3">
        <v>38398</v>
      </c>
      <c r="C1874">
        <v>130.69999999999999</v>
      </c>
      <c r="D1874">
        <v>1.3027</v>
      </c>
      <c r="E1874">
        <v>45.39</v>
      </c>
      <c r="F1874">
        <v>145.85</v>
      </c>
      <c r="K1874" s="3"/>
      <c r="O1874" s="3"/>
    </row>
    <row r="1875" spans="1:15">
      <c r="A1875" s="3">
        <v>38399</v>
      </c>
      <c r="B1875" s="3">
        <v>38399</v>
      </c>
      <c r="C1875">
        <v>130.66999999999999</v>
      </c>
      <c r="D1875">
        <v>1.3028999999999999</v>
      </c>
      <c r="E1875">
        <v>46.15</v>
      </c>
      <c r="F1875">
        <v>144.80000000000001</v>
      </c>
      <c r="K1875" s="3"/>
      <c r="O1875" s="3"/>
    </row>
    <row r="1876" spans="1:15">
      <c r="A1876" s="3">
        <v>38400</v>
      </c>
      <c r="B1876" s="3">
        <v>38400</v>
      </c>
      <c r="C1876">
        <v>130.18</v>
      </c>
      <c r="D1876">
        <v>1.3070999999999999</v>
      </c>
      <c r="E1876">
        <v>45.82</v>
      </c>
      <c r="F1876">
        <v>149.35</v>
      </c>
      <c r="K1876" s="3"/>
      <c r="O1876" s="3"/>
    </row>
    <row r="1877" spans="1:15">
      <c r="A1877" s="3">
        <v>38401</v>
      </c>
      <c r="B1877" s="3">
        <v>38401</v>
      </c>
      <c r="C1877">
        <v>130.1</v>
      </c>
      <c r="D1877">
        <v>1.3071999999999999</v>
      </c>
      <c r="E1877">
        <v>46.34</v>
      </c>
      <c r="F1877">
        <v>149.19999999999999</v>
      </c>
      <c r="K1877" s="3"/>
      <c r="O1877" s="3"/>
    </row>
    <row r="1878" spans="1:15">
      <c r="A1878" s="3">
        <v>38402</v>
      </c>
      <c r="B1878" s="3">
        <v>38402</v>
      </c>
      <c r="C1878">
        <v>130.1</v>
      </c>
      <c r="D1878">
        <v>1.3071999999999999</v>
      </c>
      <c r="E1878">
        <v>46.34</v>
      </c>
      <c r="F1878">
        <v>149.19999999999999</v>
      </c>
      <c r="K1878" s="3"/>
      <c r="O1878" s="3"/>
    </row>
    <row r="1879" spans="1:15">
      <c r="A1879" s="3">
        <v>38403</v>
      </c>
      <c r="B1879" s="3">
        <v>38403</v>
      </c>
      <c r="C1879">
        <v>130.1</v>
      </c>
      <c r="D1879">
        <v>1.3071999999999999</v>
      </c>
      <c r="E1879">
        <v>46.34</v>
      </c>
      <c r="F1879">
        <v>149.19999999999999</v>
      </c>
      <c r="K1879" s="3"/>
      <c r="O1879" s="3"/>
    </row>
    <row r="1880" spans="1:15">
      <c r="A1880" s="3">
        <v>38404</v>
      </c>
      <c r="B1880" s="3">
        <v>38404</v>
      </c>
      <c r="C1880">
        <v>130.07</v>
      </c>
      <c r="D1880">
        <v>1.3069</v>
      </c>
      <c r="E1880">
        <v>46.73</v>
      </c>
      <c r="F1880">
        <v>149.19999999999999</v>
      </c>
      <c r="K1880" s="3"/>
      <c r="O1880" s="3"/>
    </row>
    <row r="1881" spans="1:15">
      <c r="A1881" s="3">
        <v>38405</v>
      </c>
      <c r="B1881" s="3">
        <v>38405</v>
      </c>
      <c r="C1881">
        <v>130.13</v>
      </c>
      <c r="D1881">
        <v>1.3259000000000001</v>
      </c>
      <c r="E1881">
        <v>48.62</v>
      </c>
      <c r="F1881">
        <v>148.94999999999999</v>
      </c>
      <c r="K1881" s="3"/>
      <c r="O1881" s="3"/>
    </row>
    <row r="1882" spans="1:15">
      <c r="A1882" s="3">
        <v>38406</v>
      </c>
      <c r="B1882" s="3">
        <v>38406</v>
      </c>
      <c r="C1882">
        <v>130.13</v>
      </c>
      <c r="D1882">
        <v>1.3216000000000001</v>
      </c>
      <c r="E1882">
        <v>48.51</v>
      </c>
      <c r="F1882">
        <v>150</v>
      </c>
      <c r="K1882" s="3"/>
      <c r="O1882" s="3"/>
    </row>
    <row r="1883" spans="1:15">
      <c r="A1883" s="3">
        <v>38407</v>
      </c>
      <c r="B1883" s="3">
        <v>38407</v>
      </c>
      <c r="C1883">
        <v>130.1</v>
      </c>
      <c r="D1883">
        <v>1.3198000000000001</v>
      </c>
      <c r="E1883">
        <v>49.44</v>
      </c>
      <c r="F1883">
        <v>148.30000000000001</v>
      </c>
      <c r="K1883" s="3"/>
      <c r="O1883" s="3"/>
    </row>
    <row r="1884" spans="1:15">
      <c r="A1884" s="3">
        <v>38408</v>
      </c>
      <c r="B1884" s="3">
        <v>38408</v>
      </c>
      <c r="C1884">
        <v>130.19</v>
      </c>
      <c r="D1884">
        <v>1.3245</v>
      </c>
      <c r="E1884">
        <v>49.61</v>
      </c>
      <c r="F1884">
        <v>148.9</v>
      </c>
      <c r="K1884" s="3"/>
      <c r="O1884" s="3"/>
    </row>
    <row r="1885" spans="1:15">
      <c r="A1885" s="3">
        <v>38409</v>
      </c>
      <c r="B1885" s="3">
        <v>38409</v>
      </c>
      <c r="C1885">
        <v>130.19</v>
      </c>
      <c r="D1885">
        <v>1.3245</v>
      </c>
      <c r="E1885">
        <v>49.61</v>
      </c>
      <c r="F1885">
        <v>148.9</v>
      </c>
      <c r="K1885" s="3"/>
      <c r="O1885" s="3"/>
    </row>
    <row r="1886" spans="1:15">
      <c r="A1886" s="3">
        <v>38410</v>
      </c>
      <c r="B1886" s="3">
        <v>38410</v>
      </c>
      <c r="C1886">
        <v>130.19</v>
      </c>
      <c r="D1886">
        <v>1.3245</v>
      </c>
      <c r="E1886">
        <v>49.61</v>
      </c>
      <c r="F1886">
        <v>148.9</v>
      </c>
      <c r="K1886" s="3"/>
      <c r="O1886" s="3"/>
    </row>
    <row r="1887" spans="1:15">
      <c r="A1887" s="3">
        <v>38411</v>
      </c>
      <c r="B1887" s="3">
        <v>38411</v>
      </c>
      <c r="C1887">
        <v>130.12</v>
      </c>
      <c r="D1887">
        <v>1.3228</v>
      </c>
      <c r="E1887">
        <v>50.06</v>
      </c>
      <c r="F1887">
        <v>150</v>
      </c>
      <c r="K1887" s="3"/>
      <c r="O1887" s="3"/>
    </row>
    <row r="1888" spans="1:15">
      <c r="A1888" s="3">
        <v>38412</v>
      </c>
      <c r="B1888" s="3">
        <v>38412</v>
      </c>
      <c r="C1888">
        <v>130.29</v>
      </c>
      <c r="D1888">
        <v>1.3188</v>
      </c>
      <c r="E1888">
        <v>50.11</v>
      </c>
      <c r="F1888">
        <v>146.44999999999999</v>
      </c>
      <c r="K1888" s="3"/>
      <c r="O1888" s="3"/>
    </row>
    <row r="1889" spans="1:15">
      <c r="A1889" s="3">
        <v>38413</v>
      </c>
      <c r="B1889" s="3">
        <v>38413</v>
      </c>
      <c r="C1889">
        <v>130.53</v>
      </c>
      <c r="D1889">
        <v>1.3142</v>
      </c>
      <c r="E1889">
        <v>51.22</v>
      </c>
      <c r="F1889">
        <v>147.69999999999999</v>
      </c>
      <c r="K1889" s="3"/>
      <c r="O1889" s="3"/>
    </row>
    <row r="1890" spans="1:15">
      <c r="A1890" s="3">
        <v>38414</v>
      </c>
      <c r="B1890" s="3">
        <v>38414</v>
      </c>
      <c r="C1890">
        <v>130.4</v>
      </c>
      <c r="D1890">
        <v>1.3109999999999999</v>
      </c>
      <c r="E1890">
        <v>51.95</v>
      </c>
      <c r="F1890">
        <v>147.5</v>
      </c>
      <c r="K1890" s="3"/>
      <c r="O1890" s="3"/>
    </row>
    <row r="1891" spans="1:15">
      <c r="A1891" s="3">
        <v>38415</v>
      </c>
      <c r="B1891" s="3">
        <v>38415</v>
      </c>
      <c r="C1891">
        <v>130.12</v>
      </c>
      <c r="D1891">
        <v>1.3237000000000001</v>
      </c>
      <c r="E1891">
        <v>51.8</v>
      </c>
      <c r="F1891">
        <v>149.19999999999999</v>
      </c>
      <c r="K1891" s="3"/>
      <c r="O1891" s="3"/>
    </row>
    <row r="1892" spans="1:15">
      <c r="A1892" s="3">
        <v>38416</v>
      </c>
      <c r="B1892" s="3">
        <v>38416</v>
      </c>
      <c r="C1892">
        <v>130.12</v>
      </c>
      <c r="D1892">
        <v>1.3237000000000001</v>
      </c>
      <c r="E1892">
        <v>51.8</v>
      </c>
      <c r="F1892">
        <v>149.19999999999999</v>
      </c>
      <c r="K1892" s="3"/>
      <c r="O1892" s="3"/>
    </row>
    <row r="1893" spans="1:15">
      <c r="A1893" s="3">
        <v>38417</v>
      </c>
      <c r="B1893" s="3">
        <v>38417</v>
      </c>
      <c r="C1893">
        <v>130.12</v>
      </c>
      <c r="D1893">
        <v>1.3237000000000001</v>
      </c>
      <c r="E1893">
        <v>51.8</v>
      </c>
      <c r="F1893">
        <v>149.19999999999999</v>
      </c>
      <c r="K1893" s="3"/>
      <c r="O1893" s="3"/>
    </row>
    <row r="1894" spans="1:15">
      <c r="A1894" s="3">
        <v>38418</v>
      </c>
      <c r="B1894" s="3">
        <v>38418</v>
      </c>
      <c r="C1894">
        <v>130.12</v>
      </c>
      <c r="D1894">
        <v>1.3213999999999999</v>
      </c>
      <c r="E1894">
        <v>52.09</v>
      </c>
      <c r="F1894">
        <v>149.44999999999999</v>
      </c>
      <c r="K1894" s="3"/>
      <c r="O1894" s="3"/>
    </row>
    <row r="1895" spans="1:15">
      <c r="A1895" s="3">
        <v>38419</v>
      </c>
      <c r="B1895" s="3">
        <v>38419</v>
      </c>
      <c r="C1895">
        <v>130.12</v>
      </c>
      <c r="D1895">
        <v>1.3344</v>
      </c>
      <c r="E1895">
        <v>52.84</v>
      </c>
      <c r="F1895">
        <v>149.75</v>
      </c>
      <c r="K1895" s="3"/>
      <c r="O1895" s="3"/>
    </row>
    <row r="1896" spans="1:15">
      <c r="A1896" s="3">
        <v>38420</v>
      </c>
      <c r="B1896" s="3">
        <v>38420</v>
      </c>
      <c r="C1896">
        <v>130.03</v>
      </c>
      <c r="D1896">
        <v>1.3391999999999999</v>
      </c>
      <c r="E1896">
        <v>53.38</v>
      </c>
      <c r="F1896">
        <v>150.19999999999999</v>
      </c>
      <c r="K1896" s="3"/>
      <c r="O1896" s="3"/>
    </row>
    <row r="1897" spans="1:15">
      <c r="A1897" s="3">
        <v>38421</v>
      </c>
      <c r="B1897" s="3">
        <v>38421</v>
      </c>
      <c r="C1897">
        <v>129.91999999999999</v>
      </c>
      <c r="D1897">
        <v>1.3418000000000001</v>
      </c>
      <c r="E1897">
        <v>52.66</v>
      </c>
      <c r="F1897">
        <v>149.5</v>
      </c>
      <c r="K1897" s="3"/>
      <c r="O1897" s="3"/>
    </row>
    <row r="1898" spans="1:15">
      <c r="A1898" s="3">
        <v>38422</v>
      </c>
      <c r="B1898" s="3">
        <v>38422</v>
      </c>
      <c r="C1898">
        <v>129.94999999999999</v>
      </c>
      <c r="D1898">
        <v>1.3458000000000001</v>
      </c>
      <c r="E1898">
        <v>53.1</v>
      </c>
      <c r="F1898">
        <v>148.1</v>
      </c>
      <c r="K1898" s="3"/>
      <c r="O1898" s="3"/>
    </row>
    <row r="1899" spans="1:15">
      <c r="A1899" s="3">
        <v>38423</v>
      </c>
      <c r="B1899" s="3">
        <v>38423</v>
      </c>
      <c r="C1899">
        <v>129.94999999999999</v>
      </c>
      <c r="D1899">
        <v>1.3458000000000001</v>
      </c>
      <c r="E1899">
        <v>53.1</v>
      </c>
      <c r="F1899">
        <v>148.1</v>
      </c>
      <c r="K1899" s="3"/>
      <c r="O1899" s="3"/>
    </row>
    <row r="1900" spans="1:15">
      <c r="A1900" s="3">
        <v>38424</v>
      </c>
      <c r="B1900" s="3">
        <v>38424</v>
      </c>
      <c r="C1900">
        <v>129.94999999999999</v>
      </c>
      <c r="D1900">
        <v>1.3458000000000001</v>
      </c>
      <c r="E1900">
        <v>53.1</v>
      </c>
      <c r="F1900">
        <v>148.1</v>
      </c>
      <c r="K1900" s="3"/>
      <c r="O1900" s="3"/>
    </row>
    <row r="1901" spans="1:15">
      <c r="A1901" s="3">
        <v>38425</v>
      </c>
      <c r="B1901" s="3">
        <v>38425</v>
      </c>
      <c r="C1901">
        <v>129.96</v>
      </c>
      <c r="D1901">
        <v>1.3369</v>
      </c>
      <c r="E1901">
        <v>53.66</v>
      </c>
      <c r="F1901">
        <v>147.5</v>
      </c>
      <c r="K1901" s="3"/>
      <c r="O1901" s="3"/>
    </row>
    <row r="1902" spans="1:15">
      <c r="A1902" s="3">
        <v>38426</v>
      </c>
      <c r="B1902" s="3">
        <v>38426</v>
      </c>
      <c r="C1902">
        <v>130.1</v>
      </c>
      <c r="D1902">
        <v>1.3307</v>
      </c>
      <c r="E1902">
        <v>53.85</v>
      </c>
      <c r="F1902">
        <v>149.55000000000001</v>
      </c>
      <c r="K1902" s="3"/>
      <c r="O1902" s="3"/>
    </row>
    <row r="1903" spans="1:15">
      <c r="A1903" s="3">
        <v>38427</v>
      </c>
      <c r="B1903" s="3">
        <v>38427</v>
      </c>
      <c r="C1903">
        <v>130.26</v>
      </c>
      <c r="D1903">
        <v>1.3416999999999999</v>
      </c>
      <c r="E1903">
        <v>54.8</v>
      </c>
      <c r="F1903">
        <v>150.6</v>
      </c>
      <c r="K1903" s="3"/>
      <c r="O1903" s="3"/>
    </row>
    <row r="1904" spans="1:15">
      <c r="A1904" s="3">
        <v>38428</v>
      </c>
      <c r="B1904" s="3">
        <v>38428</v>
      </c>
      <c r="C1904">
        <v>130.41</v>
      </c>
      <c r="D1904">
        <v>1.3376999999999999</v>
      </c>
      <c r="E1904">
        <v>55.06</v>
      </c>
      <c r="F1904">
        <v>150.6</v>
      </c>
      <c r="K1904" s="3"/>
      <c r="O1904" s="3"/>
    </row>
    <row r="1905" spans="1:15">
      <c r="A1905" s="3">
        <v>38429</v>
      </c>
      <c r="B1905" s="3">
        <v>38429</v>
      </c>
      <c r="C1905">
        <v>130.51</v>
      </c>
      <c r="D1905">
        <v>1.3326</v>
      </c>
      <c r="E1905">
        <v>55.59</v>
      </c>
      <c r="F1905">
        <v>150.75</v>
      </c>
      <c r="K1905" s="3"/>
      <c r="O1905" s="3"/>
    </row>
    <row r="1906" spans="1:15">
      <c r="A1906" s="3">
        <v>38430</v>
      </c>
      <c r="B1906" s="3">
        <v>38430</v>
      </c>
      <c r="C1906">
        <v>130.51</v>
      </c>
      <c r="D1906">
        <v>1.3326</v>
      </c>
      <c r="E1906">
        <v>55.59</v>
      </c>
      <c r="F1906">
        <v>150.75</v>
      </c>
      <c r="K1906" s="3"/>
      <c r="O1906" s="3"/>
    </row>
    <row r="1907" spans="1:15">
      <c r="A1907" s="3">
        <v>38431</v>
      </c>
      <c r="B1907" s="3">
        <v>38431</v>
      </c>
      <c r="C1907">
        <v>130.51</v>
      </c>
      <c r="D1907">
        <v>1.3326</v>
      </c>
      <c r="E1907">
        <v>55.59</v>
      </c>
      <c r="F1907">
        <v>150.75</v>
      </c>
      <c r="K1907" s="3"/>
      <c r="O1907" s="3"/>
    </row>
    <row r="1908" spans="1:15">
      <c r="A1908" s="3">
        <v>38432</v>
      </c>
      <c r="B1908" s="3">
        <v>38432</v>
      </c>
      <c r="C1908">
        <v>130.51</v>
      </c>
      <c r="D1908">
        <v>1.3157000000000001</v>
      </c>
      <c r="E1908">
        <v>55.65</v>
      </c>
      <c r="F1908">
        <v>148.9</v>
      </c>
      <c r="K1908" s="3"/>
      <c r="O1908" s="3"/>
    </row>
    <row r="1909" spans="1:15">
      <c r="A1909" s="3">
        <v>38433</v>
      </c>
      <c r="B1909" s="3">
        <v>38433</v>
      </c>
      <c r="C1909">
        <v>130.51</v>
      </c>
      <c r="D1909">
        <v>1.3087</v>
      </c>
      <c r="E1909">
        <v>54.59</v>
      </c>
      <c r="F1909">
        <v>149.85</v>
      </c>
      <c r="K1909" s="3"/>
      <c r="O1909" s="3"/>
    </row>
    <row r="1910" spans="1:15">
      <c r="A1910" s="3">
        <v>38434</v>
      </c>
      <c r="B1910" s="3">
        <v>38434</v>
      </c>
      <c r="C1910">
        <v>130.57</v>
      </c>
      <c r="D1910">
        <v>1.2986</v>
      </c>
      <c r="E1910">
        <v>53.04</v>
      </c>
      <c r="F1910">
        <v>144.69999999999999</v>
      </c>
      <c r="K1910" s="3"/>
      <c r="O1910" s="3"/>
    </row>
    <row r="1911" spans="1:15">
      <c r="A1911" s="3">
        <v>38435</v>
      </c>
      <c r="B1911" s="3">
        <v>38435</v>
      </c>
      <c r="C1911">
        <v>131</v>
      </c>
      <c r="D1911">
        <v>1.2939000000000001</v>
      </c>
      <c r="E1911">
        <v>53.93</v>
      </c>
      <c r="F1911">
        <v>145.94999999999999</v>
      </c>
      <c r="K1911" s="3"/>
      <c r="O1911" s="3"/>
    </row>
    <row r="1912" spans="1:15">
      <c r="A1912" s="3">
        <v>38436</v>
      </c>
      <c r="B1912" s="3">
        <v>38436</v>
      </c>
      <c r="C1912">
        <v>131</v>
      </c>
      <c r="D1912">
        <v>1.2959000000000001</v>
      </c>
      <c r="E1912">
        <v>53.93</v>
      </c>
      <c r="F1912">
        <v>145.94999999999999</v>
      </c>
      <c r="K1912" s="3"/>
      <c r="O1912" s="3"/>
    </row>
    <row r="1913" spans="1:15">
      <c r="A1913" s="3">
        <v>38437</v>
      </c>
      <c r="B1913" s="3">
        <v>38437</v>
      </c>
      <c r="C1913">
        <v>131</v>
      </c>
      <c r="D1913">
        <v>1.2959000000000001</v>
      </c>
      <c r="E1913">
        <v>53.93</v>
      </c>
      <c r="F1913">
        <v>145.94999999999999</v>
      </c>
      <c r="K1913" s="3"/>
      <c r="O1913" s="3"/>
    </row>
    <row r="1914" spans="1:15">
      <c r="A1914" s="3">
        <v>38438</v>
      </c>
      <c r="B1914" s="3">
        <v>38438</v>
      </c>
      <c r="C1914">
        <v>131</v>
      </c>
      <c r="D1914">
        <v>1.2959000000000001</v>
      </c>
      <c r="E1914">
        <v>53.93</v>
      </c>
      <c r="F1914">
        <v>145.94999999999999</v>
      </c>
      <c r="K1914" s="3"/>
      <c r="O1914" s="3"/>
    </row>
    <row r="1915" spans="1:15">
      <c r="A1915" s="3">
        <v>38439</v>
      </c>
      <c r="B1915" s="3">
        <v>38439</v>
      </c>
      <c r="C1915">
        <v>132.13</v>
      </c>
      <c r="D1915">
        <v>1.2898000000000001</v>
      </c>
      <c r="E1915">
        <v>53.93</v>
      </c>
      <c r="F1915">
        <v>146.05000000000001</v>
      </c>
      <c r="K1915" s="3"/>
      <c r="O1915" s="3"/>
    </row>
    <row r="1916" spans="1:15">
      <c r="A1916" s="3">
        <v>38440</v>
      </c>
      <c r="B1916" s="3">
        <v>38440</v>
      </c>
      <c r="C1916">
        <v>132.61000000000001</v>
      </c>
      <c r="D1916">
        <v>1.2922</v>
      </c>
      <c r="E1916">
        <v>53.03</v>
      </c>
      <c r="F1916">
        <v>147.65</v>
      </c>
      <c r="K1916" s="3"/>
      <c r="O1916" s="3"/>
    </row>
    <row r="1917" spans="1:15">
      <c r="A1917" s="3">
        <v>38441</v>
      </c>
      <c r="B1917" s="3">
        <v>38441</v>
      </c>
      <c r="C1917">
        <v>132.37</v>
      </c>
      <c r="D1917">
        <v>1.2915000000000001</v>
      </c>
      <c r="E1917">
        <v>52.09</v>
      </c>
      <c r="F1917">
        <v>149.19999999999999</v>
      </c>
      <c r="K1917" s="3"/>
      <c r="O1917" s="3"/>
    </row>
    <row r="1918" spans="1:15">
      <c r="A1918" s="3">
        <v>38442</v>
      </c>
      <c r="B1918" s="3">
        <v>38442</v>
      </c>
      <c r="C1918">
        <v>132.58000000000001</v>
      </c>
      <c r="D1918">
        <v>1.2964</v>
      </c>
      <c r="E1918">
        <v>54.29</v>
      </c>
      <c r="F1918">
        <v>150.25</v>
      </c>
      <c r="K1918" s="3"/>
      <c r="O1918" s="3"/>
    </row>
    <row r="1919" spans="1:15">
      <c r="A1919" s="3">
        <v>38443</v>
      </c>
      <c r="B1919" s="3">
        <v>38443</v>
      </c>
      <c r="C1919">
        <v>132.1</v>
      </c>
      <c r="D1919">
        <v>1.2914000000000001</v>
      </c>
      <c r="E1919">
        <v>56.51</v>
      </c>
      <c r="F1919">
        <v>148.44999999999999</v>
      </c>
      <c r="K1919" s="3"/>
      <c r="O1919" s="3"/>
    </row>
    <row r="1920" spans="1:15">
      <c r="A1920" s="3">
        <v>38444</v>
      </c>
      <c r="B1920" s="3">
        <v>38444</v>
      </c>
      <c r="C1920">
        <v>132.1</v>
      </c>
      <c r="D1920">
        <v>1.2914000000000001</v>
      </c>
      <c r="E1920">
        <v>56.51</v>
      </c>
      <c r="F1920">
        <v>148.44999999999999</v>
      </c>
      <c r="K1920" s="3"/>
      <c r="O1920" s="3"/>
    </row>
    <row r="1921" spans="1:15">
      <c r="A1921" s="3">
        <v>38445</v>
      </c>
      <c r="B1921" s="3">
        <v>38445</v>
      </c>
      <c r="C1921">
        <v>132.1</v>
      </c>
      <c r="D1921">
        <v>1.2914000000000001</v>
      </c>
      <c r="E1921">
        <v>56.51</v>
      </c>
      <c r="F1921">
        <v>148.44999999999999</v>
      </c>
      <c r="K1921" s="3"/>
      <c r="O1921" s="3"/>
    </row>
    <row r="1922" spans="1:15">
      <c r="A1922" s="3">
        <v>38446</v>
      </c>
      <c r="B1922" s="3">
        <v>38446</v>
      </c>
      <c r="C1922">
        <v>131.83000000000001</v>
      </c>
      <c r="D1922">
        <v>1.2847</v>
      </c>
      <c r="E1922">
        <v>56.23</v>
      </c>
      <c r="F1922">
        <v>149.5</v>
      </c>
      <c r="K1922" s="3"/>
      <c r="O1922" s="3"/>
    </row>
    <row r="1923" spans="1:15">
      <c r="A1923" s="3">
        <v>38447</v>
      </c>
      <c r="B1923" s="3">
        <v>38447</v>
      </c>
      <c r="C1923">
        <v>131.38999999999999</v>
      </c>
      <c r="D1923">
        <v>1.2868999999999999</v>
      </c>
      <c r="E1923">
        <v>55.44</v>
      </c>
      <c r="F1923">
        <v>148.44999999999999</v>
      </c>
      <c r="K1923" s="3"/>
      <c r="O1923" s="3"/>
    </row>
    <row r="1924" spans="1:15">
      <c r="A1924" s="3">
        <v>38448</v>
      </c>
      <c r="B1924" s="3">
        <v>38448</v>
      </c>
      <c r="C1924">
        <v>131.41</v>
      </c>
      <c r="D1924">
        <v>1.2870999999999999</v>
      </c>
      <c r="E1924">
        <v>55.27</v>
      </c>
      <c r="F1924">
        <v>150.85</v>
      </c>
      <c r="K1924" s="3"/>
      <c r="O1924" s="3"/>
    </row>
    <row r="1925" spans="1:15">
      <c r="A1925" s="3">
        <v>38449</v>
      </c>
      <c r="B1925" s="3">
        <v>38449</v>
      </c>
      <c r="C1925">
        <v>131.19999999999999</v>
      </c>
      <c r="D1925">
        <v>1.2857000000000001</v>
      </c>
      <c r="E1925">
        <v>54.04</v>
      </c>
      <c r="F1925">
        <v>150.65</v>
      </c>
      <c r="K1925" s="3"/>
      <c r="O1925" s="3"/>
    </row>
    <row r="1926" spans="1:15">
      <c r="A1926" s="3">
        <v>38450</v>
      </c>
      <c r="B1926" s="3">
        <v>38450</v>
      </c>
      <c r="C1926">
        <v>131.07</v>
      </c>
      <c r="D1926">
        <v>1.2931999999999999</v>
      </c>
      <c r="E1926">
        <v>52.89</v>
      </c>
      <c r="F1926">
        <v>150.75</v>
      </c>
      <c r="K1926" s="3"/>
      <c r="O1926" s="3"/>
    </row>
    <row r="1927" spans="1:15">
      <c r="A1927" s="3">
        <v>38451</v>
      </c>
      <c r="B1927" s="3">
        <v>38451</v>
      </c>
      <c r="C1927">
        <v>131.07</v>
      </c>
      <c r="D1927">
        <v>1.2931999999999999</v>
      </c>
      <c r="E1927">
        <v>52.89</v>
      </c>
      <c r="F1927">
        <v>150.75</v>
      </c>
      <c r="K1927" s="3"/>
      <c r="O1927" s="3"/>
    </row>
    <row r="1928" spans="1:15">
      <c r="A1928" s="3">
        <v>38452</v>
      </c>
      <c r="B1928" s="3">
        <v>38452</v>
      </c>
      <c r="C1928">
        <v>131.07</v>
      </c>
      <c r="D1928">
        <v>1.2931999999999999</v>
      </c>
      <c r="E1928">
        <v>52.89</v>
      </c>
      <c r="F1928">
        <v>150.75</v>
      </c>
      <c r="K1928" s="3"/>
      <c r="O1928" s="3"/>
    </row>
    <row r="1929" spans="1:15">
      <c r="A1929" s="3">
        <v>38453</v>
      </c>
      <c r="B1929" s="3">
        <v>38453</v>
      </c>
      <c r="C1929">
        <v>130.83000000000001</v>
      </c>
      <c r="D1929">
        <v>1.2971999999999999</v>
      </c>
      <c r="E1929">
        <v>53.21</v>
      </c>
      <c r="F1929">
        <v>152.5</v>
      </c>
      <c r="K1929" s="3"/>
      <c r="O1929" s="3"/>
    </row>
    <row r="1930" spans="1:15">
      <c r="A1930" s="3">
        <v>38454</v>
      </c>
      <c r="B1930" s="3">
        <v>38454</v>
      </c>
      <c r="C1930">
        <v>130.74</v>
      </c>
      <c r="D1930">
        <v>1.2922</v>
      </c>
      <c r="E1930">
        <v>51.98</v>
      </c>
      <c r="F1930">
        <v>149.6</v>
      </c>
      <c r="K1930" s="3"/>
      <c r="O1930" s="3"/>
    </row>
    <row r="1931" spans="1:15">
      <c r="A1931" s="3">
        <v>38455</v>
      </c>
      <c r="B1931" s="3">
        <v>38455</v>
      </c>
      <c r="C1931">
        <v>130.6</v>
      </c>
      <c r="D1931">
        <v>1.2915000000000001</v>
      </c>
      <c r="E1931">
        <v>50.48</v>
      </c>
      <c r="F1931">
        <v>145.94999999999999</v>
      </c>
      <c r="K1931" s="3"/>
      <c r="O1931" s="3"/>
    </row>
    <row r="1932" spans="1:15">
      <c r="A1932" s="3">
        <v>38456</v>
      </c>
      <c r="B1932" s="3">
        <v>38456</v>
      </c>
      <c r="C1932">
        <v>130.59</v>
      </c>
      <c r="D1932">
        <v>1.2811999999999999</v>
      </c>
      <c r="E1932">
        <v>50.91</v>
      </c>
      <c r="F1932">
        <v>142.85</v>
      </c>
      <c r="K1932" s="3"/>
      <c r="O1932" s="3"/>
    </row>
    <row r="1933" spans="1:15">
      <c r="A1933" s="3">
        <v>38457</v>
      </c>
      <c r="B1933" s="3">
        <v>38457</v>
      </c>
      <c r="C1933">
        <v>130.43</v>
      </c>
      <c r="D1933">
        <v>1.2924</v>
      </c>
      <c r="E1933">
        <v>51.61</v>
      </c>
      <c r="F1933">
        <v>144.5</v>
      </c>
      <c r="K1933" s="3"/>
      <c r="O1933" s="3"/>
    </row>
    <row r="1934" spans="1:15">
      <c r="A1934" s="3">
        <v>38458</v>
      </c>
      <c r="B1934" s="3">
        <v>38458</v>
      </c>
      <c r="C1934">
        <v>130.43</v>
      </c>
      <c r="D1934">
        <v>1.2924</v>
      </c>
      <c r="E1934">
        <v>51.61</v>
      </c>
      <c r="F1934">
        <v>144.5</v>
      </c>
      <c r="K1934" s="3"/>
      <c r="O1934" s="3"/>
    </row>
    <row r="1935" spans="1:15">
      <c r="A1935" s="3">
        <v>38459</v>
      </c>
      <c r="B1935" s="3">
        <v>38459</v>
      </c>
      <c r="C1935">
        <v>130.43</v>
      </c>
      <c r="D1935">
        <v>1.2924</v>
      </c>
      <c r="E1935">
        <v>51.61</v>
      </c>
      <c r="F1935">
        <v>144.5</v>
      </c>
      <c r="K1935" s="3"/>
      <c r="O1935" s="3"/>
    </row>
    <row r="1936" spans="1:15">
      <c r="A1936" s="3">
        <v>38460</v>
      </c>
      <c r="B1936" s="3">
        <v>38460</v>
      </c>
      <c r="C1936">
        <v>130.91</v>
      </c>
      <c r="D1936">
        <v>1.3025</v>
      </c>
      <c r="E1936">
        <v>50.78</v>
      </c>
      <c r="F1936">
        <v>144.5</v>
      </c>
      <c r="K1936" s="3"/>
      <c r="O1936" s="3"/>
    </row>
    <row r="1937" spans="1:15">
      <c r="A1937" s="3">
        <v>38461</v>
      </c>
      <c r="B1937" s="3">
        <v>38461</v>
      </c>
      <c r="C1937">
        <v>131.22</v>
      </c>
      <c r="D1937">
        <v>1.3064</v>
      </c>
      <c r="E1937">
        <v>52.94</v>
      </c>
      <c r="F1937">
        <v>147.15</v>
      </c>
      <c r="K1937" s="3"/>
      <c r="O1937" s="3"/>
    </row>
    <row r="1938" spans="1:15">
      <c r="A1938" s="3">
        <v>38462</v>
      </c>
      <c r="B1938" s="3">
        <v>38462</v>
      </c>
      <c r="C1938">
        <v>131.16</v>
      </c>
      <c r="D1938">
        <v>1.3087</v>
      </c>
      <c r="E1938">
        <v>53.78</v>
      </c>
      <c r="F1938">
        <v>150.94999999999999</v>
      </c>
      <c r="K1938" s="3"/>
      <c r="O1938" s="3"/>
    </row>
    <row r="1939" spans="1:15">
      <c r="A1939" s="3">
        <v>38463</v>
      </c>
      <c r="B1939" s="3">
        <v>38463</v>
      </c>
      <c r="C1939">
        <v>131.28</v>
      </c>
      <c r="D1939">
        <v>1.3047</v>
      </c>
      <c r="E1939">
        <v>54.01</v>
      </c>
      <c r="F1939">
        <v>148.35</v>
      </c>
      <c r="K1939" s="3"/>
      <c r="O1939" s="3"/>
    </row>
    <row r="1940" spans="1:15">
      <c r="A1940" s="3">
        <v>38464</v>
      </c>
      <c r="B1940" s="3">
        <v>38464</v>
      </c>
      <c r="C1940">
        <v>131.69999999999999</v>
      </c>
      <c r="D1940">
        <v>1.3065</v>
      </c>
      <c r="E1940">
        <v>54.97</v>
      </c>
      <c r="F1940">
        <v>148.80000000000001</v>
      </c>
      <c r="K1940" s="3"/>
      <c r="O1940" s="3"/>
    </row>
    <row r="1941" spans="1:15">
      <c r="A1941" s="3">
        <v>38465</v>
      </c>
      <c r="B1941" s="3">
        <v>38465</v>
      </c>
      <c r="C1941">
        <v>131.69999999999999</v>
      </c>
      <c r="D1941">
        <v>1.3065</v>
      </c>
      <c r="E1941">
        <v>54.97</v>
      </c>
      <c r="F1941">
        <v>148.80000000000001</v>
      </c>
      <c r="K1941" s="3"/>
      <c r="O1941" s="3"/>
    </row>
    <row r="1942" spans="1:15">
      <c r="A1942" s="3">
        <v>38466</v>
      </c>
      <c r="B1942" s="3">
        <v>38466</v>
      </c>
      <c r="C1942">
        <v>131.69999999999999</v>
      </c>
      <c r="D1942">
        <v>1.3065</v>
      </c>
      <c r="E1942">
        <v>54.97</v>
      </c>
      <c r="F1942">
        <v>148.80000000000001</v>
      </c>
      <c r="K1942" s="3"/>
      <c r="O1942" s="3"/>
    </row>
    <row r="1943" spans="1:15">
      <c r="A1943" s="3">
        <v>38467</v>
      </c>
      <c r="B1943" s="3">
        <v>38467</v>
      </c>
      <c r="C1943">
        <v>132.21</v>
      </c>
      <c r="D1943">
        <v>1.3007</v>
      </c>
      <c r="E1943">
        <v>54.4</v>
      </c>
      <c r="F1943">
        <v>148.94999999999999</v>
      </c>
      <c r="K1943" s="3"/>
      <c r="O1943" s="3"/>
    </row>
    <row r="1944" spans="1:15">
      <c r="A1944" s="3">
        <v>38468</v>
      </c>
      <c r="B1944" s="3">
        <v>38468</v>
      </c>
      <c r="C1944">
        <v>131.80000000000001</v>
      </c>
      <c r="D1944">
        <v>1.2985</v>
      </c>
      <c r="E1944">
        <v>54.14</v>
      </c>
      <c r="F1944">
        <v>146.65</v>
      </c>
      <c r="K1944" s="3"/>
      <c r="O1944" s="3"/>
    </row>
    <row r="1945" spans="1:15">
      <c r="A1945" s="3">
        <v>38469</v>
      </c>
      <c r="B1945" s="3">
        <v>38469</v>
      </c>
      <c r="C1945">
        <v>131.69</v>
      </c>
      <c r="D1945">
        <v>1.2929999999999999</v>
      </c>
      <c r="E1945">
        <v>52.29</v>
      </c>
      <c r="F1945">
        <v>145.80000000000001</v>
      </c>
      <c r="K1945" s="3"/>
      <c r="O1945" s="3"/>
    </row>
    <row r="1946" spans="1:15">
      <c r="A1946" s="3">
        <v>38470</v>
      </c>
      <c r="B1946" s="3">
        <v>38470</v>
      </c>
      <c r="C1946">
        <v>131.61000000000001</v>
      </c>
      <c r="D1946">
        <v>1.2892999999999999</v>
      </c>
      <c r="E1946">
        <v>52.48</v>
      </c>
      <c r="F1946">
        <v>145.44999999999999</v>
      </c>
      <c r="K1946" s="3"/>
      <c r="O1946" s="3"/>
    </row>
    <row r="1947" spans="1:15">
      <c r="A1947" s="3">
        <v>38471</v>
      </c>
      <c r="B1947" s="3">
        <v>38471</v>
      </c>
      <c r="C1947">
        <v>131.52000000000001</v>
      </c>
      <c r="D1947">
        <v>1.2873000000000001</v>
      </c>
      <c r="E1947">
        <v>51.09</v>
      </c>
      <c r="F1947">
        <v>149.30000000000001</v>
      </c>
      <c r="K1947" s="3"/>
      <c r="O1947" s="3"/>
    </row>
    <row r="1948" spans="1:15">
      <c r="A1948" s="3">
        <v>38472</v>
      </c>
      <c r="B1948" s="3">
        <v>38472</v>
      </c>
      <c r="C1948">
        <v>131.52000000000001</v>
      </c>
      <c r="D1948">
        <v>1.2873000000000001</v>
      </c>
      <c r="E1948">
        <v>51.09</v>
      </c>
      <c r="F1948">
        <v>149.30000000000001</v>
      </c>
      <c r="K1948" s="3"/>
      <c r="O1948" s="3"/>
    </row>
    <row r="1949" spans="1:15">
      <c r="A1949" s="3">
        <v>38473</v>
      </c>
      <c r="B1949" s="3">
        <v>38473</v>
      </c>
      <c r="C1949">
        <v>131.52000000000001</v>
      </c>
      <c r="D1949">
        <v>1.2873000000000001</v>
      </c>
      <c r="E1949">
        <v>51.09</v>
      </c>
      <c r="F1949">
        <v>149.30000000000001</v>
      </c>
      <c r="K1949" s="3"/>
      <c r="O1949" s="3"/>
    </row>
    <row r="1950" spans="1:15">
      <c r="A1950" s="3">
        <v>38474</v>
      </c>
      <c r="B1950" s="3">
        <v>38474</v>
      </c>
      <c r="C1950">
        <v>131.52000000000001</v>
      </c>
      <c r="D1950">
        <v>1.2864</v>
      </c>
      <c r="E1950">
        <v>51.09</v>
      </c>
      <c r="F1950">
        <v>149.6</v>
      </c>
      <c r="K1950" s="3"/>
      <c r="O1950" s="3"/>
    </row>
    <row r="1951" spans="1:15">
      <c r="A1951" s="3">
        <v>38475</v>
      </c>
      <c r="B1951" s="3">
        <v>38475</v>
      </c>
      <c r="C1951">
        <v>131.44999999999999</v>
      </c>
      <c r="D1951">
        <v>1.2873000000000001</v>
      </c>
      <c r="E1951">
        <v>50.52</v>
      </c>
      <c r="F1951">
        <v>147.85</v>
      </c>
      <c r="K1951" s="3"/>
      <c r="O1951" s="3"/>
    </row>
    <row r="1952" spans="1:15">
      <c r="A1952" s="3">
        <v>38476</v>
      </c>
      <c r="B1952" s="3">
        <v>38476</v>
      </c>
      <c r="C1952">
        <v>131.13999999999999</v>
      </c>
      <c r="D1952">
        <v>1.2948</v>
      </c>
      <c r="E1952">
        <v>50.97</v>
      </c>
      <c r="F1952">
        <v>145.9</v>
      </c>
      <c r="K1952" s="3"/>
      <c r="O1952" s="3"/>
    </row>
    <row r="1953" spans="1:15">
      <c r="A1953" s="3">
        <v>38477</v>
      </c>
      <c r="B1953" s="3">
        <v>38477</v>
      </c>
      <c r="C1953">
        <v>130.88999999999999</v>
      </c>
      <c r="D1953">
        <v>1.2958000000000001</v>
      </c>
      <c r="E1953">
        <v>51.13</v>
      </c>
      <c r="F1953">
        <v>145.9</v>
      </c>
      <c r="K1953" s="3"/>
      <c r="O1953" s="3"/>
    </row>
    <row r="1954" spans="1:15">
      <c r="A1954" s="3">
        <v>38478</v>
      </c>
      <c r="B1954" s="3">
        <v>38478</v>
      </c>
      <c r="C1954">
        <v>130.49</v>
      </c>
      <c r="D1954">
        <v>1.2819</v>
      </c>
      <c r="E1954">
        <v>50.77</v>
      </c>
      <c r="F1954">
        <v>147.19999999999999</v>
      </c>
      <c r="K1954" s="3"/>
      <c r="O1954" s="3"/>
    </row>
    <row r="1955" spans="1:15">
      <c r="A1955" s="3">
        <v>38479</v>
      </c>
      <c r="B1955" s="3">
        <v>38479</v>
      </c>
      <c r="C1955">
        <v>130.49</v>
      </c>
      <c r="D1955">
        <v>1.2819</v>
      </c>
      <c r="E1955">
        <v>50.77</v>
      </c>
      <c r="F1955">
        <v>147.19999999999999</v>
      </c>
      <c r="K1955" s="3"/>
      <c r="O1955" s="3"/>
    </row>
    <row r="1956" spans="1:15">
      <c r="A1956" s="3">
        <v>38480</v>
      </c>
      <c r="B1956" s="3">
        <v>38480</v>
      </c>
      <c r="C1956">
        <v>130.49</v>
      </c>
      <c r="D1956">
        <v>1.2819</v>
      </c>
      <c r="E1956">
        <v>50.77</v>
      </c>
      <c r="F1956">
        <v>147.19999999999999</v>
      </c>
      <c r="K1956" s="3"/>
      <c r="O1956" s="3"/>
    </row>
    <row r="1957" spans="1:15">
      <c r="A1957" s="3">
        <v>38481</v>
      </c>
      <c r="B1957" s="3">
        <v>38481</v>
      </c>
      <c r="C1957">
        <v>130.49</v>
      </c>
      <c r="D1957">
        <v>1.2842</v>
      </c>
      <c r="E1957">
        <v>51.29</v>
      </c>
      <c r="F1957">
        <v>147.65</v>
      </c>
      <c r="K1957" s="3"/>
      <c r="O1957" s="3"/>
    </row>
    <row r="1958" spans="1:15">
      <c r="A1958" s="3">
        <v>38482</v>
      </c>
      <c r="B1958" s="3">
        <v>38482</v>
      </c>
      <c r="C1958">
        <v>130.56</v>
      </c>
      <c r="D1958">
        <v>1.288</v>
      </c>
      <c r="E1958">
        <v>51.43</v>
      </c>
      <c r="F1958">
        <v>149.19999999999999</v>
      </c>
      <c r="K1958" s="3"/>
      <c r="O1958" s="3"/>
    </row>
    <row r="1959" spans="1:15">
      <c r="A1959" s="3">
        <v>38483</v>
      </c>
      <c r="B1959" s="3">
        <v>38483</v>
      </c>
      <c r="C1959">
        <v>130.96</v>
      </c>
      <c r="D1959">
        <v>1.2815000000000001</v>
      </c>
      <c r="E1959">
        <v>50.07</v>
      </c>
      <c r="F1959">
        <v>148.25</v>
      </c>
      <c r="K1959" s="3"/>
      <c r="O1959" s="3"/>
    </row>
    <row r="1960" spans="1:15">
      <c r="A1960" s="3">
        <v>38484</v>
      </c>
      <c r="B1960" s="3">
        <v>38484</v>
      </c>
      <c r="C1960">
        <v>131.38999999999999</v>
      </c>
      <c r="D1960">
        <v>1.2696000000000001</v>
      </c>
      <c r="E1960">
        <v>48.34</v>
      </c>
      <c r="F1960">
        <v>145.55000000000001</v>
      </c>
      <c r="K1960" s="3"/>
      <c r="O1960" s="3"/>
    </row>
    <row r="1961" spans="1:15">
      <c r="A1961" s="3">
        <v>38485</v>
      </c>
      <c r="B1961" s="3">
        <v>38485</v>
      </c>
      <c r="C1961">
        <v>131.62</v>
      </c>
      <c r="D1961">
        <v>1.2633000000000001</v>
      </c>
      <c r="E1961">
        <v>48.66</v>
      </c>
      <c r="F1961">
        <v>142.44999999999999</v>
      </c>
      <c r="K1961" s="3"/>
      <c r="O1961" s="3"/>
    </row>
    <row r="1962" spans="1:15">
      <c r="A1962" s="3">
        <v>38486</v>
      </c>
      <c r="B1962" s="3">
        <v>38486</v>
      </c>
      <c r="C1962">
        <v>131.62</v>
      </c>
      <c r="D1962">
        <v>1.2633000000000001</v>
      </c>
      <c r="E1962">
        <v>48.66</v>
      </c>
      <c r="F1962">
        <v>142.44999999999999</v>
      </c>
      <c r="K1962" s="3"/>
      <c r="O1962" s="3"/>
    </row>
    <row r="1963" spans="1:15">
      <c r="A1963" s="3">
        <v>38487</v>
      </c>
      <c r="B1963" s="3">
        <v>38487</v>
      </c>
      <c r="C1963">
        <v>131.62</v>
      </c>
      <c r="D1963">
        <v>1.2633000000000001</v>
      </c>
      <c r="E1963">
        <v>48.66</v>
      </c>
      <c r="F1963">
        <v>142.44999999999999</v>
      </c>
      <c r="K1963" s="3"/>
      <c r="O1963" s="3"/>
    </row>
    <row r="1964" spans="1:15">
      <c r="A1964" s="3">
        <v>38488</v>
      </c>
      <c r="B1964" s="3">
        <v>38488</v>
      </c>
      <c r="C1964">
        <v>131.63999999999999</v>
      </c>
      <c r="D1964">
        <v>1.2642</v>
      </c>
      <c r="E1964">
        <v>48.05</v>
      </c>
      <c r="F1964">
        <v>142.25</v>
      </c>
      <c r="K1964" s="3"/>
      <c r="O1964" s="3"/>
    </row>
    <row r="1965" spans="1:15">
      <c r="A1965" s="3">
        <v>38489</v>
      </c>
      <c r="B1965" s="3">
        <v>38489</v>
      </c>
      <c r="C1965">
        <v>130.78</v>
      </c>
      <c r="D1965">
        <v>1.2606999999999999</v>
      </c>
      <c r="E1965">
        <v>49.34</v>
      </c>
      <c r="F1965">
        <v>143.35</v>
      </c>
      <c r="K1965" s="3"/>
      <c r="O1965" s="3"/>
    </row>
    <row r="1966" spans="1:15">
      <c r="A1966" s="3">
        <v>38490</v>
      </c>
      <c r="B1966" s="3">
        <v>38490</v>
      </c>
      <c r="C1966">
        <v>130.66</v>
      </c>
      <c r="D1966">
        <v>1.2679</v>
      </c>
      <c r="E1966">
        <v>48.15</v>
      </c>
      <c r="F1966">
        <v>146.6</v>
      </c>
      <c r="K1966" s="3"/>
      <c r="O1966" s="3"/>
    </row>
    <row r="1967" spans="1:15">
      <c r="A1967" s="3">
        <v>38491</v>
      </c>
      <c r="B1967" s="3">
        <v>38491</v>
      </c>
      <c r="C1967">
        <v>130.72</v>
      </c>
      <c r="D1967">
        <v>1.2644</v>
      </c>
      <c r="E1967">
        <v>47.88</v>
      </c>
      <c r="F1967">
        <v>145.80000000000001</v>
      </c>
      <c r="K1967" s="3"/>
      <c r="O1967" s="3"/>
    </row>
    <row r="1968" spans="1:15">
      <c r="A1968" s="3">
        <v>38492</v>
      </c>
      <c r="B1968" s="3">
        <v>38492</v>
      </c>
      <c r="C1968">
        <v>131.05000000000001</v>
      </c>
      <c r="D1968">
        <v>1.2559</v>
      </c>
      <c r="E1968">
        <v>48.03</v>
      </c>
      <c r="F1968">
        <v>147.5</v>
      </c>
      <c r="K1968" s="3"/>
      <c r="O1968" s="3"/>
    </row>
    <row r="1969" spans="1:15">
      <c r="A1969" s="3">
        <v>38493</v>
      </c>
      <c r="B1969" s="3">
        <v>38493</v>
      </c>
      <c r="C1969">
        <v>131.05000000000001</v>
      </c>
      <c r="D1969">
        <v>1.2559</v>
      </c>
      <c r="E1969">
        <v>48.03</v>
      </c>
      <c r="F1969">
        <v>147.5</v>
      </c>
      <c r="K1969" s="3"/>
      <c r="O1969" s="3"/>
    </row>
    <row r="1970" spans="1:15">
      <c r="A1970" s="3">
        <v>38494</v>
      </c>
      <c r="B1970" s="3">
        <v>38494</v>
      </c>
      <c r="C1970">
        <v>131.05000000000001</v>
      </c>
      <c r="D1970">
        <v>1.2559</v>
      </c>
      <c r="E1970">
        <v>48.03</v>
      </c>
      <c r="F1970">
        <v>147.5</v>
      </c>
      <c r="K1970" s="3"/>
      <c r="O1970" s="3"/>
    </row>
    <row r="1971" spans="1:15">
      <c r="A1971" s="3">
        <v>38495</v>
      </c>
      <c r="B1971" s="3">
        <v>38495</v>
      </c>
      <c r="C1971">
        <v>131.91999999999999</v>
      </c>
      <c r="D1971">
        <v>1.2578</v>
      </c>
      <c r="E1971">
        <v>48.37</v>
      </c>
      <c r="F1971">
        <v>148.85</v>
      </c>
      <c r="K1971" s="3"/>
      <c r="O1971" s="3"/>
    </row>
    <row r="1972" spans="1:15">
      <c r="A1972" s="3">
        <v>38496</v>
      </c>
      <c r="B1972" s="3">
        <v>38496</v>
      </c>
      <c r="C1972">
        <v>131.81</v>
      </c>
      <c r="D1972">
        <v>1.2585</v>
      </c>
      <c r="E1972">
        <v>48.82</v>
      </c>
      <c r="F1972">
        <v>150.5</v>
      </c>
      <c r="K1972" s="3"/>
      <c r="O1972" s="3"/>
    </row>
    <row r="1973" spans="1:15">
      <c r="A1973" s="3">
        <v>38497</v>
      </c>
      <c r="B1973" s="3">
        <v>38497</v>
      </c>
      <c r="C1973">
        <v>132.04</v>
      </c>
      <c r="D1973">
        <v>1.2601</v>
      </c>
      <c r="E1973">
        <v>50.07</v>
      </c>
      <c r="F1973">
        <v>152.9</v>
      </c>
      <c r="K1973" s="3"/>
      <c r="O1973" s="3"/>
    </row>
    <row r="1974" spans="1:15">
      <c r="A1974" s="3">
        <v>38498</v>
      </c>
      <c r="B1974" s="3">
        <v>38498</v>
      </c>
      <c r="C1974">
        <v>132.29</v>
      </c>
      <c r="D1974">
        <v>1.2512000000000001</v>
      </c>
      <c r="E1974">
        <v>50.16</v>
      </c>
      <c r="F1974">
        <v>161.4</v>
      </c>
      <c r="K1974" s="3"/>
      <c r="O1974" s="3"/>
    </row>
    <row r="1975" spans="1:15">
      <c r="A1975" s="3">
        <v>38499</v>
      </c>
      <c r="B1975" s="3">
        <v>38499</v>
      </c>
      <c r="C1975">
        <v>132.29</v>
      </c>
      <c r="D1975">
        <v>1.2585999999999999</v>
      </c>
      <c r="E1975">
        <v>50.7</v>
      </c>
      <c r="F1975">
        <v>145.1</v>
      </c>
      <c r="K1975" s="3"/>
      <c r="O1975" s="3"/>
    </row>
    <row r="1976" spans="1:15">
      <c r="A1976" s="3">
        <v>38500</v>
      </c>
      <c r="B1976" s="3">
        <v>38500</v>
      </c>
      <c r="C1976">
        <v>132.29</v>
      </c>
      <c r="D1976">
        <v>1.2585999999999999</v>
      </c>
      <c r="E1976">
        <v>50.7</v>
      </c>
      <c r="F1976">
        <v>145.1</v>
      </c>
      <c r="K1976" s="3"/>
      <c r="O1976" s="3"/>
    </row>
    <row r="1977" spans="1:15">
      <c r="A1977" s="3">
        <v>38501</v>
      </c>
      <c r="B1977" s="3">
        <v>38501</v>
      </c>
      <c r="C1977">
        <v>132.29</v>
      </c>
      <c r="D1977">
        <v>1.2585999999999999</v>
      </c>
      <c r="E1977">
        <v>50.7</v>
      </c>
      <c r="F1977">
        <v>145.1</v>
      </c>
      <c r="K1977" s="3"/>
      <c r="O1977" s="3"/>
    </row>
    <row r="1978" spans="1:15">
      <c r="A1978" s="3">
        <v>38502</v>
      </c>
      <c r="B1978" s="3">
        <v>38502</v>
      </c>
      <c r="C1978">
        <v>132.57</v>
      </c>
      <c r="D1978">
        <v>1.2476</v>
      </c>
      <c r="E1978">
        <v>50.7</v>
      </c>
      <c r="F1978">
        <v>145.1</v>
      </c>
      <c r="K1978" s="3"/>
      <c r="O1978" s="3"/>
    </row>
    <row r="1979" spans="1:15">
      <c r="A1979" s="3">
        <v>38503</v>
      </c>
      <c r="B1979" s="3">
        <v>38503</v>
      </c>
      <c r="C1979">
        <v>131.88999999999999</v>
      </c>
      <c r="D1979">
        <v>1.2303999999999999</v>
      </c>
      <c r="E1979">
        <v>50.73</v>
      </c>
      <c r="F1979">
        <v>145.65</v>
      </c>
      <c r="K1979" s="3"/>
      <c r="O1979" s="3"/>
    </row>
    <row r="1980" spans="1:15">
      <c r="A1980" s="3">
        <v>38504</v>
      </c>
      <c r="B1980" s="3">
        <v>38504</v>
      </c>
      <c r="C1980">
        <v>131.77000000000001</v>
      </c>
      <c r="D1980">
        <v>1.218</v>
      </c>
      <c r="E1980">
        <v>53.27</v>
      </c>
      <c r="F1980">
        <v>148.55000000000001</v>
      </c>
      <c r="K1980" s="3"/>
      <c r="O1980" s="3"/>
    </row>
    <row r="1981" spans="1:15">
      <c r="A1981" s="3">
        <v>38505</v>
      </c>
      <c r="B1981" s="3">
        <v>38505</v>
      </c>
      <c r="C1981">
        <v>132.38999999999999</v>
      </c>
      <c r="D1981">
        <v>1.2266999999999999</v>
      </c>
      <c r="E1981">
        <v>52.4</v>
      </c>
      <c r="F1981">
        <v>151.65</v>
      </c>
      <c r="K1981" s="3"/>
      <c r="O1981" s="3"/>
    </row>
    <row r="1982" spans="1:15">
      <c r="A1982" s="3">
        <v>38506</v>
      </c>
      <c r="B1982" s="3">
        <v>38506</v>
      </c>
      <c r="C1982">
        <v>132.02000000000001</v>
      </c>
      <c r="D1982">
        <v>1.2236</v>
      </c>
      <c r="E1982">
        <v>54.17</v>
      </c>
      <c r="F1982">
        <v>155.75</v>
      </c>
      <c r="K1982" s="3"/>
      <c r="O1982" s="3"/>
    </row>
    <row r="1983" spans="1:15">
      <c r="A1983" s="3">
        <v>38507</v>
      </c>
      <c r="B1983" s="3">
        <v>38507</v>
      </c>
      <c r="C1983">
        <v>132.02000000000001</v>
      </c>
      <c r="D1983">
        <v>1.2236</v>
      </c>
      <c r="E1983">
        <v>54.17</v>
      </c>
      <c r="F1983">
        <v>155.75</v>
      </c>
      <c r="K1983" s="3"/>
      <c r="O1983" s="3"/>
    </row>
    <row r="1984" spans="1:15">
      <c r="A1984" s="3">
        <v>38508</v>
      </c>
      <c r="B1984" s="3">
        <v>38508</v>
      </c>
      <c r="C1984">
        <v>132.02000000000001</v>
      </c>
      <c r="D1984">
        <v>1.2236</v>
      </c>
      <c r="E1984">
        <v>54.17</v>
      </c>
      <c r="F1984">
        <v>155.75</v>
      </c>
      <c r="K1984" s="3"/>
      <c r="O1984" s="3"/>
    </row>
    <row r="1985" spans="1:15">
      <c r="A1985" s="3">
        <v>38509</v>
      </c>
      <c r="B1985" s="3">
        <v>38509</v>
      </c>
      <c r="C1985">
        <v>131.97999999999999</v>
      </c>
      <c r="D1985">
        <v>1.2259</v>
      </c>
      <c r="E1985">
        <v>53.67</v>
      </c>
      <c r="F1985">
        <v>156.4</v>
      </c>
      <c r="K1985" s="3"/>
      <c r="O1985" s="3"/>
    </row>
    <row r="1986" spans="1:15">
      <c r="A1986" s="3">
        <v>38510</v>
      </c>
      <c r="B1986" s="3">
        <v>38510</v>
      </c>
      <c r="C1986">
        <v>132.27000000000001</v>
      </c>
      <c r="D1986">
        <v>1.2284999999999999</v>
      </c>
      <c r="E1986">
        <v>53.13</v>
      </c>
      <c r="F1986">
        <v>154.30000000000001</v>
      </c>
      <c r="K1986" s="3"/>
      <c r="O1986" s="3"/>
    </row>
    <row r="1987" spans="1:15">
      <c r="A1987" s="3">
        <v>38511</v>
      </c>
      <c r="B1987" s="3">
        <v>38511</v>
      </c>
      <c r="C1987">
        <v>132.58000000000001</v>
      </c>
      <c r="D1987">
        <v>1.2234</v>
      </c>
      <c r="E1987">
        <v>52.11</v>
      </c>
      <c r="F1987">
        <v>154.6</v>
      </c>
      <c r="K1987" s="3"/>
      <c r="O1987" s="3"/>
    </row>
    <row r="1988" spans="1:15">
      <c r="A1988" s="3">
        <v>38512</v>
      </c>
      <c r="B1988" s="3">
        <v>38512</v>
      </c>
      <c r="C1988">
        <v>132.79</v>
      </c>
      <c r="D1988">
        <v>1.2230000000000001</v>
      </c>
      <c r="E1988">
        <v>53.82</v>
      </c>
      <c r="F1988">
        <v>154.69999999999999</v>
      </c>
      <c r="K1988" s="3"/>
      <c r="O1988" s="3"/>
    </row>
    <row r="1989" spans="1:15">
      <c r="A1989" s="3">
        <v>38513</v>
      </c>
      <c r="B1989" s="3">
        <v>38513</v>
      </c>
      <c r="C1989">
        <v>134.02000000000001</v>
      </c>
      <c r="D1989">
        <v>1.2119</v>
      </c>
      <c r="E1989">
        <v>52.67</v>
      </c>
      <c r="F1989">
        <v>156.25</v>
      </c>
      <c r="K1989" s="3"/>
      <c r="O1989" s="3"/>
    </row>
    <row r="1990" spans="1:15">
      <c r="A1990" s="3">
        <v>38514</v>
      </c>
      <c r="B1990" s="3">
        <v>38514</v>
      </c>
      <c r="C1990">
        <v>134.02000000000001</v>
      </c>
      <c r="D1990">
        <v>1.2119</v>
      </c>
      <c r="E1990">
        <v>52.67</v>
      </c>
      <c r="F1990">
        <v>156.25</v>
      </c>
      <c r="K1990" s="3"/>
      <c r="O1990" s="3"/>
    </row>
    <row r="1991" spans="1:15">
      <c r="A1991" s="3">
        <v>38515</v>
      </c>
      <c r="B1991" s="3">
        <v>38515</v>
      </c>
      <c r="C1991">
        <v>134.02000000000001</v>
      </c>
      <c r="D1991">
        <v>1.2119</v>
      </c>
      <c r="E1991">
        <v>52.67</v>
      </c>
      <c r="F1991">
        <v>156.25</v>
      </c>
      <c r="K1991" s="3"/>
      <c r="O1991" s="3"/>
    </row>
    <row r="1992" spans="1:15">
      <c r="A1992" s="3">
        <v>38516</v>
      </c>
      <c r="B1992" s="3">
        <v>38516</v>
      </c>
      <c r="C1992">
        <v>134.02000000000001</v>
      </c>
      <c r="D1992">
        <v>1.2109000000000001</v>
      </c>
      <c r="E1992">
        <v>54.78</v>
      </c>
      <c r="F1992">
        <v>153.94999999999999</v>
      </c>
      <c r="K1992" s="3"/>
      <c r="O1992" s="3"/>
    </row>
    <row r="1993" spans="1:15">
      <c r="A1993" s="3">
        <v>38517</v>
      </c>
      <c r="B1993" s="3">
        <v>38517</v>
      </c>
      <c r="C1993">
        <v>133.96</v>
      </c>
      <c r="D1993">
        <v>1.2032</v>
      </c>
      <c r="E1993">
        <v>53.73</v>
      </c>
      <c r="F1993">
        <v>152.65</v>
      </c>
      <c r="K1993" s="3"/>
      <c r="O1993" s="3"/>
    </row>
    <row r="1994" spans="1:15">
      <c r="A1994" s="3">
        <v>38518</v>
      </c>
      <c r="B1994" s="3">
        <v>38518</v>
      </c>
      <c r="C1994">
        <v>133.36000000000001</v>
      </c>
      <c r="D1994">
        <v>1.2115</v>
      </c>
      <c r="E1994">
        <v>54.5</v>
      </c>
      <c r="F1994">
        <v>154.9</v>
      </c>
      <c r="K1994" s="3"/>
      <c r="O1994" s="3"/>
    </row>
    <row r="1995" spans="1:15">
      <c r="A1995" s="3">
        <v>38519</v>
      </c>
      <c r="B1995" s="3">
        <v>38519</v>
      </c>
      <c r="C1995">
        <v>133.72</v>
      </c>
      <c r="D1995">
        <v>1.2108000000000001</v>
      </c>
      <c r="E1995">
        <v>56.22</v>
      </c>
      <c r="F1995">
        <v>156.94999999999999</v>
      </c>
      <c r="K1995" s="3"/>
      <c r="O1995" s="3"/>
    </row>
    <row r="1996" spans="1:15">
      <c r="A1996" s="3">
        <v>38520</v>
      </c>
      <c r="B1996" s="3">
        <v>38520</v>
      </c>
      <c r="C1996">
        <v>134.21</v>
      </c>
      <c r="D1996">
        <v>1.2285999999999999</v>
      </c>
      <c r="E1996">
        <v>57.76</v>
      </c>
      <c r="F1996">
        <v>160.4</v>
      </c>
      <c r="K1996" s="3"/>
      <c r="O1996" s="3"/>
    </row>
    <row r="1997" spans="1:15">
      <c r="A1997" s="3">
        <v>38521</v>
      </c>
      <c r="B1997" s="3">
        <v>38521</v>
      </c>
      <c r="C1997">
        <v>134.21</v>
      </c>
      <c r="D1997">
        <v>1.2285999999999999</v>
      </c>
      <c r="E1997">
        <v>57.76</v>
      </c>
      <c r="F1997">
        <v>160.4</v>
      </c>
      <c r="K1997" s="3"/>
      <c r="O1997" s="3"/>
    </row>
    <row r="1998" spans="1:15">
      <c r="A1998" s="3">
        <v>38522</v>
      </c>
      <c r="B1998" s="3">
        <v>38522</v>
      </c>
      <c r="C1998">
        <v>134.21</v>
      </c>
      <c r="D1998">
        <v>1.2285999999999999</v>
      </c>
      <c r="E1998">
        <v>57.76</v>
      </c>
      <c r="F1998">
        <v>160.4</v>
      </c>
      <c r="K1998" s="3"/>
      <c r="O1998" s="3"/>
    </row>
    <row r="1999" spans="1:15">
      <c r="A1999" s="3">
        <v>38523</v>
      </c>
      <c r="B1999" s="3">
        <v>38523</v>
      </c>
      <c r="C1999">
        <v>134.71</v>
      </c>
      <c r="D1999">
        <v>1.2154</v>
      </c>
      <c r="E1999">
        <v>58.32</v>
      </c>
      <c r="F1999">
        <v>158.75</v>
      </c>
      <c r="K1999" s="3"/>
      <c r="O1999" s="3"/>
    </row>
    <row r="2000" spans="1:15">
      <c r="A2000" s="3">
        <v>38524</v>
      </c>
      <c r="B2000" s="3">
        <v>38524</v>
      </c>
      <c r="C2000">
        <v>135.19</v>
      </c>
      <c r="D2000">
        <v>1.2182999999999999</v>
      </c>
      <c r="E2000">
        <v>57.5</v>
      </c>
      <c r="F2000">
        <v>159.25</v>
      </c>
      <c r="K2000" s="3"/>
      <c r="O2000" s="3"/>
    </row>
    <row r="2001" spans="1:15">
      <c r="A2001" s="3">
        <v>38525</v>
      </c>
      <c r="B2001" s="3">
        <v>38525</v>
      </c>
      <c r="C2001">
        <v>135.94999999999999</v>
      </c>
      <c r="D2001">
        <v>1.2129000000000001</v>
      </c>
      <c r="E2001">
        <v>56.58</v>
      </c>
      <c r="F2001">
        <v>158.44999999999999</v>
      </c>
      <c r="K2001" s="3"/>
      <c r="O2001" s="3"/>
    </row>
    <row r="2002" spans="1:15">
      <c r="A2002" s="3">
        <v>38526</v>
      </c>
      <c r="B2002" s="3">
        <v>38526</v>
      </c>
      <c r="C2002">
        <v>135.86000000000001</v>
      </c>
      <c r="D2002">
        <v>1.2039</v>
      </c>
      <c r="E2002">
        <v>57.96</v>
      </c>
      <c r="F2002">
        <v>158.25</v>
      </c>
      <c r="K2002" s="3"/>
      <c r="O2002" s="3"/>
    </row>
    <row r="2003" spans="1:15">
      <c r="A2003" s="3">
        <v>38527</v>
      </c>
      <c r="B2003" s="3">
        <v>38527</v>
      </c>
      <c r="C2003">
        <v>135.57</v>
      </c>
      <c r="D2003">
        <v>1.2092000000000001</v>
      </c>
      <c r="E2003">
        <v>58.36</v>
      </c>
      <c r="F2003">
        <v>159.30000000000001</v>
      </c>
      <c r="K2003" s="3"/>
      <c r="O2003" s="3"/>
    </row>
    <row r="2004" spans="1:15">
      <c r="A2004" s="3">
        <v>38528</v>
      </c>
      <c r="B2004" s="3">
        <v>38528</v>
      </c>
      <c r="C2004">
        <v>135.57</v>
      </c>
      <c r="D2004">
        <v>1.2092000000000001</v>
      </c>
      <c r="E2004">
        <v>58.36</v>
      </c>
      <c r="F2004">
        <v>159.30000000000001</v>
      </c>
      <c r="K2004" s="3"/>
      <c r="O2004" s="3"/>
    </row>
    <row r="2005" spans="1:15">
      <c r="A2005" s="3">
        <v>38529</v>
      </c>
      <c r="B2005" s="3">
        <v>38529</v>
      </c>
      <c r="C2005">
        <v>135.57</v>
      </c>
      <c r="D2005">
        <v>1.2092000000000001</v>
      </c>
      <c r="E2005">
        <v>58.36</v>
      </c>
      <c r="F2005">
        <v>159.30000000000001</v>
      </c>
      <c r="K2005" s="3"/>
      <c r="O2005" s="3"/>
    </row>
    <row r="2006" spans="1:15">
      <c r="A2006" s="3">
        <v>38530</v>
      </c>
      <c r="B2006" s="3">
        <v>38530</v>
      </c>
      <c r="C2006">
        <v>135.46</v>
      </c>
      <c r="D2006">
        <v>1.2164999999999999</v>
      </c>
      <c r="E2006">
        <v>59.3</v>
      </c>
      <c r="F2006">
        <v>159.80000000000001</v>
      </c>
      <c r="K2006" s="3"/>
      <c r="O2006" s="3"/>
    </row>
    <row r="2007" spans="1:15">
      <c r="A2007" s="3">
        <v>38531</v>
      </c>
      <c r="B2007" s="3">
        <v>38531</v>
      </c>
      <c r="C2007">
        <v>135.24</v>
      </c>
      <c r="D2007">
        <v>1.2054</v>
      </c>
      <c r="E2007">
        <v>57.18</v>
      </c>
      <c r="F2007">
        <v>158.9</v>
      </c>
      <c r="K2007" s="3"/>
      <c r="O2007" s="3"/>
    </row>
    <row r="2008" spans="1:15">
      <c r="A2008" s="3">
        <v>38532</v>
      </c>
      <c r="B2008" s="3">
        <v>38532</v>
      </c>
      <c r="C2008">
        <v>135.29</v>
      </c>
      <c r="D2008">
        <v>1.2070000000000001</v>
      </c>
      <c r="E2008">
        <v>56.15</v>
      </c>
      <c r="F2008">
        <v>159.75</v>
      </c>
      <c r="K2008" s="3"/>
      <c r="O2008" s="3"/>
    </row>
    <row r="2009" spans="1:15">
      <c r="A2009" s="3">
        <v>38533</v>
      </c>
      <c r="B2009" s="3">
        <v>38533</v>
      </c>
      <c r="C2009">
        <v>135.04</v>
      </c>
      <c r="D2009">
        <v>1.2108000000000001</v>
      </c>
      <c r="E2009">
        <v>55.58</v>
      </c>
      <c r="F2009">
        <v>155.35</v>
      </c>
      <c r="K2009" s="3"/>
      <c r="O2009" s="3"/>
    </row>
    <row r="2010" spans="1:15">
      <c r="A2010" s="3">
        <v>38534</v>
      </c>
      <c r="B2010" s="3">
        <v>38534</v>
      </c>
      <c r="C2010">
        <v>135.24</v>
      </c>
      <c r="D2010">
        <v>1.1959</v>
      </c>
      <c r="E2010">
        <v>57.54</v>
      </c>
      <c r="F2010">
        <v>153.65</v>
      </c>
      <c r="K2010" s="3"/>
      <c r="O2010" s="3"/>
    </row>
    <row r="2011" spans="1:15">
      <c r="A2011" s="3">
        <v>38535</v>
      </c>
      <c r="B2011" s="3">
        <v>38535</v>
      </c>
      <c r="C2011">
        <v>135.24</v>
      </c>
      <c r="D2011">
        <v>1.1959</v>
      </c>
      <c r="E2011">
        <v>57.54</v>
      </c>
      <c r="F2011">
        <v>153.65</v>
      </c>
      <c r="K2011" s="3"/>
      <c r="O2011" s="3"/>
    </row>
    <row r="2012" spans="1:15">
      <c r="A2012" s="3">
        <v>38536</v>
      </c>
      <c r="B2012" s="3">
        <v>38536</v>
      </c>
      <c r="C2012">
        <v>135.24</v>
      </c>
      <c r="D2012">
        <v>1.1959</v>
      </c>
      <c r="E2012">
        <v>57.54</v>
      </c>
      <c r="F2012">
        <v>153.65</v>
      </c>
      <c r="K2012" s="3"/>
      <c r="O2012" s="3"/>
    </row>
    <row r="2013" spans="1:15">
      <c r="A2013" s="3">
        <v>38537</v>
      </c>
      <c r="B2013" s="3">
        <v>38537</v>
      </c>
      <c r="C2013">
        <v>135.68</v>
      </c>
      <c r="D2013">
        <v>1.1901999999999999</v>
      </c>
      <c r="E2013">
        <v>57.94</v>
      </c>
      <c r="F2013">
        <v>153.65</v>
      </c>
      <c r="K2013" s="3"/>
      <c r="O2013" s="3"/>
    </row>
    <row r="2014" spans="1:15">
      <c r="A2014" s="3">
        <v>38538</v>
      </c>
      <c r="B2014" s="3">
        <v>38538</v>
      </c>
      <c r="C2014">
        <v>135.72</v>
      </c>
      <c r="D2014">
        <v>1.1912</v>
      </c>
      <c r="E2014">
        <v>58.29</v>
      </c>
      <c r="F2014">
        <v>158</v>
      </c>
      <c r="K2014" s="3"/>
      <c r="O2014" s="3"/>
    </row>
    <row r="2015" spans="1:15">
      <c r="A2015" s="3">
        <v>38539</v>
      </c>
      <c r="B2015" s="3">
        <v>38539</v>
      </c>
      <c r="C2015">
        <v>135.83000000000001</v>
      </c>
      <c r="D2015">
        <v>1.1933</v>
      </c>
      <c r="E2015">
        <v>59.85</v>
      </c>
      <c r="F2015">
        <v>160.30000000000001</v>
      </c>
      <c r="K2015" s="3"/>
      <c r="O2015" s="3"/>
    </row>
    <row r="2016" spans="1:15">
      <c r="A2016" s="3">
        <v>38540</v>
      </c>
      <c r="B2016" s="3">
        <v>38540</v>
      </c>
      <c r="C2016">
        <v>135.47</v>
      </c>
      <c r="D2016">
        <v>1.1950000000000001</v>
      </c>
      <c r="E2016">
        <v>59.28</v>
      </c>
      <c r="F2016">
        <v>160.94999999999999</v>
      </c>
      <c r="K2016" s="3"/>
      <c r="O2016" s="3"/>
    </row>
    <row r="2017" spans="1:15">
      <c r="A2017" s="3">
        <v>38541</v>
      </c>
      <c r="B2017" s="3">
        <v>38541</v>
      </c>
      <c r="C2017">
        <v>135.22999999999999</v>
      </c>
      <c r="D2017">
        <v>1.1967000000000001</v>
      </c>
      <c r="E2017">
        <v>58.2</v>
      </c>
      <c r="F2017">
        <v>162.55000000000001</v>
      </c>
      <c r="K2017" s="3"/>
      <c r="O2017" s="3"/>
    </row>
    <row r="2018" spans="1:15">
      <c r="A2018" s="3">
        <v>38542</v>
      </c>
      <c r="B2018" s="3">
        <v>38542</v>
      </c>
      <c r="C2018">
        <v>135.22999999999999</v>
      </c>
      <c r="D2018">
        <v>1.1967000000000001</v>
      </c>
      <c r="E2018">
        <v>58.2</v>
      </c>
      <c r="F2018">
        <v>162.55000000000001</v>
      </c>
      <c r="K2018" s="3"/>
      <c r="O2018" s="3"/>
    </row>
    <row r="2019" spans="1:15">
      <c r="A2019" s="3">
        <v>38543</v>
      </c>
      <c r="B2019" s="3">
        <v>38543</v>
      </c>
      <c r="C2019">
        <v>135.22999999999999</v>
      </c>
      <c r="D2019">
        <v>1.1967000000000001</v>
      </c>
      <c r="E2019">
        <v>58.2</v>
      </c>
      <c r="F2019">
        <v>162.55000000000001</v>
      </c>
      <c r="K2019" s="3"/>
      <c r="O2019" s="3"/>
    </row>
    <row r="2020" spans="1:15">
      <c r="A2020" s="3">
        <v>38544</v>
      </c>
      <c r="B2020" s="3">
        <v>38544</v>
      </c>
      <c r="C2020">
        <v>135.66</v>
      </c>
      <c r="D2020">
        <v>1.2072000000000001</v>
      </c>
      <c r="E2020">
        <v>57.44</v>
      </c>
      <c r="F2020">
        <v>162.4</v>
      </c>
      <c r="K2020" s="3"/>
      <c r="O2020" s="3"/>
    </row>
    <row r="2021" spans="1:15">
      <c r="A2021" s="3">
        <v>38545</v>
      </c>
      <c r="B2021" s="3">
        <v>38545</v>
      </c>
      <c r="C2021">
        <v>135.80000000000001</v>
      </c>
      <c r="D2021">
        <v>1.2241</v>
      </c>
      <c r="E2021">
        <v>58.82</v>
      </c>
      <c r="F2021">
        <v>160.30000000000001</v>
      </c>
      <c r="K2021" s="3"/>
      <c r="O2021" s="3"/>
    </row>
    <row r="2022" spans="1:15">
      <c r="A2022" s="3">
        <v>38546</v>
      </c>
      <c r="B2022" s="3">
        <v>38546</v>
      </c>
      <c r="C2022">
        <v>135.81</v>
      </c>
      <c r="D2022">
        <v>1.2094</v>
      </c>
      <c r="E2022">
        <v>58.27</v>
      </c>
      <c r="F2022">
        <v>162</v>
      </c>
      <c r="K2022" s="3"/>
      <c r="O2022" s="3"/>
    </row>
    <row r="2023" spans="1:15">
      <c r="A2023" s="3">
        <v>38547</v>
      </c>
      <c r="B2023" s="3">
        <v>38547</v>
      </c>
      <c r="C2023">
        <v>135.47</v>
      </c>
      <c r="D2023">
        <v>1.2083999999999999</v>
      </c>
      <c r="E2023">
        <v>57.31</v>
      </c>
      <c r="F2023">
        <v>161.80000000000001</v>
      </c>
      <c r="K2023" s="3"/>
      <c r="O2023" s="3"/>
    </row>
    <row r="2024" spans="1:15">
      <c r="A2024" s="3">
        <v>38548</v>
      </c>
      <c r="B2024" s="3">
        <v>38548</v>
      </c>
      <c r="C2024">
        <v>135.63999999999999</v>
      </c>
      <c r="D2024">
        <v>1.2035</v>
      </c>
      <c r="E2024">
        <v>57.61</v>
      </c>
      <c r="F2024">
        <v>162.9</v>
      </c>
      <c r="K2024" s="3"/>
      <c r="O2024" s="3"/>
    </row>
    <row r="2025" spans="1:15">
      <c r="A2025" s="3">
        <v>38549</v>
      </c>
      <c r="B2025" s="3">
        <v>38549</v>
      </c>
      <c r="C2025">
        <v>135.63999999999999</v>
      </c>
      <c r="D2025">
        <v>1.2035</v>
      </c>
      <c r="E2025">
        <v>57.61</v>
      </c>
      <c r="F2025">
        <v>162.9</v>
      </c>
      <c r="K2025" s="3"/>
      <c r="O2025" s="3"/>
    </row>
    <row r="2026" spans="1:15">
      <c r="A2026" s="3">
        <v>38550</v>
      </c>
      <c r="B2026" s="3">
        <v>38550</v>
      </c>
      <c r="C2026">
        <v>135.63999999999999</v>
      </c>
      <c r="D2026">
        <v>1.2035</v>
      </c>
      <c r="E2026">
        <v>57.61</v>
      </c>
      <c r="F2026">
        <v>162.9</v>
      </c>
      <c r="K2026" s="3"/>
      <c r="O2026" s="3"/>
    </row>
    <row r="2027" spans="1:15">
      <c r="A2027" s="3">
        <v>38551</v>
      </c>
      <c r="B2027" s="3">
        <v>38551</v>
      </c>
      <c r="C2027">
        <v>136.01</v>
      </c>
      <c r="D2027">
        <v>1.2052</v>
      </c>
      <c r="E2027">
        <v>56.99</v>
      </c>
      <c r="F2027">
        <v>163.05000000000001</v>
      </c>
      <c r="K2027" s="3"/>
      <c r="O2027" s="3"/>
    </row>
    <row r="2028" spans="1:15">
      <c r="A2028" s="3">
        <v>38552</v>
      </c>
      <c r="B2028" s="3">
        <v>38552</v>
      </c>
      <c r="C2028">
        <v>136.22999999999999</v>
      </c>
      <c r="D2028">
        <v>1.2034</v>
      </c>
      <c r="E2028">
        <v>57.36</v>
      </c>
      <c r="F2028">
        <v>165.05</v>
      </c>
      <c r="K2028" s="3"/>
      <c r="O2028" s="3"/>
    </row>
    <row r="2029" spans="1:15">
      <c r="A2029" s="3">
        <v>38553</v>
      </c>
      <c r="B2029" s="3">
        <v>38553</v>
      </c>
      <c r="C2029">
        <v>135.86000000000001</v>
      </c>
      <c r="D2029">
        <v>1.2139</v>
      </c>
      <c r="E2029">
        <v>56.65</v>
      </c>
      <c r="F2029">
        <v>165.55</v>
      </c>
      <c r="K2029" s="3"/>
      <c r="O2029" s="3"/>
    </row>
    <row r="2030" spans="1:15">
      <c r="A2030" s="3">
        <v>38554</v>
      </c>
      <c r="B2030" s="3">
        <v>38554</v>
      </c>
      <c r="C2030">
        <v>135.80000000000001</v>
      </c>
      <c r="D2030">
        <v>1.2171000000000001</v>
      </c>
      <c r="E2030">
        <v>55.72</v>
      </c>
      <c r="F2030">
        <v>163.1</v>
      </c>
      <c r="K2030" s="3"/>
      <c r="O2030" s="3"/>
    </row>
    <row r="2031" spans="1:15">
      <c r="A2031" s="3">
        <v>38555</v>
      </c>
      <c r="B2031" s="3">
        <v>38555</v>
      </c>
      <c r="C2031">
        <v>135.77000000000001</v>
      </c>
      <c r="D2031">
        <v>1.2064999999999999</v>
      </c>
      <c r="E2031">
        <v>57.58</v>
      </c>
      <c r="F2031">
        <v>165.55</v>
      </c>
      <c r="K2031" s="3"/>
      <c r="O2031" s="3"/>
    </row>
    <row r="2032" spans="1:15">
      <c r="A2032" s="3">
        <v>38556</v>
      </c>
      <c r="B2032" s="3">
        <v>38556</v>
      </c>
      <c r="C2032">
        <v>135.77000000000001</v>
      </c>
      <c r="D2032">
        <v>1.2064999999999999</v>
      </c>
      <c r="E2032">
        <v>57.58</v>
      </c>
      <c r="F2032">
        <v>165.55</v>
      </c>
      <c r="K2032" s="3"/>
      <c r="O2032" s="3"/>
    </row>
    <row r="2033" spans="1:15">
      <c r="A2033" s="3">
        <v>38557</v>
      </c>
      <c r="B2033" s="3">
        <v>38557</v>
      </c>
      <c r="C2033">
        <v>135.77000000000001</v>
      </c>
      <c r="D2033">
        <v>1.2064999999999999</v>
      </c>
      <c r="E2033">
        <v>57.58</v>
      </c>
      <c r="F2033">
        <v>165.55</v>
      </c>
      <c r="K2033" s="3"/>
      <c r="O2033" s="3"/>
    </row>
    <row r="2034" spans="1:15">
      <c r="A2034" s="3">
        <v>38558</v>
      </c>
      <c r="B2034" s="3">
        <v>38558</v>
      </c>
      <c r="C2034">
        <v>135.85</v>
      </c>
      <c r="D2034">
        <v>1.206</v>
      </c>
      <c r="E2034">
        <v>57.86</v>
      </c>
      <c r="F2034">
        <v>165.8</v>
      </c>
      <c r="K2034" s="3"/>
      <c r="O2034" s="3"/>
    </row>
    <row r="2035" spans="1:15">
      <c r="A2035" s="3">
        <v>38559</v>
      </c>
      <c r="B2035" s="3">
        <v>38559</v>
      </c>
      <c r="C2035">
        <v>135.63</v>
      </c>
      <c r="D2035">
        <v>1.2015</v>
      </c>
      <c r="E2035">
        <v>58.03</v>
      </c>
      <c r="F2035">
        <v>166.6</v>
      </c>
      <c r="K2035" s="3"/>
      <c r="O2035" s="3"/>
    </row>
    <row r="2036" spans="1:15">
      <c r="A2036" s="3">
        <v>38560</v>
      </c>
      <c r="B2036" s="3">
        <v>38560</v>
      </c>
      <c r="C2036">
        <v>135.94</v>
      </c>
      <c r="D2036">
        <v>1.2068000000000001</v>
      </c>
      <c r="E2036">
        <v>58.01</v>
      </c>
      <c r="F2036">
        <v>167.75</v>
      </c>
      <c r="K2036" s="3"/>
      <c r="O2036" s="3"/>
    </row>
    <row r="2037" spans="1:15">
      <c r="A2037" s="3">
        <v>38561</v>
      </c>
      <c r="B2037" s="3">
        <v>38561</v>
      </c>
      <c r="C2037">
        <v>135.76</v>
      </c>
      <c r="D2037">
        <v>1.2139</v>
      </c>
      <c r="E2037">
        <v>58.76</v>
      </c>
      <c r="F2037">
        <v>164.9</v>
      </c>
      <c r="K2037" s="3"/>
      <c r="O2037" s="3"/>
    </row>
    <row r="2038" spans="1:15">
      <c r="A2038" s="3">
        <v>38562</v>
      </c>
      <c r="B2038" s="3">
        <v>38562</v>
      </c>
      <c r="C2038">
        <v>135.94</v>
      </c>
      <c r="D2038">
        <v>1.2122999999999999</v>
      </c>
      <c r="E2038">
        <v>59.37</v>
      </c>
      <c r="F2038">
        <v>164.45</v>
      </c>
      <c r="K2038" s="3"/>
      <c r="O2038" s="3"/>
    </row>
    <row r="2039" spans="1:15">
      <c r="A2039" s="3">
        <v>38563</v>
      </c>
      <c r="B2039" s="3">
        <v>38563</v>
      </c>
      <c r="C2039">
        <v>135.94</v>
      </c>
      <c r="D2039">
        <v>1.2122999999999999</v>
      </c>
      <c r="E2039">
        <v>59.37</v>
      </c>
      <c r="F2039">
        <v>164.45</v>
      </c>
      <c r="K2039" s="3"/>
      <c r="O2039" s="3"/>
    </row>
    <row r="2040" spans="1:15">
      <c r="A2040" s="3">
        <v>38564</v>
      </c>
      <c r="B2040" s="3">
        <v>38564</v>
      </c>
      <c r="C2040">
        <v>135.94</v>
      </c>
      <c r="D2040">
        <v>1.2122999999999999</v>
      </c>
      <c r="E2040">
        <v>59.37</v>
      </c>
      <c r="F2040">
        <v>164.45</v>
      </c>
      <c r="K2040" s="3"/>
      <c r="O2040" s="3"/>
    </row>
    <row r="2041" spans="1:15">
      <c r="A2041" s="3">
        <v>38565</v>
      </c>
      <c r="B2041" s="3">
        <v>38565</v>
      </c>
      <c r="C2041">
        <v>135.84</v>
      </c>
      <c r="D2041">
        <v>1.2181</v>
      </c>
      <c r="E2041">
        <v>60.44</v>
      </c>
      <c r="F2041">
        <v>166.3</v>
      </c>
      <c r="K2041" s="3"/>
      <c r="O2041" s="3"/>
    </row>
    <row r="2042" spans="1:15">
      <c r="A2042" s="3">
        <v>38566</v>
      </c>
      <c r="B2042" s="3">
        <v>38566</v>
      </c>
      <c r="C2042">
        <v>135.9</v>
      </c>
      <c r="D2042">
        <v>1.2191000000000001</v>
      </c>
      <c r="E2042">
        <v>60.62</v>
      </c>
      <c r="F2042">
        <v>166.25</v>
      </c>
      <c r="K2042" s="3"/>
      <c r="O2042" s="3"/>
    </row>
    <row r="2043" spans="1:15">
      <c r="A2043" s="3">
        <v>38567</v>
      </c>
      <c r="B2043" s="3">
        <v>38567</v>
      </c>
      <c r="C2043">
        <v>135.69</v>
      </c>
      <c r="D2043">
        <v>1.2337</v>
      </c>
      <c r="E2043">
        <v>59.65</v>
      </c>
      <c r="F2043">
        <v>167.15</v>
      </c>
      <c r="K2043" s="3"/>
      <c r="O2043" s="3"/>
    </row>
    <row r="2044" spans="1:15">
      <c r="A2044" s="3">
        <v>38568</v>
      </c>
      <c r="B2044" s="3">
        <v>38568</v>
      </c>
      <c r="C2044">
        <v>135.38999999999999</v>
      </c>
      <c r="D2044">
        <v>1.2383999999999999</v>
      </c>
      <c r="E2044">
        <v>60.12</v>
      </c>
      <c r="F2044">
        <v>165.45</v>
      </c>
      <c r="K2044" s="3"/>
      <c r="O2044" s="3"/>
    </row>
    <row r="2045" spans="1:15">
      <c r="A2045" s="3">
        <v>38569</v>
      </c>
      <c r="B2045" s="3">
        <v>38569</v>
      </c>
      <c r="C2045">
        <v>135.61000000000001</v>
      </c>
      <c r="D2045">
        <v>1.2359</v>
      </c>
      <c r="E2045">
        <v>61.07</v>
      </c>
      <c r="F2045">
        <v>164.9</v>
      </c>
      <c r="K2045" s="3"/>
      <c r="O2045" s="3"/>
    </row>
    <row r="2046" spans="1:15">
      <c r="A2046" s="3">
        <v>38570</v>
      </c>
      <c r="B2046" s="3">
        <v>38570</v>
      </c>
      <c r="C2046">
        <v>135.61000000000001</v>
      </c>
      <c r="D2046">
        <v>1.2359</v>
      </c>
      <c r="E2046">
        <v>61.07</v>
      </c>
      <c r="F2046">
        <v>164.9</v>
      </c>
      <c r="K2046" s="3"/>
      <c r="O2046" s="3"/>
    </row>
    <row r="2047" spans="1:15">
      <c r="A2047" s="3">
        <v>38571</v>
      </c>
      <c r="B2047" s="3">
        <v>38571</v>
      </c>
      <c r="C2047">
        <v>135.61000000000001</v>
      </c>
      <c r="D2047">
        <v>1.2359</v>
      </c>
      <c r="E2047">
        <v>61.07</v>
      </c>
      <c r="F2047">
        <v>164.9</v>
      </c>
      <c r="K2047" s="3"/>
      <c r="O2047" s="3"/>
    </row>
    <row r="2048" spans="1:15">
      <c r="A2048" s="3">
        <v>38572</v>
      </c>
      <c r="B2048" s="3">
        <v>38572</v>
      </c>
      <c r="C2048">
        <v>135.83000000000001</v>
      </c>
      <c r="D2048">
        <v>1.2351000000000001</v>
      </c>
      <c r="E2048">
        <v>62.7</v>
      </c>
      <c r="F2048">
        <v>164.65</v>
      </c>
      <c r="K2048" s="3"/>
      <c r="O2048" s="3"/>
    </row>
    <row r="2049" spans="1:15">
      <c r="A2049" s="3">
        <v>38573</v>
      </c>
      <c r="B2049" s="3">
        <v>38573</v>
      </c>
      <c r="C2049">
        <v>135.51</v>
      </c>
      <c r="D2049">
        <v>1.2370000000000001</v>
      </c>
      <c r="E2049">
        <v>61.98</v>
      </c>
      <c r="F2049">
        <v>160.75</v>
      </c>
      <c r="K2049" s="3"/>
      <c r="O2049" s="3"/>
    </row>
    <row r="2050" spans="1:15">
      <c r="A2050" s="3">
        <v>38574</v>
      </c>
      <c r="B2050" s="3">
        <v>38574</v>
      </c>
      <c r="C2050">
        <v>135.5</v>
      </c>
      <c r="D2050">
        <v>1.2382</v>
      </c>
      <c r="E2050">
        <v>63.99</v>
      </c>
      <c r="F2050">
        <v>163.44999999999999</v>
      </c>
      <c r="K2050" s="3"/>
      <c r="O2050" s="3"/>
    </row>
    <row r="2051" spans="1:15">
      <c r="A2051" s="3">
        <v>38575</v>
      </c>
      <c r="B2051" s="3">
        <v>38575</v>
      </c>
      <c r="C2051">
        <v>135.29</v>
      </c>
      <c r="D2051">
        <v>1.2471000000000001</v>
      </c>
      <c r="E2051">
        <v>65.38</v>
      </c>
      <c r="F2051">
        <v>164.7</v>
      </c>
      <c r="K2051" s="3"/>
      <c r="O2051" s="3"/>
    </row>
    <row r="2052" spans="1:15">
      <c r="A2052" s="3">
        <v>38576</v>
      </c>
      <c r="B2052" s="3">
        <v>38576</v>
      </c>
      <c r="C2052">
        <v>135.21</v>
      </c>
      <c r="D2052">
        <v>1.2441</v>
      </c>
      <c r="E2052">
        <v>66.45</v>
      </c>
      <c r="F2052">
        <v>167.6</v>
      </c>
      <c r="K2052" s="3"/>
      <c r="O2052" s="3"/>
    </row>
    <row r="2053" spans="1:15">
      <c r="A2053" s="3">
        <v>38577</v>
      </c>
      <c r="B2053" s="3">
        <v>38577</v>
      </c>
      <c r="C2053">
        <v>135.21</v>
      </c>
      <c r="D2053">
        <v>1.2441</v>
      </c>
      <c r="E2053">
        <v>66.45</v>
      </c>
      <c r="F2053">
        <v>167.6</v>
      </c>
      <c r="K2053" s="3"/>
      <c r="O2053" s="3"/>
    </row>
    <row r="2054" spans="1:15">
      <c r="A2054" s="3">
        <v>38578</v>
      </c>
      <c r="B2054" s="3">
        <v>38578</v>
      </c>
      <c r="C2054">
        <v>135.21</v>
      </c>
      <c r="D2054">
        <v>1.2441</v>
      </c>
      <c r="E2054">
        <v>66.45</v>
      </c>
      <c r="F2054">
        <v>167.6</v>
      </c>
      <c r="K2054" s="3"/>
      <c r="O2054" s="3"/>
    </row>
    <row r="2055" spans="1:15">
      <c r="A2055" s="3">
        <v>38579</v>
      </c>
      <c r="B2055" s="3">
        <v>38579</v>
      </c>
      <c r="C2055">
        <v>135.19</v>
      </c>
      <c r="D2055">
        <v>1.2367999999999999</v>
      </c>
      <c r="E2055">
        <v>65.58</v>
      </c>
      <c r="F2055">
        <v>170.75</v>
      </c>
      <c r="K2055" s="3"/>
      <c r="O2055" s="3"/>
    </row>
    <row r="2056" spans="1:15">
      <c r="A2056" s="3">
        <v>38580</v>
      </c>
      <c r="B2056" s="3">
        <v>38580</v>
      </c>
      <c r="C2056">
        <v>135.36000000000001</v>
      </c>
      <c r="D2056">
        <v>1.2363999999999999</v>
      </c>
      <c r="E2056">
        <v>65.41</v>
      </c>
      <c r="F2056">
        <v>171.45</v>
      </c>
      <c r="K2056" s="3"/>
      <c r="O2056" s="3"/>
    </row>
    <row r="2057" spans="1:15">
      <c r="A2057" s="3">
        <v>38581</v>
      </c>
      <c r="B2057" s="3">
        <v>38581</v>
      </c>
      <c r="C2057">
        <v>135.47</v>
      </c>
      <c r="D2057">
        <v>1.2271000000000001</v>
      </c>
      <c r="E2057">
        <v>62.56</v>
      </c>
      <c r="F2057">
        <v>165.7</v>
      </c>
      <c r="K2057" s="3"/>
      <c r="O2057" s="3"/>
    </row>
    <row r="2058" spans="1:15">
      <c r="A2058" s="3">
        <v>38582</v>
      </c>
      <c r="B2058" s="3">
        <v>38582</v>
      </c>
      <c r="C2058">
        <v>135.63999999999999</v>
      </c>
      <c r="D2058">
        <v>1.2175</v>
      </c>
      <c r="E2058">
        <v>62.4</v>
      </c>
      <c r="F2058">
        <v>165.9</v>
      </c>
      <c r="K2058" s="3"/>
      <c r="O2058" s="3"/>
    </row>
    <row r="2059" spans="1:15">
      <c r="A2059" s="3">
        <v>38583</v>
      </c>
      <c r="B2059" s="3">
        <v>38583</v>
      </c>
      <c r="C2059">
        <v>135.27000000000001</v>
      </c>
      <c r="D2059">
        <v>1.2153</v>
      </c>
      <c r="E2059">
        <v>64.36</v>
      </c>
      <c r="F2059">
        <v>165.9</v>
      </c>
      <c r="K2059" s="3"/>
      <c r="O2059" s="3"/>
    </row>
    <row r="2060" spans="1:15">
      <c r="A2060" s="3">
        <v>38584</v>
      </c>
      <c r="B2060" s="3">
        <v>38584</v>
      </c>
      <c r="C2060">
        <v>135.27000000000001</v>
      </c>
      <c r="D2060">
        <v>1.2153</v>
      </c>
      <c r="E2060">
        <v>64.36</v>
      </c>
      <c r="F2060">
        <v>165.9</v>
      </c>
      <c r="K2060" s="3"/>
      <c r="O2060" s="3"/>
    </row>
    <row r="2061" spans="1:15">
      <c r="A2061" s="3">
        <v>38585</v>
      </c>
      <c r="B2061" s="3">
        <v>38585</v>
      </c>
      <c r="C2061">
        <v>135.27000000000001</v>
      </c>
      <c r="D2061">
        <v>1.2153</v>
      </c>
      <c r="E2061">
        <v>64.36</v>
      </c>
      <c r="F2061">
        <v>165.9</v>
      </c>
      <c r="K2061" s="3"/>
      <c r="O2061" s="3"/>
    </row>
    <row r="2062" spans="1:15">
      <c r="A2062" s="3">
        <v>38586</v>
      </c>
      <c r="B2062" s="3">
        <v>38586</v>
      </c>
      <c r="C2062">
        <v>135.44</v>
      </c>
      <c r="D2062">
        <v>1.2229000000000001</v>
      </c>
      <c r="E2062">
        <v>64.5</v>
      </c>
      <c r="F2062">
        <v>168.5</v>
      </c>
      <c r="K2062" s="3"/>
      <c r="O2062" s="3"/>
    </row>
    <row r="2063" spans="1:15">
      <c r="A2063" s="3">
        <v>38587</v>
      </c>
      <c r="B2063" s="3">
        <v>38587</v>
      </c>
      <c r="C2063">
        <v>135.44999999999999</v>
      </c>
      <c r="D2063">
        <v>1.2236</v>
      </c>
      <c r="E2063">
        <v>64.650000000000006</v>
      </c>
      <c r="F2063">
        <v>169.2</v>
      </c>
      <c r="K2063" s="3"/>
      <c r="O2063" s="3"/>
    </row>
    <row r="2064" spans="1:15">
      <c r="A2064" s="3">
        <v>38588</v>
      </c>
      <c r="B2064" s="3">
        <v>38588</v>
      </c>
      <c r="C2064">
        <v>135.5</v>
      </c>
      <c r="D2064">
        <v>1.2272000000000001</v>
      </c>
      <c r="E2064">
        <v>66.010000000000005</v>
      </c>
      <c r="F2064">
        <v>166.7</v>
      </c>
      <c r="K2064" s="3"/>
      <c r="O2064" s="3"/>
    </row>
    <row r="2065" spans="1:15">
      <c r="A2065" s="3">
        <v>38589</v>
      </c>
      <c r="B2065" s="3">
        <v>38589</v>
      </c>
      <c r="C2065">
        <v>135.19</v>
      </c>
      <c r="D2065">
        <v>1.2301</v>
      </c>
      <c r="E2065">
        <v>66.27</v>
      </c>
      <c r="F2065">
        <v>164.9</v>
      </c>
      <c r="K2065" s="3"/>
      <c r="O2065" s="3"/>
    </row>
    <row r="2066" spans="1:15">
      <c r="A2066" s="3">
        <v>38590</v>
      </c>
      <c r="B2066" s="3">
        <v>38590</v>
      </c>
      <c r="C2066">
        <v>135.27000000000001</v>
      </c>
      <c r="D2066">
        <v>1.2289000000000001</v>
      </c>
      <c r="E2066">
        <v>64.87</v>
      </c>
      <c r="F2066">
        <v>169.3</v>
      </c>
      <c r="K2066" s="3"/>
      <c r="O2066" s="3"/>
    </row>
    <row r="2067" spans="1:15">
      <c r="A2067" s="3">
        <v>38591</v>
      </c>
      <c r="B2067" s="3">
        <v>38591</v>
      </c>
      <c r="C2067">
        <v>135.27000000000001</v>
      </c>
      <c r="D2067">
        <v>1.2289000000000001</v>
      </c>
      <c r="E2067">
        <v>64.87</v>
      </c>
      <c r="F2067">
        <v>169.3</v>
      </c>
      <c r="K2067" s="3"/>
      <c r="O2067" s="3"/>
    </row>
    <row r="2068" spans="1:15">
      <c r="A2068" s="3">
        <v>38592</v>
      </c>
      <c r="B2068" s="3">
        <v>38592</v>
      </c>
      <c r="C2068">
        <v>135.27000000000001</v>
      </c>
      <c r="D2068">
        <v>1.2289000000000001</v>
      </c>
      <c r="E2068">
        <v>64.87</v>
      </c>
      <c r="F2068">
        <v>169.3</v>
      </c>
      <c r="K2068" s="3"/>
      <c r="O2068" s="3"/>
    </row>
    <row r="2069" spans="1:15">
      <c r="A2069" s="3">
        <v>38593</v>
      </c>
      <c r="B2069" s="3">
        <v>38593</v>
      </c>
      <c r="C2069">
        <v>135.27000000000001</v>
      </c>
      <c r="D2069">
        <v>1.2235</v>
      </c>
      <c r="E2069">
        <v>64.87</v>
      </c>
      <c r="F2069">
        <v>167.65</v>
      </c>
      <c r="K2069" s="3"/>
      <c r="O2069" s="3"/>
    </row>
    <row r="2070" spans="1:15">
      <c r="A2070" s="3">
        <v>38594</v>
      </c>
      <c r="B2070" s="3">
        <v>38594</v>
      </c>
      <c r="C2070">
        <v>135.27000000000001</v>
      </c>
      <c r="D2070">
        <v>1.2221</v>
      </c>
      <c r="E2070">
        <v>67.569999999999993</v>
      </c>
      <c r="F2070">
        <v>170.95</v>
      </c>
      <c r="K2070" s="3"/>
      <c r="O2070" s="3"/>
    </row>
    <row r="2071" spans="1:15">
      <c r="A2071" s="3">
        <v>38595</v>
      </c>
      <c r="B2071" s="3">
        <v>38595</v>
      </c>
      <c r="C2071">
        <v>135.29</v>
      </c>
      <c r="D2071">
        <v>1.2345999999999999</v>
      </c>
      <c r="E2071">
        <v>67.02</v>
      </c>
      <c r="F2071">
        <v>169.5</v>
      </c>
      <c r="K2071" s="3"/>
      <c r="O2071" s="3"/>
    </row>
    <row r="2072" spans="1:15">
      <c r="A2072" s="3">
        <v>38596</v>
      </c>
      <c r="B2072" s="3">
        <v>38596</v>
      </c>
      <c r="C2072">
        <v>135.31</v>
      </c>
      <c r="D2072">
        <v>1.2502</v>
      </c>
      <c r="E2072">
        <v>67.72</v>
      </c>
      <c r="F2072">
        <v>172.7</v>
      </c>
      <c r="K2072" s="3"/>
      <c r="O2072" s="3"/>
    </row>
    <row r="2073" spans="1:15">
      <c r="A2073" s="3">
        <v>38597</v>
      </c>
      <c r="B2073" s="3">
        <v>38597</v>
      </c>
      <c r="C2073">
        <v>135.13</v>
      </c>
      <c r="D2073">
        <v>1.2531000000000001</v>
      </c>
      <c r="E2073">
        <v>66.06</v>
      </c>
      <c r="F2073">
        <v>174.7</v>
      </c>
      <c r="K2073" s="3"/>
      <c r="O2073" s="3"/>
    </row>
    <row r="2074" spans="1:15">
      <c r="A2074" s="3">
        <v>38598</v>
      </c>
      <c r="B2074" s="3">
        <v>38598</v>
      </c>
      <c r="C2074">
        <v>135.13</v>
      </c>
      <c r="D2074">
        <v>1.2531000000000001</v>
      </c>
      <c r="E2074">
        <v>66.06</v>
      </c>
      <c r="F2074">
        <v>174.7</v>
      </c>
      <c r="K2074" s="3"/>
      <c r="O2074" s="3"/>
    </row>
    <row r="2075" spans="1:15">
      <c r="A2075" s="3">
        <v>38599</v>
      </c>
      <c r="B2075" s="3">
        <v>38599</v>
      </c>
      <c r="C2075">
        <v>135.13</v>
      </c>
      <c r="D2075">
        <v>1.2531000000000001</v>
      </c>
      <c r="E2075">
        <v>66.06</v>
      </c>
      <c r="F2075">
        <v>174.7</v>
      </c>
      <c r="K2075" s="3"/>
      <c r="O2075" s="3"/>
    </row>
    <row r="2076" spans="1:15">
      <c r="A2076" s="3">
        <v>38600</v>
      </c>
      <c r="B2076" s="3">
        <v>38600</v>
      </c>
      <c r="C2076">
        <v>134.77000000000001</v>
      </c>
      <c r="D2076">
        <v>1.2542</v>
      </c>
      <c r="E2076">
        <v>64.849999999999994</v>
      </c>
      <c r="F2076">
        <v>174.7</v>
      </c>
      <c r="K2076" s="3"/>
      <c r="O2076" s="3"/>
    </row>
    <row r="2077" spans="1:15">
      <c r="A2077" s="3">
        <v>38601</v>
      </c>
      <c r="B2077" s="3">
        <v>38601</v>
      </c>
      <c r="C2077">
        <v>134.24</v>
      </c>
      <c r="D2077">
        <v>1.2464999999999999</v>
      </c>
      <c r="E2077">
        <v>64.67</v>
      </c>
      <c r="F2077">
        <v>173.6</v>
      </c>
      <c r="K2077" s="3"/>
      <c r="O2077" s="3"/>
    </row>
    <row r="2078" spans="1:15">
      <c r="A2078" s="3">
        <v>38602</v>
      </c>
      <c r="B2078" s="3">
        <v>38602</v>
      </c>
      <c r="C2078">
        <v>134.27000000000001</v>
      </c>
      <c r="D2078">
        <v>1.2417</v>
      </c>
      <c r="E2078">
        <v>62.89</v>
      </c>
      <c r="F2078">
        <v>172.1</v>
      </c>
      <c r="K2078" s="3"/>
      <c r="O2078" s="3"/>
    </row>
    <row r="2079" spans="1:15">
      <c r="A2079" s="3">
        <v>38603</v>
      </c>
      <c r="B2079" s="3">
        <v>38603</v>
      </c>
      <c r="C2079">
        <v>134.31</v>
      </c>
      <c r="D2079">
        <v>1.2399</v>
      </c>
      <c r="E2079">
        <v>63.08</v>
      </c>
      <c r="F2079">
        <v>169.65</v>
      </c>
      <c r="K2079" s="3"/>
      <c r="O2079" s="3"/>
    </row>
    <row r="2080" spans="1:15">
      <c r="A2080" s="3">
        <v>38604</v>
      </c>
      <c r="B2080" s="3">
        <v>38604</v>
      </c>
      <c r="C2080">
        <v>134.06</v>
      </c>
      <c r="D2080">
        <v>1.2410000000000001</v>
      </c>
      <c r="E2080">
        <v>62.84</v>
      </c>
      <c r="F2080">
        <v>168.4</v>
      </c>
      <c r="K2080" s="3"/>
      <c r="O2080" s="3"/>
    </row>
    <row r="2081" spans="1:15">
      <c r="A2081" s="3">
        <v>38605</v>
      </c>
      <c r="B2081" s="3">
        <v>38605</v>
      </c>
      <c r="C2081">
        <v>134.06</v>
      </c>
      <c r="D2081">
        <v>1.2410000000000001</v>
      </c>
      <c r="E2081">
        <v>62.84</v>
      </c>
      <c r="F2081">
        <v>168.4</v>
      </c>
      <c r="K2081" s="3"/>
      <c r="O2081" s="3"/>
    </row>
    <row r="2082" spans="1:15">
      <c r="A2082" s="3">
        <v>38606</v>
      </c>
      <c r="B2082" s="3">
        <v>38606</v>
      </c>
      <c r="C2082">
        <v>134.06</v>
      </c>
      <c r="D2082">
        <v>1.2410000000000001</v>
      </c>
      <c r="E2082">
        <v>62.84</v>
      </c>
      <c r="F2082">
        <v>168.4</v>
      </c>
      <c r="K2082" s="3"/>
      <c r="O2082" s="3"/>
    </row>
    <row r="2083" spans="1:15">
      <c r="A2083" s="3">
        <v>38607</v>
      </c>
      <c r="B2083" s="3">
        <v>38607</v>
      </c>
      <c r="C2083">
        <v>133.97999999999999</v>
      </c>
      <c r="D2083">
        <v>1.2285999999999999</v>
      </c>
      <c r="E2083">
        <v>61.8</v>
      </c>
      <c r="F2083">
        <v>171.9</v>
      </c>
      <c r="K2083" s="3"/>
      <c r="O2083" s="3"/>
    </row>
    <row r="2084" spans="1:15">
      <c r="A2084" s="3">
        <v>38608</v>
      </c>
      <c r="B2084" s="3">
        <v>38608</v>
      </c>
      <c r="C2084">
        <v>134.11000000000001</v>
      </c>
      <c r="D2084">
        <v>1.2266999999999999</v>
      </c>
      <c r="E2084">
        <v>61.61</v>
      </c>
      <c r="F2084">
        <v>170</v>
      </c>
      <c r="K2084" s="3"/>
      <c r="O2084" s="3"/>
    </row>
    <row r="2085" spans="1:15">
      <c r="A2085" s="3">
        <v>38609</v>
      </c>
      <c r="B2085" s="3">
        <v>38609</v>
      </c>
      <c r="C2085">
        <v>134.11000000000001</v>
      </c>
      <c r="D2085">
        <v>1.2285999999999999</v>
      </c>
      <c r="E2085">
        <v>63.37</v>
      </c>
      <c r="F2085">
        <v>168.2</v>
      </c>
      <c r="K2085" s="3"/>
      <c r="O2085" s="3"/>
    </row>
    <row r="2086" spans="1:15">
      <c r="A2086" s="3">
        <v>38610</v>
      </c>
      <c r="B2086" s="3">
        <v>38610</v>
      </c>
      <c r="C2086">
        <v>133.99</v>
      </c>
      <c r="D2086">
        <v>1.2223999999999999</v>
      </c>
      <c r="E2086">
        <v>63.16</v>
      </c>
      <c r="F2086">
        <v>167.8</v>
      </c>
      <c r="K2086" s="3"/>
      <c r="O2086" s="3"/>
    </row>
    <row r="2087" spans="1:15">
      <c r="A2087" s="3">
        <v>38611</v>
      </c>
      <c r="B2087" s="3">
        <v>38611</v>
      </c>
      <c r="C2087">
        <v>134.05000000000001</v>
      </c>
      <c r="D2087">
        <v>1.2237</v>
      </c>
      <c r="E2087">
        <v>61.81</v>
      </c>
      <c r="F2087">
        <v>167.3</v>
      </c>
      <c r="K2087" s="3"/>
      <c r="O2087" s="3"/>
    </row>
    <row r="2088" spans="1:15">
      <c r="A2088" s="3">
        <v>38612</v>
      </c>
      <c r="B2088" s="3">
        <v>38612</v>
      </c>
      <c r="C2088">
        <v>134.05000000000001</v>
      </c>
      <c r="D2088">
        <v>1.2237</v>
      </c>
      <c r="E2088">
        <v>61.81</v>
      </c>
      <c r="F2088">
        <v>167.3</v>
      </c>
      <c r="K2088" s="3"/>
      <c r="O2088" s="3"/>
    </row>
    <row r="2089" spans="1:15">
      <c r="A2089" s="3">
        <v>38613</v>
      </c>
      <c r="B2089" s="3">
        <v>38613</v>
      </c>
      <c r="C2089">
        <v>134.05000000000001</v>
      </c>
      <c r="D2089">
        <v>1.2237</v>
      </c>
      <c r="E2089">
        <v>61.81</v>
      </c>
      <c r="F2089">
        <v>167.3</v>
      </c>
      <c r="K2089" s="3"/>
      <c r="O2089" s="3"/>
    </row>
    <row r="2090" spans="1:15">
      <c r="A2090" s="3">
        <v>38614</v>
      </c>
      <c r="B2090" s="3">
        <v>38614</v>
      </c>
      <c r="C2090">
        <v>134.28</v>
      </c>
      <c r="D2090">
        <v>1.2141999999999999</v>
      </c>
      <c r="E2090">
        <v>65.61</v>
      </c>
      <c r="F2090">
        <v>173.95</v>
      </c>
      <c r="K2090" s="3"/>
      <c r="O2090" s="3"/>
    </row>
    <row r="2091" spans="1:15">
      <c r="A2091" s="3">
        <v>38615</v>
      </c>
      <c r="B2091" s="3">
        <v>38615</v>
      </c>
      <c r="C2091">
        <v>133.99</v>
      </c>
      <c r="D2091">
        <v>1.2115</v>
      </c>
      <c r="E2091">
        <v>64.2</v>
      </c>
      <c r="F2091">
        <v>174.95</v>
      </c>
      <c r="K2091" s="3"/>
      <c r="O2091" s="3"/>
    </row>
    <row r="2092" spans="1:15">
      <c r="A2092" s="3">
        <v>38616</v>
      </c>
      <c r="B2092" s="3">
        <v>38616</v>
      </c>
      <c r="C2092">
        <v>134.02000000000001</v>
      </c>
      <c r="D2092">
        <v>1.2214</v>
      </c>
      <c r="E2092">
        <v>64.73</v>
      </c>
      <c r="F2092">
        <v>179.65</v>
      </c>
      <c r="K2092" s="3"/>
      <c r="O2092" s="3"/>
    </row>
    <row r="2093" spans="1:15">
      <c r="A2093" s="3">
        <v>38617</v>
      </c>
      <c r="B2093" s="3">
        <v>38617</v>
      </c>
      <c r="C2093">
        <v>133.94999999999999</v>
      </c>
      <c r="D2093">
        <v>1.2155</v>
      </c>
      <c r="E2093">
        <v>64.599999999999994</v>
      </c>
      <c r="F2093">
        <v>181</v>
      </c>
      <c r="K2093" s="3"/>
      <c r="O2093" s="3"/>
    </row>
    <row r="2094" spans="1:15">
      <c r="A2094" s="3">
        <v>38618</v>
      </c>
      <c r="B2094" s="3">
        <v>38618</v>
      </c>
      <c r="C2094">
        <v>134.18</v>
      </c>
      <c r="D2094">
        <v>1.204</v>
      </c>
      <c r="E2094">
        <v>62.44</v>
      </c>
      <c r="F2094">
        <v>179.85</v>
      </c>
      <c r="K2094" s="3"/>
      <c r="O2094" s="3"/>
    </row>
    <row r="2095" spans="1:15">
      <c r="A2095" s="3">
        <v>38619</v>
      </c>
      <c r="B2095" s="3">
        <v>38619</v>
      </c>
      <c r="C2095">
        <v>134.18</v>
      </c>
      <c r="D2095">
        <v>1.204</v>
      </c>
      <c r="E2095">
        <v>62.44</v>
      </c>
      <c r="F2095">
        <v>179.85</v>
      </c>
      <c r="K2095" s="3"/>
      <c r="O2095" s="3"/>
    </row>
    <row r="2096" spans="1:15">
      <c r="A2096" s="3">
        <v>38620</v>
      </c>
      <c r="B2096" s="3">
        <v>38620</v>
      </c>
      <c r="C2096">
        <v>134.18</v>
      </c>
      <c r="D2096">
        <v>1.204</v>
      </c>
      <c r="E2096">
        <v>62.44</v>
      </c>
      <c r="F2096">
        <v>179.85</v>
      </c>
      <c r="K2096" s="3"/>
      <c r="O2096" s="3"/>
    </row>
    <row r="2097" spans="1:15">
      <c r="A2097" s="3">
        <v>38621</v>
      </c>
      <c r="B2097" s="3">
        <v>38621</v>
      </c>
      <c r="C2097">
        <v>134.18</v>
      </c>
      <c r="D2097">
        <v>1.2072000000000001</v>
      </c>
      <c r="E2097">
        <v>63.93</v>
      </c>
      <c r="F2097">
        <v>184.1</v>
      </c>
      <c r="K2097" s="3"/>
      <c r="O2097" s="3"/>
    </row>
    <row r="2098" spans="1:15">
      <c r="A2098" s="3">
        <v>38622</v>
      </c>
      <c r="B2098" s="3">
        <v>38622</v>
      </c>
      <c r="C2098">
        <v>133.97</v>
      </c>
      <c r="D2098">
        <v>1.2014</v>
      </c>
      <c r="E2098">
        <v>62.97</v>
      </c>
      <c r="F2098">
        <v>183.8</v>
      </c>
      <c r="K2098" s="3"/>
      <c r="O2098" s="3"/>
    </row>
    <row r="2099" spans="1:15">
      <c r="A2099" s="3">
        <v>38623</v>
      </c>
      <c r="B2099" s="3">
        <v>38623</v>
      </c>
      <c r="C2099">
        <v>133.9</v>
      </c>
      <c r="D2099">
        <v>1.2036</v>
      </c>
      <c r="E2099">
        <v>63.93</v>
      </c>
      <c r="F2099">
        <v>187.65</v>
      </c>
      <c r="K2099" s="3"/>
      <c r="O2099" s="3"/>
    </row>
    <row r="2100" spans="1:15">
      <c r="A2100" s="3">
        <v>38624</v>
      </c>
      <c r="B2100" s="3">
        <v>38624</v>
      </c>
      <c r="C2100">
        <v>133.84</v>
      </c>
      <c r="D2100">
        <v>1.2032</v>
      </c>
      <c r="E2100">
        <v>63.84</v>
      </c>
      <c r="F2100">
        <v>173.95</v>
      </c>
      <c r="K2100" s="3"/>
      <c r="O2100" s="3"/>
    </row>
    <row r="2101" spans="1:15">
      <c r="A2101" s="3">
        <v>38625</v>
      </c>
      <c r="B2101" s="3">
        <v>38625</v>
      </c>
      <c r="C2101">
        <v>133.69</v>
      </c>
      <c r="D2101">
        <v>1.2025999999999999</v>
      </c>
      <c r="E2101">
        <v>63.48</v>
      </c>
      <c r="F2101">
        <v>172.75</v>
      </c>
      <c r="K2101" s="3"/>
      <c r="O2101" s="3"/>
    </row>
    <row r="2102" spans="1:15">
      <c r="A2102" s="3">
        <v>38626</v>
      </c>
      <c r="B2102" s="3">
        <v>38626</v>
      </c>
      <c r="C2102">
        <v>133.69</v>
      </c>
      <c r="D2102">
        <v>1.2025999999999999</v>
      </c>
      <c r="E2102">
        <v>63.48</v>
      </c>
      <c r="F2102">
        <v>172.75</v>
      </c>
      <c r="K2102" s="3"/>
      <c r="O2102" s="3"/>
    </row>
    <row r="2103" spans="1:15">
      <c r="A2103" s="3">
        <v>38627</v>
      </c>
      <c r="B2103" s="3">
        <v>38627</v>
      </c>
      <c r="C2103">
        <v>133.69</v>
      </c>
      <c r="D2103">
        <v>1.2025999999999999</v>
      </c>
      <c r="E2103">
        <v>63.48</v>
      </c>
      <c r="F2103">
        <v>172.75</v>
      </c>
      <c r="K2103" s="3"/>
      <c r="O2103" s="3"/>
    </row>
    <row r="2104" spans="1:15">
      <c r="A2104" s="3">
        <v>38628</v>
      </c>
      <c r="B2104" s="3">
        <v>38628</v>
      </c>
      <c r="C2104">
        <v>133.66999999999999</v>
      </c>
      <c r="D2104">
        <v>1.1918</v>
      </c>
      <c r="E2104">
        <v>62.8</v>
      </c>
      <c r="F2104">
        <v>175.9</v>
      </c>
      <c r="K2104" s="3"/>
      <c r="O2104" s="3"/>
    </row>
    <row r="2105" spans="1:15">
      <c r="A2105" s="3">
        <v>38629</v>
      </c>
      <c r="B2105" s="3">
        <v>38629</v>
      </c>
      <c r="C2105">
        <v>133.65</v>
      </c>
      <c r="D2105">
        <v>1.1918</v>
      </c>
      <c r="E2105">
        <v>61.22</v>
      </c>
      <c r="F2105">
        <v>176.6</v>
      </c>
      <c r="K2105" s="3"/>
      <c r="O2105" s="3"/>
    </row>
    <row r="2106" spans="1:15">
      <c r="A2106" s="3">
        <v>38630</v>
      </c>
      <c r="B2106" s="3">
        <v>38630</v>
      </c>
      <c r="C2106">
        <v>133.6</v>
      </c>
      <c r="D2106">
        <v>1.1975</v>
      </c>
      <c r="E2106">
        <v>60.12</v>
      </c>
      <c r="F2106">
        <v>178.65</v>
      </c>
      <c r="K2106" s="3"/>
      <c r="O2106" s="3"/>
    </row>
    <row r="2107" spans="1:15">
      <c r="A2107" s="3">
        <v>38631</v>
      </c>
      <c r="B2107" s="3">
        <v>38631</v>
      </c>
      <c r="C2107">
        <v>133.6</v>
      </c>
      <c r="D2107">
        <v>1.2179</v>
      </c>
      <c r="E2107">
        <v>58.37</v>
      </c>
      <c r="F2107">
        <v>178.3</v>
      </c>
      <c r="K2107" s="3"/>
      <c r="O2107" s="3"/>
    </row>
    <row r="2108" spans="1:15">
      <c r="A2108" s="3">
        <v>38632</v>
      </c>
      <c r="B2108" s="3">
        <v>38632</v>
      </c>
      <c r="C2108">
        <v>133.59</v>
      </c>
      <c r="D2108">
        <v>1.2130000000000001</v>
      </c>
      <c r="E2108">
        <v>59.21</v>
      </c>
      <c r="F2108">
        <v>180.85</v>
      </c>
      <c r="K2108" s="3"/>
      <c r="O2108" s="3"/>
    </row>
    <row r="2109" spans="1:15">
      <c r="A2109" s="3">
        <v>38633</v>
      </c>
      <c r="B2109" s="3">
        <v>38633</v>
      </c>
      <c r="C2109">
        <v>133.59</v>
      </c>
      <c r="D2109">
        <v>1.2130000000000001</v>
      </c>
      <c r="E2109">
        <v>59.21</v>
      </c>
      <c r="F2109">
        <v>180.85</v>
      </c>
      <c r="K2109" s="3"/>
      <c r="O2109" s="3"/>
    </row>
    <row r="2110" spans="1:15">
      <c r="A2110" s="3">
        <v>38634</v>
      </c>
      <c r="B2110" s="3">
        <v>38634</v>
      </c>
      <c r="C2110">
        <v>133.59</v>
      </c>
      <c r="D2110">
        <v>1.2130000000000001</v>
      </c>
      <c r="E2110">
        <v>59.21</v>
      </c>
      <c r="F2110">
        <v>180.85</v>
      </c>
      <c r="K2110" s="3"/>
      <c r="O2110" s="3"/>
    </row>
    <row r="2111" spans="1:15">
      <c r="A2111" s="3">
        <v>38635</v>
      </c>
      <c r="B2111" s="3">
        <v>38635</v>
      </c>
      <c r="C2111">
        <v>133.63999999999999</v>
      </c>
      <c r="D2111">
        <v>1.2065999999999999</v>
      </c>
      <c r="E2111">
        <v>58.78</v>
      </c>
      <c r="F2111">
        <v>180.6</v>
      </c>
      <c r="K2111" s="3"/>
      <c r="O2111" s="3"/>
    </row>
    <row r="2112" spans="1:15">
      <c r="A2112" s="3">
        <v>38636</v>
      </c>
      <c r="B2112" s="3">
        <v>38636</v>
      </c>
      <c r="C2112">
        <v>133.77000000000001</v>
      </c>
      <c r="D2112">
        <v>1.1993</v>
      </c>
      <c r="E2112">
        <v>60.08</v>
      </c>
      <c r="F2112">
        <v>183.5</v>
      </c>
      <c r="K2112" s="3"/>
      <c r="O2112" s="3"/>
    </row>
    <row r="2113" spans="1:15">
      <c r="A2113" s="3">
        <v>38637</v>
      </c>
      <c r="B2113" s="3">
        <v>38637</v>
      </c>
      <c r="C2113">
        <v>133.75</v>
      </c>
      <c r="D2113">
        <v>1.2023999999999999</v>
      </c>
      <c r="E2113">
        <v>60.57</v>
      </c>
      <c r="F2113">
        <v>179.35</v>
      </c>
      <c r="K2113" s="3"/>
      <c r="O2113" s="3"/>
    </row>
    <row r="2114" spans="1:15">
      <c r="A2114" s="3">
        <v>38638</v>
      </c>
      <c r="B2114" s="3">
        <v>38638</v>
      </c>
      <c r="C2114">
        <v>134.07</v>
      </c>
      <c r="D2114">
        <v>1.2025999999999999</v>
      </c>
      <c r="E2114">
        <v>60.14</v>
      </c>
      <c r="F2114">
        <v>176.5</v>
      </c>
      <c r="K2114" s="3"/>
      <c r="O2114" s="3"/>
    </row>
    <row r="2115" spans="1:15">
      <c r="A2115" s="3">
        <v>38639</v>
      </c>
      <c r="B2115" s="3">
        <v>38639</v>
      </c>
      <c r="C2115">
        <v>133.88999999999999</v>
      </c>
      <c r="D2115">
        <v>1.2075</v>
      </c>
      <c r="E2115">
        <v>59.35</v>
      </c>
      <c r="F2115">
        <v>175.65</v>
      </c>
      <c r="K2115" s="3"/>
      <c r="O2115" s="3"/>
    </row>
    <row r="2116" spans="1:15">
      <c r="A2116" s="3">
        <v>38640</v>
      </c>
      <c r="B2116" s="3">
        <v>38640</v>
      </c>
      <c r="C2116">
        <v>133.88999999999999</v>
      </c>
      <c r="D2116">
        <v>1.2075</v>
      </c>
      <c r="E2116">
        <v>59.35</v>
      </c>
      <c r="F2116">
        <v>175.65</v>
      </c>
      <c r="K2116" s="3"/>
      <c r="O2116" s="3"/>
    </row>
    <row r="2117" spans="1:15">
      <c r="A2117" s="3">
        <v>38641</v>
      </c>
      <c r="B2117" s="3">
        <v>38641</v>
      </c>
      <c r="C2117">
        <v>133.88999999999999</v>
      </c>
      <c r="D2117">
        <v>1.2075</v>
      </c>
      <c r="E2117">
        <v>59.35</v>
      </c>
      <c r="F2117">
        <v>175.65</v>
      </c>
      <c r="K2117" s="3"/>
      <c r="O2117" s="3"/>
    </row>
    <row r="2118" spans="1:15">
      <c r="A2118" s="3">
        <v>38642</v>
      </c>
      <c r="B2118" s="3">
        <v>38642</v>
      </c>
      <c r="C2118">
        <v>134.09</v>
      </c>
      <c r="D2118">
        <v>1.2024999999999999</v>
      </c>
      <c r="E2118">
        <v>60.57</v>
      </c>
      <c r="F2118">
        <v>182.1</v>
      </c>
      <c r="K2118" s="3"/>
      <c r="O2118" s="3"/>
    </row>
    <row r="2119" spans="1:15">
      <c r="A2119" s="3">
        <v>38643</v>
      </c>
      <c r="B2119" s="3">
        <v>38643</v>
      </c>
      <c r="C2119">
        <v>134.25</v>
      </c>
      <c r="D2119">
        <v>1.1959</v>
      </c>
      <c r="E2119">
        <v>59.28</v>
      </c>
      <c r="F2119">
        <v>182.55</v>
      </c>
      <c r="K2119" s="3"/>
      <c r="O2119" s="3"/>
    </row>
    <row r="2120" spans="1:15">
      <c r="A2120" s="3">
        <v>38644</v>
      </c>
      <c r="B2120" s="3">
        <v>38644</v>
      </c>
      <c r="C2120">
        <v>134.06</v>
      </c>
      <c r="D2120">
        <v>1.1992</v>
      </c>
      <c r="E2120">
        <v>58.6</v>
      </c>
      <c r="F2120">
        <v>180.6</v>
      </c>
      <c r="K2120" s="3"/>
      <c r="O2120" s="3"/>
    </row>
    <row r="2121" spans="1:15">
      <c r="A2121" s="3">
        <v>38645</v>
      </c>
      <c r="B2121" s="3">
        <v>38645</v>
      </c>
      <c r="C2121">
        <v>133.80000000000001</v>
      </c>
      <c r="D2121">
        <v>1.2022999999999999</v>
      </c>
      <c r="E2121">
        <v>57.91</v>
      </c>
      <c r="F2121">
        <v>179.3</v>
      </c>
      <c r="K2121" s="3"/>
      <c r="O2121" s="3"/>
    </row>
    <row r="2122" spans="1:15">
      <c r="A2122" s="3">
        <v>38646</v>
      </c>
      <c r="B2122" s="3">
        <v>38646</v>
      </c>
      <c r="C2122">
        <v>133.72999999999999</v>
      </c>
      <c r="D2122">
        <v>1.1954</v>
      </c>
      <c r="E2122">
        <v>58.48</v>
      </c>
      <c r="F2122">
        <v>179.3</v>
      </c>
      <c r="K2122" s="3"/>
      <c r="O2122" s="3"/>
    </row>
    <row r="2123" spans="1:15">
      <c r="A2123" s="3">
        <v>38647</v>
      </c>
      <c r="B2123" s="3">
        <v>38647</v>
      </c>
      <c r="C2123">
        <v>133.72999999999999</v>
      </c>
      <c r="D2123">
        <v>1.1954</v>
      </c>
      <c r="E2123">
        <v>58.48</v>
      </c>
      <c r="F2123">
        <v>179.3</v>
      </c>
      <c r="K2123" s="3"/>
      <c r="O2123" s="3"/>
    </row>
    <row r="2124" spans="1:15">
      <c r="A2124" s="3">
        <v>38648</v>
      </c>
      <c r="B2124" s="3">
        <v>38648</v>
      </c>
      <c r="C2124">
        <v>133.72999999999999</v>
      </c>
      <c r="D2124">
        <v>1.1954</v>
      </c>
      <c r="E2124">
        <v>58.48</v>
      </c>
      <c r="F2124">
        <v>179.3</v>
      </c>
      <c r="K2124" s="3"/>
      <c r="O2124" s="3"/>
    </row>
    <row r="2125" spans="1:15">
      <c r="A2125" s="3">
        <v>38649</v>
      </c>
      <c r="B2125" s="3">
        <v>38649</v>
      </c>
      <c r="C2125">
        <v>133.71</v>
      </c>
      <c r="D2125">
        <v>1.1986000000000001</v>
      </c>
      <c r="E2125">
        <v>58.24</v>
      </c>
      <c r="F2125">
        <v>178.45</v>
      </c>
      <c r="K2125" s="3"/>
      <c r="O2125" s="3"/>
    </row>
    <row r="2126" spans="1:15">
      <c r="A2126" s="3">
        <v>38650</v>
      </c>
      <c r="B2126" s="3">
        <v>38650</v>
      </c>
      <c r="C2126">
        <v>133.71</v>
      </c>
      <c r="D2126">
        <v>1.2105999999999999</v>
      </c>
      <c r="E2126">
        <v>60.24</v>
      </c>
      <c r="F2126">
        <v>182.45</v>
      </c>
      <c r="K2126" s="3"/>
      <c r="O2126" s="3"/>
    </row>
    <row r="2127" spans="1:15">
      <c r="A2127" s="3">
        <v>38651</v>
      </c>
      <c r="B2127" s="3">
        <v>38651</v>
      </c>
      <c r="C2127">
        <v>133.86000000000001</v>
      </c>
      <c r="D2127">
        <v>1.2069000000000001</v>
      </c>
      <c r="E2127">
        <v>58.87</v>
      </c>
      <c r="F2127">
        <v>181.8</v>
      </c>
      <c r="K2127" s="3"/>
      <c r="O2127" s="3"/>
    </row>
    <row r="2128" spans="1:15">
      <c r="A2128" s="3">
        <v>38652</v>
      </c>
      <c r="B2128" s="3">
        <v>38652</v>
      </c>
      <c r="C2128">
        <v>133.99</v>
      </c>
      <c r="D2128">
        <v>1.2141</v>
      </c>
      <c r="E2128">
        <v>59.14</v>
      </c>
      <c r="F2128">
        <v>180.4</v>
      </c>
      <c r="K2128" s="3"/>
      <c r="O2128" s="3"/>
    </row>
    <row r="2129" spans="1:15">
      <c r="A2129" s="3">
        <v>38653</v>
      </c>
      <c r="B2129" s="3">
        <v>38653</v>
      </c>
      <c r="C2129">
        <v>134.01</v>
      </c>
      <c r="D2129">
        <v>1.2069000000000001</v>
      </c>
      <c r="E2129">
        <v>59.42</v>
      </c>
      <c r="F2129">
        <v>182</v>
      </c>
      <c r="K2129" s="3"/>
      <c r="O2129" s="3"/>
    </row>
    <row r="2130" spans="1:15">
      <c r="A2130" s="3">
        <v>38654</v>
      </c>
      <c r="B2130" s="3">
        <v>38654</v>
      </c>
      <c r="C2130">
        <v>134.01</v>
      </c>
      <c r="D2130">
        <v>1.2069000000000001</v>
      </c>
      <c r="E2130">
        <v>59.42</v>
      </c>
      <c r="F2130">
        <v>182</v>
      </c>
      <c r="K2130" s="3"/>
      <c r="O2130" s="3"/>
    </row>
    <row r="2131" spans="1:15">
      <c r="A2131" s="3">
        <v>38655</v>
      </c>
      <c r="B2131" s="3">
        <v>38655</v>
      </c>
      <c r="C2131">
        <v>134.01</v>
      </c>
      <c r="D2131">
        <v>1.2069000000000001</v>
      </c>
      <c r="E2131">
        <v>59.42</v>
      </c>
      <c r="F2131">
        <v>182</v>
      </c>
      <c r="K2131" s="3"/>
      <c r="O2131" s="3"/>
    </row>
    <row r="2132" spans="1:15">
      <c r="A2132" s="3">
        <v>38656</v>
      </c>
      <c r="B2132" s="3">
        <v>38656</v>
      </c>
      <c r="C2132">
        <v>133.99</v>
      </c>
      <c r="D2132">
        <v>1.1992</v>
      </c>
      <c r="E2132">
        <v>58.1</v>
      </c>
      <c r="F2132">
        <v>181.1</v>
      </c>
      <c r="K2132" s="3"/>
      <c r="O2132" s="3"/>
    </row>
    <row r="2133" spans="1:15">
      <c r="A2133" s="3">
        <v>38657</v>
      </c>
      <c r="B2133" s="3">
        <v>38657</v>
      </c>
      <c r="C2133">
        <v>133.72</v>
      </c>
      <c r="D2133">
        <v>1.2019</v>
      </c>
      <c r="E2133">
        <v>58.37</v>
      </c>
      <c r="F2133">
        <v>181.6</v>
      </c>
      <c r="K2133" s="3"/>
      <c r="O2133" s="3"/>
    </row>
    <row r="2134" spans="1:15">
      <c r="A2134" s="3">
        <v>38658</v>
      </c>
      <c r="B2134" s="3">
        <v>38658</v>
      </c>
      <c r="C2134">
        <v>133.86000000000001</v>
      </c>
      <c r="D2134">
        <v>1.2073</v>
      </c>
      <c r="E2134">
        <v>58.38</v>
      </c>
      <c r="F2134">
        <v>183.05</v>
      </c>
      <c r="K2134" s="3"/>
      <c r="O2134" s="3"/>
    </row>
    <row r="2135" spans="1:15">
      <c r="A2135" s="3">
        <v>38659</v>
      </c>
      <c r="B2135" s="3">
        <v>38659</v>
      </c>
      <c r="C2135">
        <v>133.87</v>
      </c>
      <c r="D2135">
        <v>1.1944999999999999</v>
      </c>
      <c r="E2135">
        <v>60.52</v>
      </c>
      <c r="F2135">
        <v>182.7</v>
      </c>
      <c r="K2135" s="3"/>
      <c r="O2135" s="3"/>
    </row>
    <row r="2136" spans="1:15">
      <c r="A2136" s="3">
        <v>38660</v>
      </c>
      <c r="B2136" s="3">
        <v>38660</v>
      </c>
      <c r="C2136">
        <v>133.91999999999999</v>
      </c>
      <c r="D2136">
        <v>1.1813</v>
      </c>
      <c r="E2136">
        <v>59.25</v>
      </c>
      <c r="F2136">
        <v>184.6</v>
      </c>
      <c r="K2136" s="3"/>
      <c r="O2136" s="3"/>
    </row>
    <row r="2137" spans="1:15">
      <c r="A2137" s="3">
        <v>38661</v>
      </c>
      <c r="B2137" s="3">
        <v>38661</v>
      </c>
      <c r="C2137">
        <v>133.91999999999999</v>
      </c>
      <c r="D2137">
        <v>1.1813</v>
      </c>
      <c r="E2137">
        <v>59.25</v>
      </c>
      <c r="F2137">
        <v>184.6</v>
      </c>
      <c r="K2137" s="3"/>
      <c r="O2137" s="3"/>
    </row>
    <row r="2138" spans="1:15">
      <c r="A2138" s="3">
        <v>38662</v>
      </c>
      <c r="B2138" s="3">
        <v>38662</v>
      </c>
      <c r="C2138">
        <v>133.91999999999999</v>
      </c>
      <c r="D2138">
        <v>1.1813</v>
      </c>
      <c r="E2138">
        <v>59.25</v>
      </c>
      <c r="F2138">
        <v>184.6</v>
      </c>
      <c r="K2138" s="3"/>
      <c r="O2138" s="3"/>
    </row>
    <row r="2139" spans="1:15">
      <c r="A2139" s="3">
        <v>38663</v>
      </c>
      <c r="B2139" s="3">
        <v>38663</v>
      </c>
      <c r="C2139">
        <v>134.1</v>
      </c>
      <c r="D2139">
        <v>1.1805000000000001</v>
      </c>
      <c r="E2139">
        <v>58.04</v>
      </c>
      <c r="F2139">
        <v>184.75</v>
      </c>
      <c r="K2139" s="3"/>
      <c r="O2139" s="3"/>
    </row>
    <row r="2140" spans="1:15">
      <c r="A2140" s="3">
        <v>38664</v>
      </c>
      <c r="B2140" s="3">
        <v>38664</v>
      </c>
      <c r="C2140">
        <v>134.44</v>
      </c>
      <c r="D2140">
        <v>1.1781999999999999</v>
      </c>
      <c r="E2140">
        <v>57.81</v>
      </c>
      <c r="F2140">
        <v>183.8</v>
      </c>
      <c r="K2140" s="3"/>
      <c r="O2140" s="3"/>
    </row>
    <row r="2141" spans="1:15">
      <c r="A2141" s="3">
        <v>38665</v>
      </c>
      <c r="B2141" s="3">
        <v>38665</v>
      </c>
      <c r="C2141">
        <v>134.4</v>
      </c>
      <c r="D2141">
        <v>1.1765000000000001</v>
      </c>
      <c r="E2141">
        <v>56.88</v>
      </c>
      <c r="F2141">
        <v>183.15</v>
      </c>
      <c r="K2141" s="3"/>
      <c r="O2141" s="3"/>
    </row>
    <row r="2142" spans="1:15">
      <c r="A2142" s="3">
        <v>38666</v>
      </c>
      <c r="B2142" s="3">
        <v>38666</v>
      </c>
      <c r="C2142">
        <v>134.25</v>
      </c>
      <c r="D2142">
        <v>1.1687000000000001</v>
      </c>
      <c r="E2142">
        <v>55.68</v>
      </c>
      <c r="F2142">
        <v>187.15</v>
      </c>
      <c r="K2142" s="3"/>
      <c r="O2142" s="3"/>
    </row>
    <row r="2143" spans="1:15">
      <c r="A2143" s="3">
        <v>38667</v>
      </c>
      <c r="B2143" s="3">
        <v>38667</v>
      </c>
      <c r="C2143">
        <v>134.21</v>
      </c>
      <c r="D2143">
        <v>1.1734</v>
      </c>
      <c r="E2143">
        <v>54.99</v>
      </c>
      <c r="F2143">
        <v>190.55</v>
      </c>
      <c r="K2143" s="3"/>
      <c r="O2143" s="3"/>
    </row>
    <row r="2144" spans="1:15">
      <c r="A2144" s="3">
        <v>38668</v>
      </c>
      <c r="B2144" s="3">
        <v>38668</v>
      </c>
      <c r="C2144">
        <v>134.21</v>
      </c>
      <c r="D2144">
        <v>1.1734</v>
      </c>
      <c r="E2144">
        <v>54.99</v>
      </c>
      <c r="F2144">
        <v>190.55</v>
      </c>
      <c r="K2144" s="3"/>
      <c r="O2144" s="3"/>
    </row>
    <row r="2145" spans="1:15">
      <c r="A2145" s="3">
        <v>38669</v>
      </c>
      <c r="B2145" s="3">
        <v>38669</v>
      </c>
      <c r="C2145">
        <v>134.21</v>
      </c>
      <c r="D2145">
        <v>1.1734</v>
      </c>
      <c r="E2145">
        <v>54.99</v>
      </c>
      <c r="F2145">
        <v>190.55</v>
      </c>
      <c r="K2145" s="3"/>
      <c r="O2145" s="3"/>
    </row>
    <row r="2146" spans="1:15">
      <c r="A2146" s="3">
        <v>38670</v>
      </c>
      <c r="B2146" s="3">
        <v>38670</v>
      </c>
      <c r="C2146">
        <v>134.32</v>
      </c>
      <c r="D2146">
        <v>1.1689000000000001</v>
      </c>
      <c r="E2146">
        <v>54.73</v>
      </c>
      <c r="F2146">
        <v>191.35</v>
      </c>
      <c r="K2146" s="3"/>
      <c r="O2146" s="3"/>
    </row>
    <row r="2147" spans="1:15">
      <c r="A2147" s="3">
        <v>38671</v>
      </c>
      <c r="B2147" s="3">
        <v>38671</v>
      </c>
      <c r="C2147">
        <v>134.28</v>
      </c>
      <c r="D2147">
        <v>1.1718999999999999</v>
      </c>
      <c r="E2147">
        <v>54.05</v>
      </c>
      <c r="F2147">
        <v>193.2</v>
      </c>
      <c r="K2147" s="3"/>
      <c r="O2147" s="3"/>
    </row>
    <row r="2148" spans="1:15">
      <c r="A2148" s="3">
        <v>38672</v>
      </c>
      <c r="B2148" s="3">
        <v>38672</v>
      </c>
      <c r="C2148">
        <v>134.22</v>
      </c>
      <c r="D2148">
        <v>1.167</v>
      </c>
      <c r="E2148">
        <v>56</v>
      </c>
      <c r="F2148">
        <v>193.5</v>
      </c>
      <c r="K2148" s="3"/>
      <c r="O2148" s="3"/>
    </row>
    <row r="2149" spans="1:15">
      <c r="A2149" s="3">
        <v>38673</v>
      </c>
      <c r="B2149" s="3">
        <v>38673</v>
      </c>
      <c r="C2149">
        <v>134.27000000000001</v>
      </c>
      <c r="D2149">
        <v>1.175</v>
      </c>
      <c r="E2149">
        <v>54.85</v>
      </c>
      <c r="F2149">
        <v>194.6</v>
      </c>
      <c r="K2149" s="3"/>
      <c r="O2149" s="3"/>
    </row>
    <row r="2150" spans="1:15">
      <c r="A2150" s="3">
        <v>38674</v>
      </c>
      <c r="B2150" s="3">
        <v>38674</v>
      </c>
      <c r="C2150">
        <v>133.94999999999999</v>
      </c>
      <c r="D2150">
        <v>1.1775</v>
      </c>
      <c r="E2150">
        <v>54.88</v>
      </c>
      <c r="F2150">
        <v>197.8</v>
      </c>
      <c r="K2150" s="3"/>
      <c r="O2150" s="3"/>
    </row>
    <row r="2151" spans="1:15">
      <c r="A2151" s="3">
        <v>38675</v>
      </c>
      <c r="B2151" s="3">
        <v>38675</v>
      </c>
      <c r="C2151">
        <v>133.94999999999999</v>
      </c>
      <c r="D2151">
        <v>1.1775</v>
      </c>
      <c r="E2151">
        <v>54.88</v>
      </c>
      <c r="F2151">
        <v>197.8</v>
      </c>
      <c r="K2151" s="3"/>
      <c r="O2151" s="3"/>
    </row>
    <row r="2152" spans="1:15">
      <c r="A2152" s="3">
        <v>38676</v>
      </c>
      <c r="B2152" s="3">
        <v>38676</v>
      </c>
      <c r="C2152">
        <v>133.94999999999999</v>
      </c>
      <c r="D2152">
        <v>1.1775</v>
      </c>
      <c r="E2152">
        <v>54.88</v>
      </c>
      <c r="F2152">
        <v>197.8</v>
      </c>
      <c r="K2152" s="3"/>
      <c r="O2152" s="3"/>
    </row>
    <row r="2153" spans="1:15">
      <c r="A2153" s="3">
        <v>38677</v>
      </c>
      <c r="B2153" s="3">
        <v>38677</v>
      </c>
      <c r="C2153">
        <v>133.85</v>
      </c>
      <c r="D2153">
        <v>1.1725000000000001</v>
      </c>
      <c r="E2153">
        <v>55.34</v>
      </c>
      <c r="F2153">
        <v>197.35</v>
      </c>
      <c r="K2153" s="3"/>
      <c r="O2153" s="3"/>
    </row>
    <row r="2154" spans="1:15">
      <c r="A2154" s="3">
        <v>38678</v>
      </c>
      <c r="B2154" s="3">
        <v>38678</v>
      </c>
      <c r="C2154">
        <v>133.87</v>
      </c>
      <c r="D2154">
        <v>1.1814</v>
      </c>
      <c r="E2154">
        <v>56.41</v>
      </c>
      <c r="F2154">
        <v>191.75</v>
      </c>
      <c r="K2154" s="3"/>
      <c r="O2154" s="3"/>
    </row>
    <row r="2155" spans="1:15">
      <c r="A2155" s="3">
        <v>38679</v>
      </c>
      <c r="B2155" s="3">
        <v>38679</v>
      </c>
      <c r="C2155">
        <v>133.91999999999999</v>
      </c>
      <c r="D2155">
        <v>1.1822999999999999</v>
      </c>
      <c r="E2155">
        <v>56.21</v>
      </c>
      <c r="F2155">
        <v>196.85</v>
      </c>
      <c r="K2155" s="3"/>
      <c r="O2155" s="3"/>
    </row>
    <row r="2156" spans="1:15">
      <c r="A2156" s="3">
        <v>38680</v>
      </c>
      <c r="B2156" s="3">
        <v>38680</v>
      </c>
      <c r="C2156">
        <v>133.94</v>
      </c>
      <c r="D2156">
        <v>1.1789000000000001</v>
      </c>
      <c r="E2156">
        <v>55.3</v>
      </c>
      <c r="F2156">
        <v>196.85</v>
      </c>
      <c r="K2156" s="3"/>
      <c r="O2156" s="3"/>
    </row>
    <row r="2157" spans="1:15">
      <c r="A2157" s="3">
        <v>38681</v>
      </c>
      <c r="B2157" s="3">
        <v>38681</v>
      </c>
      <c r="C2157">
        <v>134.15</v>
      </c>
      <c r="D2157">
        <v>1.1725000000000001</v>
      </c>
      <c r="E2157">
        <v>55.01</v>
      </c>
      <c r="F2157">
        <v>196.85</v>
      </c>
      <c r="K2157" s="3"/>
      <c r="O2157" s="3"/>
    </row>
    <row r="2158" spans="1:15">
      <c r="A2158" s="3">
        <v>38682</v>
      </c>
      <c r="B2158" s="3">
        <v>38682</v>
      </c>
      <c r="C2158">
        <v>134.15</v>
      </c>
      <c r="D2158">
        <v>1.1725000000000001</v>
      </c>
      <c r="E2158">
        <v>55.01</v>
      </c>
      <c r="F2158">
        <v>196.85</v>
      </c>
      <c r="K2158" s="3"/>
      <c r="O2158" s="3"/>
    </row>
    <row r="2159" spans="1:15">
      <c r="A2159" s="3">
        <v>38683</v>
      </c>
      <c r="B2159" s="3">
        <v>38683</v>
      </c>
      <c r="C2159">
        <v>134.15</v>
      </c>
      <c r="D2159">
        <v>1.1725000000000001</v>
      </c>
      <c r="E2159">
        <v>55.01</v>
      </c>
      <c r="F2159">
        <v>196.85</v>
      </c>
      <c r="K2159" s="3"/>
      <c r="O2159" s="3"/>
    </row>
    <row r="2160" spans="1:15">
      <c r="A2160" s="3">
        <v>38684</v>
      </c>
      <c r="B2160" s="3">
        <v>38684</v>
      </c>
      <c r="C2160">
        <v>134.16999999999999</v>
      </c>
      <c r="D2160">
        <v>1.1850000000000001</v>
      </c>
      <c r="E2160">
        <v>54.88</v>
      </c>
      <c r="F2160">
        <v>201.6</v>
      </c>
      <c r="K2160" s="3"/>
      <c r="O2160" s="3"/>
    </row>
    <row r="2161" spans="1:15">
      <c r="A2161" s="3">
        <v>38685</v>
      </c>
      <c r="B2161" s="3">
        <v>38685</v>
      </c>
      <c r="C2161">
        <v>134.13999999999999</v>
      </c>
      <c r="D2161">
        <v>1.1778999999999999</v>
      </c>
      <c r="E2161">
        <v>54.32</v>
      </c>
      <c r="F2161">
        <v>204.05</v>
      </c>
      <c r="K2161" s="3"/>
      <c r="O2161" s="3"/>
    </row>
    <row r="2162" spans="1:15">
      <c r="A2162" s="3">
        <v>38686</v>
      </c>
      <c r="B2162" s="3">
        <v>38686</v>
      </c>
      <c r="C2162">
        <v>134.09</v>
      </c>
      <c r="D2162">
        <v>1.1788000000000001</v>
      </c>
      <c r="E2162">
        <v>55.05</v>
      </c>
      <c r="F2162">
        <v>207.5</v>
      </c>
      <c r="K2162" s="3"/>
      <c r="O2162" s="3"/>
    </row>
    <row r="2163" spans="1:15">
      <c r="A2163" s="3">
        <v>38687</v>
      </c>
      <c r="B2163" s="3">
        <v>38687</v>
      </c>
      <c r="C2163">
        <v>134</v>
      </c>
      <c r="D2163">
        <v>1.1737</v>
      </c>
      <c r="E2163">
        <v>56.15</v>
      </c>
      <c r="F2163">
        <v>216.8</v>
      </c>
      <c r="K2163" s="3"/>
      <c r="O2163" s="3"/>
    </row>
    <row r="2164" spans="1:15">
      <c r="A2164" s="3">
        <v>38688</v>
      </c>
      <c r="B2164" s="3">
        <v>38688</v>
      </c>
      <c r="C2164">
        <v>133.87</v>
      </c>
      <c r="D2164">
        <v>1.1718</v>
      </c>
      <c r="E2164">
        <v>57.05</v>
      </c>
      <c r="F2164">
        <v>215.25</v>
      </c>
      <c r="K2164" s="3"/>
      <c r="O2164" s="3"/>
    </row>
    <row r="2165" spans="1:15">
      <c r="A2165" s="3">
        <v>38689</v>
      </c>
      <c r="B2165" s="3">
        <v>38689</v>
      </c>
      <c r="C2165">
        <v>133.87</v>
      </c>
      <c r="D2165">
        <v>1.1718</v>
      </c>
      <c r="E2165">
        <v>57.05</v>
      </c>
      <c r="F2165">
        <v>215.25</v>
      </c>
      <c r="K2165" s="3"/>
      <c r="O2165" s="3"/>
    </row>
    <row r="2166" spans="1:15">
      <c r="A2166" s="3">
        <v>38690</v>
      </c>
      <c r="B2166" s="3">
        <v>38690</v>
      </c>
      <c r="C2166">
        <v>133.87</v>
      </c>
      <c r="D2166">
        <v>1.1718</v>
      </c>
      <c r="E2166">
        <v>57.05</v>
      </c>
      <c r="F2166">
        <v>215.25</v>
      </c>
      <c r="K2166" s="3"/>
      <c r="O2166" s="3"/>
    </row>
    <row r="2167" spans="1:15">
      <c r="A2167" s="3">
        <v>38691</v>
      </c>
      <c r="B2167" s="3">
        <v>38691</v>
      </c>
      <c r="C2167">
        <v>134.05000000000001</v>
      </c>
      <c r="D2167">
        <v>1.1788000000000001</v>
      </c>
      <c r="E2167">
        <v>57.73</v>
      </c>
      <c r="F2167">
        <v>216.6</v>
      </c>
      <c r="K2167" s="3"/>
      <c r="O2167" s="3"/>
    </row>
    <row r="2168" spans="1:15">
      <c r="A2168" s="3">
        <v>38692</v>
      </c>
      <c r="B2168" s="3">
        <v>38692</v>
      </c>
      <c r="C2168">
        <v>134.06</v>
      </c>
      <c r="D2168">
        <v>1.1779999999999999</v>
      </c>
      <c r="E2168">
        <v>57.61</v>
      </c>
      <c r="F2168">
        <v>211.9</v>
      </c>
      <c r="K2168" s="3"/>
      <c r="O2168" s="3"/>
    </row>
    <row r="2169" spans="1:15">
      <c r="A2169" s="3">
        <v>38693</v>
      </c>
      <c r="B2169" s="3">
        <v>38693</v>
      </c>
      <c r="C2169">
        <v>134.08000000000001</v>
      </c>
      <c r="D2169">
        <v>1.1725000000000001</v>
      </c>
      <c r="E2169">
        <v>56.98</v>
      </c>
      <c r="F2169">
        <v>216.05</v>
      </c>
      <c r="K2169" s="3"/>
      <c r="O2169" s="3"/>
    </row>
    <row r="2170" spans="1:15">
      <c r="A2170" s="3">
        <v>38694</v>
      </c>
      <c r="B2170" s="3">
        <v>38694</v>
      </c>
      <c r="C2170">
        <v>134.11000000000001</v>
      </c>
      <c r="D2170">
        <v>1.1818</v>
      </c>
      <c r="E2170">
        <v>58.67</v>
      </c>
      <c r="F2170">
        <v>217</v>
      </c>
      <c r="K2170" s="3"/>
      <c r="O2170" s="3"/>
    </row>
    <row r="2171" spans="1:15">
      <c r="A2171" s="3">
        <v>38695</v>
      </c>
      <c r="B2171" s="3">
        <v>38695</v>
      </c>
      <c r="C2171">
        <v>133.97</v>
      </c>
      <c r="D2171">
        <v>1.1812</v>
      </c>
      <c r="E2171">
        <v>57.31</v>
      </c>
      <c r="F2171">
        <v>218</v>
      </c>
      <c r="K2171" s="3"/>
      <c r="O2171" s="3"/>
    </row>
    <row r="2172" spans="1:15">
      <c r="A2172" s="3">
        <v>38696</v>
      </c>
      <c r="B2172" s="3">
        <v>38696</v>
      </c>
      <c r="C2172">
        <v>133.97</v>
      </c>
      <c r="D2172">
        <v>1.1812</v>
      </c>
      <c r="E2172">
        <v>57.31</v>
      </c>
      <c r="F2172">
        <v>218</v>
      </c>
      <c r="K2172" s="3"/>
      <c r="O2172" s="3"/>
    </row>
    <row r="2173" spans="1:15">
      <c r="A2173" s="3">
        <v>38697</v>
      </c>
      <c r="B2173" s="3">
        <v>38697</v>
      </c>
      <c r="C2173">
        <v>133.97</v>
      </c>
      <c r="D2173">
        <v>1.1812</v>
      </c>
      <c r="E2173">
        <v>57.31</v>
      </c>
      <c r="F2173">
        <v>218</v>
      </c>
      <c r="K2173" s="3"/>
      <c r="O2173" s="3"/>
    </row>
    <row r="2174" spans="1:15">
      <c r="A2174" s="3">
        <v>38698</v>
      </c>
      <c r="B2174" s="3">
        <v>38698</v>
      </c>
      <c r="C2174">
        <v>134.01</v>
      </c>
      <c r="D2174">
        <v>1.1954</v>
      </c>
      <c r="E2174">
        <v>59.44</v>
      </c>
      <c r="F2174">
        <v>215.55</v>
      </c>
      <c r="K2174" s="3"/>
      <c r="O2174" s="3"/>
    </row>
    <row r="2175" spans="1:15">
      <c r="A2175" s="3">
        <v>38699</v>
      </c>
      <c r="B2175" s="3">
        <v>38699</v>
      </c>
      <c r="C2175">
        <v>133.9</v>
      </c>
      <c r="D2175">
        <v>1.1944999999999999</v>
      </c>
      <c r="E2175">
        <v>59.52</v>
      </c>
      <c r="F2175">
        <v>217.3</v>
      </c>
      <c r="K2175" s="3"/>
      <c r="O2175" s="3"/>
    </row>
    <row r="2176" spans="1:15">
      <c r="A2176" s="3">
        <v>38700</v>
      </c>
      <c r="B2176" s="3">
        <v>38700</v>
      </c>
      <c r="C2176">
        <v>133.72</v>
      </c>
      <c r="D2176">
        <v>1.2</v>
      </c>
      <c r="E2176">
        <v>59.6</v>
      </c>
      <c r="F2176">
        <v>212.6</v>
      </c>
      <c r="K2176" s="3"/>
      <c r="O2176" s="3"/>
    </row>
    <row r="2177" spans="1:15">
      <c r="A2177" s="3">
        <v>38701</v>
      </c>
      <c r="B2177" s="3">
        <v>38701</v>
      </c>
      <c r="C2177">
        <v>133.68</v>
      </c>
      <c r="D2177">
        <v>1.1979</v>
      </c>
      <c r="E2177">
        <v>59.85</v>
      </c>
      <c r="F2177">
        <v>214.15</v>
      </c>
      <c r="K2177" s="3"/>
      <c r="O2177" s="3"/>
    </row>
    <row r="2178" spans="1:15">
      <c r="A2178" s="3">
        <v>38702</v>
      </c>
      <c r="B2178" s="3">
        <v>38702</v>
      </c>
      <c r="C2178">
        <v>133.68</v>
      </c>
      <c r="D2178">
        <v>1.2013</v>
      </c>
      <c r="E2178">
        <v>57.13</v>
      </c>
      <c r="F2178">
        <v>216.95</v>
      </c>
      <c r="K2178" s="3"/>
      <c r="O2178" s="3"/>
    </row>
    <row r="2179" spans="1:15">
      <c r="A2179" s="3">
        <v>38703</v>
      </c>
      <c r="B2179" s="3">
        <v>38703</v>
      </c>
      <c r="C2179">
        <v>133.68</v>
      </c>
      <c r="D2179">
        <v>1.2013</v>
      </c>
      <c r="E2179">
        <v>57.13</v>
      </c>
      <c r="F2179">
        <v>216.95</v>
      </c>
      <c r="K2179" s="3"/>
      <c r="O2179" s="3"/>
    </row>
    <row r="2180" spans="1:15">
      <c r="A2180" s="3">
        <v>38704</v>
      </c>
      <c r="B2180" s="3">
        <v>38704</v>
      </c>
      <c r="C2180">
        <v>133.68</v>
      </c>
      <c r="D2180">
        <v>1.2013</v>
      </c>
      <c r="E2180">
        <v>57.13</v>
      </c>
      <c r="F2180">
        <v>216.95</v>
      </c>
      <c r="K2180" s="3"/>
      <c r="O2180" s="3"/>
    </row>
    <row r="2181" spans="1:15">
      <c r="A2181" s="3">
        <v>38705</v>
      </c>
      <c r="B2181" s="3">
        <v>38705</v>
      </c>
      <c r="C2181">
        <v>133.87</v>
      </c>
      <c r="D2181">
        <v>1.2007000000000001</v>
      </c>
      <c r="E2181">
        <v>56.11</v>
      </c>
      <c r="F2181">
        <v>215.95</v>
      </c>
      <c r="K2181" s="3"/>
      <c r="O2181" s="3"/>
    </row>
    <row r="2182" spans="1:15">
      <c r="A2182" s="3">
        <v>38706</v>
      </c>
      <c r="B2182" s="3">
        <v>38706</v>
      </c>
      <c r="C2182">
        <v>133.62</v>
      </c>
      <c r="D2182">
        <v>1.1859</v>
      </c>
      <c r="E2182">
        <v>56.17</v>
      </c>
      <c r="F2182">
        <v>216.5</v>
      </c>
      <c r="K2182" s="3"/>
      <c r="O2182" s="3"/>
    </row>
    <row r="2183" spans="1:15">
      <c r="A2183" s="3">
        <v>38707</v>
      </c>
      <c r="B2183" s="3">
        <v>38707</v>
      </c>
      <c r="C2183">
        <v>133.43</v>
      </c>
      <c r="D2183">
        <v>1.1837</v>
      </c>
      <c r="E2183">
        <v>56.72</v>
      </c>
      <c r="F2183">
        <v>217.9</v>
      </c>
      <c r="K2183" s="3"/>
      <c r="O2183" s="3"/>
    </row>
    <row r="2184" spans="1:15">
      <c r="A2184" s="3">
        <v>38708</v>
      </c>
      <c r="B2184" s="3">
        <v>38708</v>
      </c>
      <c r="C2184">
        <v>133.46</v>
      </c>
      <c r="D2184">
        <v>1.1868000000000001</v>
      </c>
      <c r="E2184">
        <v>56.55</v>
      </c>
      <c r="F2184">
        <v>220.6</v>
      </c>
      <c r="K2184" s="3"/>
      <c r="O2184" s="3"/>
    </row>
    <row r="2185" spans="1:15">
      <c r="A2185" s="3">
        <v>38709</v>
      </c>
      <c r="B2185" s="3">
        <v>38709</v>
      </c>
      <c r="C2185">
        <v>133.56</v>
      </c>
      <c r="D2185">
        <v>1.1869000000000001</v>
      </c>
      <c r="E2185">
        <v>56.69</v>
      </c>
      <c r="F2185">
        <v>223.05</v>
      </c>
      <c r="K2185" s="3"/>
      <c r="O2185" s="3"/>
    </row>
    <row r="2186" spans="1:15">
      <c r="A2186" s="3">
        <v>38710</v>
      </c>
      <c r="B2186" s="3">
        <v>38710</v>
      </c>
      <c r="C2186">
        <v>133.56</v>
      </c>
      <c r="D2186">
        <v>1.1869000000000001</v>
      </c>
      <c r="E2186">
        <v>56.69</v>
      </c>
      <c r="F2186">
        <v>223.05</v>
      </c>
      <c r="K2186" s="3"/>
      <c r="O2186" s="3"/>
    </row>
    <row r="2187" spans="1:15">
      <c r="A2187" s="3">
        <v>38711</v>
      </c>
      <c r="B2187" s="3">
        <v>38711</v>
      </c>
      <c r="C2187">
        <v>133.56</v>
      </c>
      <c r="D2187">
        <v>1.1869000000000001</v>
      </c>
      <c r="E2187">
        <v>56.69</v>
      </c>
      <c r="F2187">
        <v>223.05</v>
      </c>
      <c r="K2187" s="3"/>
      <c r="O2187" s="3"/>
    </row>
    <row r="2188" spans="1:15">
      <c r="A2188" s="3">
        <v>38712</v>
      </c>
      <c r="B2188" s="3">
        <v>38712</v>
      </c>
      <c r="C2188">
        <v>133.56</v>
      </c>
      <c r="D2188">
        <v>1.1845000000000001</v>
      </c>
      <c r="E2188">
        <v>56.69</v>
      </c>
      <c r="F2188">
        <v>223.05</v>
      </c>
      <c r="K2188" s="3"/>
      <c r="O2188" s="3"/>
    </row>
    <row r="2189" spans="1:15">
      <c r="A2189" s="3">
        <v>38713</v>
      </c>
      <c r="B2189" s="3">
        <v>38713</v>
      </c>
      <c r="C2189">
        <v>133.71</v>
      </c>
      <c r="D2189">
        <v>1.1827000000000001</v>
      </c>
      <c r="E2189">
        <v>56.29</v>
      </c>
      <c r="F2189">
        <v>228</v>
      </c>
      <c r="K2189" s="3"/>
      <c r="O2189" s="3"/>
    </row>
    <row r="2190" spans="1:15">
      <c r="A2190" s="3">
        <v>38714</v>
      </c>
      <c r="B2190" s="3">
        <v>38714</v>
      </c>
      <c r="C2190">
        <v>133.88</v>
      </c>
      <c r="D2190">
        <v>1.1833</v>
      </c>
      <c r="E2190">
        <v>57.64</v>
      </c>
      <c r="F2190">
        <v>219.4</v>
      </c>
      <c r="K2190" s="3"/>
      <c r="O2190" s="3"/>
    </row>
    <row r="2191" spans="1:15">
      <c r="A2191" s="3">
        <v>38715</v>
      </c>
      <c r="B2191" s="3">
        <v>38715</v>
      </c>
      <c r="C2191">
        <v>133.91</v>
      </c>
      <c r="D2191">
        <v>1.1839999999999999</v>
      </c>
      <c r="E2191">
        <v>58.07</v>
      </c>
      <c r="F2191">
        <v>204.55</v>
      </c>
      <c r="K2191" s="3"/>
      <c r="O2191" s="3"/>
    </row>
    <row r="2192" spans="1:15">
      <c r="A2192" s="3">
        <v>38716</v>
      </c>
      <c r="B2192" s="3">
        <v>38716</v>
      </c>
      <c r="C2192">
        <v>133.68</v>
      </c>
      <c r="D2192">
        <v>1.1849000000000001</v>
      </c>
      <c r="E2192">
        <v>58.98</v>
      </c>
      <c r="F2192">
        <v>204.2</v>
      </c>
      <c r="K2192" s="3"/>
      <c r="O2192" s="3"/>
    </row>
    <row r="2193" spans="1:15">
      <c r="A2193" s="3">
        <v>38717</v>
      </c>
      <c r="B2193" s="3">
        <v>38717</v>
      </c>
      <c r="C2193">
        <v>133.68</v>
      </c>
      <c r="D2193">
        <v>1.1849000000000001</v>
      </c>
      <c r="E2193">
        <v>58.98</v>
      </c>
      <c r="F2193">
        <v>204.2</v>
      </c>
      <c r="K2193" s="3"/>
      <c r="O2193" s="3"/>
    </row>
    <row r="2194" spans="1:15">
      <c r="A2194" s="3">
        <v>38718</v>
      </c>
      <c r="B2194" s="3">
        <v>38718</v>
      </c>
      <c r="C2194">
        <v>133.68</v>
      </c>
      <c r="D2194">
        <v>1.1849000000000001</v>
      </c>
      <c r="E2194">
        <v>58.98</v>
      </c>
      <c r="F2194">
        <v>204.2</v>
      </c>
      <c r="K2194" s="3"/>
      <c r="O2194" s="3"/>
    </row>
    <row r="2195" spans="1:15">
      <c r="A2195" s="3">
        <v>38719</v>
      </c>
      <c r="B2195" s="3">
        <v>38719</v>
      </c>
      <c r="C2195">
        <v>133.68</v>
      </c>
      <c r="D2195">
        <v>1.1820999999999999</v>
      </c>
      <c r="E2195">
        <v>58.98</v>
      </c>
      <c r="F2195">
        <v>204.2</v>
      </c>
      <c r="K2195" s="3"/>
      <c r="O2195" s="3"/>
    </row>
    <row r="2196" spans="1:15">
      <c r="A2196" s="3">
        <v>38720</v>
      </c>
      <c r="B2196" s="3">
        <v>38720</v>
      </c>
      <c r="C2196">
        <v>133.68</v>
      </c>
      <c r="D2196">
        <v>1.2019</v>
      </c>
      <c r="E2196">
        <v>61.35</v>
      </c>
      <c r="F2196">
        <v>204.85</v>
      </c>
      <c r="K2196" s="3"/>
      <c r="O2196" s="3"/>
    </row>
    <row r="2197" spans="1:15">
      <c r="A2197" s="3">
        <v>38721</v>
      </c>
      <c r="B2197" s="3">
        <v>38721</v>
      </c>
      <c r="C2197">
        <v>133.80000000000001</v>
      </c>
      <c r="D2197">
        <v>1.2119</v>
      </c>
      <c r="E2197">
        <v>61.68</v>
      </c>
      <c r="F2197">
        <v>209.75</v>
      </c>
      <c r="K2197" s="3"/>
      <c r="O2197" s="3"/>
    </row>
    <row r="2198" spans="1:15">
      <c r="A2198" s="3">
        <v>38722</v>
      </c>
      <c r="B2198" s="3">
        <v>38722</v>
      </c>
      <c r="C2198">
        <v>133.81</v>
      </c>
      <c r="D2198">
        <v>1.2110000000000001</v>
      </c>
      <c r="E2198">
        <v>61.13</v>
      </c>
      <c r="F2198">
        <v>206.05</v>
      </c>
      <c r="K2198" s="3"/>
      <c r="O2198" s="3"/>
    </row>
    <row r="2199" spans="1:15">
      <c r="A2199" s="3">
        <v>38723</v>
      </c>
      <c r="B2199" s="3">
        <v>38723</v>
      </c>
      <c r="C2199">
        <v>133.76</v>
      </c>
      <c r="D2199">
        <v>1.2151000000000001</v>
      </c>
      <c r="E2199">
        <v>62.72</v>
      </c>
      <c r="F2199">
        <v>208.6</v>
      </c>
      <c r="K2199" s="3"/>
      <c r="O2199" s="3"/>
    </row>
    <row r="2200" spans="1:15">
      <c r="A2200" s="3">
        <v>38724</v>
      </c>
      <c r="B2200" s="3">
        <v>38724</v>
      </c>
      <c r="C2200">
        <v>133.76</v>
      </c>
      <c r="D2200">
        <v>1.2151000000000001</v>
      </c>
      <c r="E2200">
        <v>62.72</v>
      </c>
      <c r="F2200">
        <v>208.6</v>
      </c>
      <c r="K2200" s="3"/>
      <c r="O2200" s="3"/>
    </row>
    <row r="2201" spans="1:15">
      <c r="A2201" s="3">
        <v>38725</v>
      </c>
      <c r="B2201" s="3">
        <v>38725</v>
      </c>
      <c r="C2201">
        <v>133.76</v>
      </c>
      <c r="D2201">
        <v>1.2151000000000001</v>
      </c>
      <c r="E2201">
        <v>62.72</v>
      </c>
      <c r="F2201">
        <v>208.6</v>
      </c>
      <c r="K2201" s="3"/>
      <c r="O2201" s="3"/>
    </row>
    <row r="2202" spans="1:15">
      <c r="A2202" s="3">
        <v>38726</v>
      </c>
      <c r="B2202" s="3">
        <v>38726</v>
      </c>
      <c r="C2202">
        <v>133.79</v>
      </c>
      <c r="D2202">
        <v>1.2088000000000001</v>
      </c>
      <c r="E2202">
        <v>62.01</v>
      </c>
      <c r="F2202">
        <v>209.7</v>
      </c>
      <c r="K2202" s="3"/>
      <c r="O2202" s="3"/>
    </row>
    <row r="2203" spans="1:15">
      <c r="A2203" s="3">
        <v>38727</v>
      </c>
      <c r="B2203" s="3">
        <v>38727</v>
      </c>
      <c r="C2203">
        <v>133.80000000000001</v>
      </c>
      <c r="D2203">
        <v>1.2064999999999999</v>
      </c>
      <c r="E2203">
        <v>61.92</v>
      </c>
      <c r="F2203">
        <v>210.7</v>
      </c>
      <c r="K2203" s="3"/>
      <c r="O2203" s="3"/>
    </row>
    <row r="2204" spans="1:15">
      <c r="A2204" s="3">
        <v>38728</v>
      </c>
      <c r="B2204" s="3">
        <v>38728</v>
      </c>
      <c r="C2204">
        <v>133.80000000000001</v>
      </c>
      <c r="D2204">
        <v>1.2128000000000001</v>
      </c>
      <c r="E2204">
        <v>62.17</v>
      </c>
      <c r="F2204">
        <v>209.5</v>
      </c>
      <c r="K2204" s="3"/>
      <c r="O2204" s="3"/>
    </row>
    <row r="2205" spans="1:15">
      <c r="A2205" s="3">
        <v>38729</v>
      </c>
      <c r="B2205" s="3">
        <v>38729</v>
      </c>
      <c r="C2205">
        <v>133.47</v>
      </c>
      <c r="D2205">
        <v>1.2036</v>
      </c>
      <c r="E2205">
        <v>62.62</v>
      </c>
      <c r="F2205">
        <v>208.75</v>
      </c>
      <c r="K2205" s="3"/>
      <c r="O2205" s="3"/>
    </row>
    <row r="2206" spans="1:15">
      <c r="A2206" s="3">
        <v>38730</v>
      </c>
      <c r="B2206" s="3">
        <v>38730</v>
      </c>
      <c r="C2206">
        <v>133.63</v>
      </c>
      <c r="D2206">
        <v>1.2141999999999999</v>
      </c>
      <c r="E2206">
        <v>62.26</v>
      </c>
      <c r="F2206">
        <v>211.25</v>
      </c>
      <c r="K2206" s="3"/>
      <c r="O2206" s="3"/>
    </row>
    <row r="2207" spans="1:15">
      <c r="A2207" s="3">
        <v>38731</v>
      </c>
      <c r="B2207" s="3">
        <v>38731</v>
      </c>
      <c r="C2207">
        <v>133.63</v>
      </c>
      <c r="D2207">
        <v>1.2141999999999999</v>
      </c>
      <c r="E2207">
        <v>62.26</v>
      </c>
      <c r="F2207">
        <v>211.25</v>
      </c>
      <c r="K2207" s="3"/>
      <c r="O2207" s="3"/>
    </row>
    <row r="2208" spans="1:15">
      <c r="A2208" s="3">
        <v>38732</v>
      </c>
      <c r="B2208" s="3">
        <v>38732</v>
      </c>
      <c r="C2208">
        <v>133.63</v>
      </c>
      <c r="D2208">
        <v>1.2141999999999999</v>
      </c>
      <c r="E2208">
        <v>62.26</v>
      </c>
      <c r="F2208">
        <v>211.25</v>
      </c>
      <c r="K2208" s="3"/>
      <c r="O2208" s="3"/>
    </row>
    <row r="2209" spans="1:15">
      <c r="A2209" s="3">
        <v>38733</v>
      </c>
      <c r="B2209" s="3">
        <v>38733</v>
      </c>
      <c r="C2209">
        <v>133.38999999999999</v>
      </c>
      <c r="D2209">
        <v>1.2126999999999999</v>
      </c>
      <c r="E2209">
        <v>62.93</v>
      </c>
      <c r="F2209">
        <v>211.25</v>
      </c>
      <c r="K2209" s="3"/>
      <c r="O2209" s="3"/>
    </row>
    <row r="2210" spans="1:15">
      <c r="A2210" s="3">
        <v>38734</v>
      </c>
      <c r="B2210" s="3">
        <v>38734</v>
      </c>
      <c r="C2210">
        <v>133.22999999999999</v>
      </c>
      <c r="D2210">
        <v>1.2105999999999999</v>
      </c>
      <c r="E2210">
        <v>64.900000000000006</v>
      </c>
      <c r="F2210">
        <v>211.1</v>
      </c>
      <c r="K2210" s="3"/>
      <c r="O2210" s="3"/>
    </row>
    <row r="2211" spans="1:15">
      <c r="A2211" s="3">
        <v>38735</v>
      </c>
      <c r="B2211" s="3">
        <v>38735</v>
      </c>
      <c r="C2211">
        <v>133.1</v>
      </c>
      <c r="D2211">
        <v>1.2113</v>
      </c>
      <c r="E2211">
        <v>64.19</v>
      </c>
      <c r="F2211">
        <v>212</v>
      </c>
      <c r="K2211" s="3"/>
      <c r="O2211" s="3"/>
    </row>
    <row r="2212" spans="1:15">
      <c r="A2212" s="3">
        <v>38736</v>
      </c>
      <c r="B2212" s="3">
        <v>38736</v>
      </c>
      <c r="C2212">
        <v>133.03</v>
      </c>
      <c r="D2212">
        <v>1.2097</v>
      </c>
      <c r="E2212">
        <v>65.23</v>
      </c>
      <c r="F2212">
        <v>211.1</v>
      </c>
      <c r="K2212" s="3"/>
      <c r="O2212" s="3"/>
    </row>
    <row r="2213" spans="1:15">
      <c r="A2213" s="3">
        <v>38737</v>
      </c>
      <c r="B2213" s="3">
        <v>38737</v>
      </c>
      <c r="C2213">
        <v>132.85</v>
      </c>
      <c r="D2213">
        <v>1.2135</v>
      </c>
      <c r="E2213">
        <v>66.430000000000007</v>
      </c>
      <c r="F2213">
        <v>209</v>
      </c>
      <c r="K2213" s="3"/>
      <c r="O2213" s="3"/>
    </row>
    <row r="2214" spans="1:15">
      <c r="A2214" s="3">
        <v>38738</v>
      </c>
      <c r="B2214" s="3">
        <v>38738</v>
      </c>
      <c r="C2214">
        <v>132.85</v>
      </c>
      <c r="D2214">
        <v>1.2135</v>
      </c>
      <c r="E2214">
        <v>66.430000000000007</v>
      </c>
      <c r="F2214">
        <v>209</v>
      </c>
      <c r="K2214" s="3"/>
      <c r="O2214" s="3"/>
    </row>
    <row r="2215" spans="1:15">
      <c r="A2215" s="3">
        <v>38739</v>
      </c>
      <c r="B2215" s="3">
        <v>38739</v>
      </c>
      <c r="C2215">
        <v>132.85</v>
      </c>
      <c r="D2215">
        <v>1.2135</v>
      </c>
      <c r="E2215">
        <v>66.430000000000007</v>
      </c>
      <c r="F2215">
        <v>209</v>
      </c>
      <c r="K2215" s="3"/>
      <c r="O2215" s="3"/>
    </row>
    <row r="2216" spans="1:15">
      <c r="A2216" s="3">
        <v>38740</v>
      </c>
      <c r="B2216" s="3">
        <v>38740</v>
      </c>
      <c r="C2216">
        <v>132.63</v>
      </c>
      <c r="D2216">
        <v>1.2306999999999999</v>
      </c>
      <c r="E2216">
        <v>66.16</v>
      </c>
      <c r="F2216">
        <v>211.95</v>
      </c>
      <c r="K2216" s="3"/>
      <c r="O2216" s="3"/>
    </row>
    <row r="2217" spans="1:15">
      <c r="A2217" s="3">
        <v>38741</v>
      </c>
      <c r="B2217" s="3">
        <v>38741</v>
      </c>
      <c r="C2217">
        <v>132.24</v>
      </c>
      <c r="D2217">
        <v>1.228</v>
      </c>
      <c r="E2217">
        <v>65.34</v>
      </c>
      <c r="F2217">
        <v>215.25</v>
      </c>
      <c r="K2217" s="3"/>
      <c r="O2217" s="3"/>
    </row>
    <row r="2218" spans="1:15">
      <c r="A2218" s="3">
        <v>38742</v>
      </c>
      <c r="B2218" s="3">
        <v>38742</v>
      </c>
      <c r="C2218">
        <v>132.18</v>
      </c>
      <c r="D2218">
        <v>1.2241</v>
      </c>
      <c r="E2218">
        <v>64.23</v>
      </c>
      <c r="F2218">
        <v>220.35</v>
      </c>
      <c r="K2218" s="3"/>
      <c r="O2218" s="3"/>
    </row>
    <row r="2219" spans="1:15">
      <c r="A2219" s="3">
        <v>38743</v>
      </c>
      <c r="B2219" s="3">
        <v>38743</v>
      </c>
      <c r="C2219">
        <v>131.94</v>
      </c>
      <c r="D2219">
        <v>1.2206999999999999</v>
      </c>
      <c r="E2219">
        <v>64.92</v>
      </c>
      <c r="F2219">
        <v>220.15</v>
      </c>
      <c r="K2219" s="3"/>
      <c r="O2219" s="3"/>
    </row>
    <row r="2220" spans="1:15">
      <c r="A2220" s="3">
        <v>38744</v>
      </c>
      <c r="B2220" s="3">
        <v>38744</v>
      </c>
      <c r="C2220">
        <v>132.05000000000001</v>
      </c>
      <c r="D2220">
        <v>1.2094</v>
      </c>
      <c r="E2220">
        <v>66.239999999999995</v>
      </c>
      <c r="F2220">
        <v>223.3</v>
      </c>
      <c r="K2220" s="3"/>
      <c r="O2220" s="3"/>
    </row>
    <row r="2221" spans="1:15">
      <c r="A2221" s="3">
        <v>38745</v>
      </c>
      <c r="B2221" s="3">
        <v>38745</v>
      </c>
      <c r="C2221">
        <v>132.05000000000001</v>
      </c>
      <c r="D2221">
        <v>1.2094</v>
      </c>
      <c r="E2221">
        <v>66.239999999999995</v>
      </c>
      <c r="F2221">
        <v>223.3</v>
      </c>
      <c r="K2221" s="3"/>
      <c r="O2221" s="3"/>
    </row>
    <row r="2222" spans="1:15">
      <c r="A2222" s="3">
        <v>38746</v>
      </c>
      <c r="B2222" s="3">
        <v>38746</v>
      </c>
      <c r="C2222">
        <v>132.05000000000001</v>
      </c>
      <c r="D2222">
        <v>1.2094</v>
      </c>
      <c r="E2222">
        <v>66.239999999999995</v>
      </c>
      <c r="F2222">
        <v>223.3</v>
      </c>
      <c r="K2222" s="3"/>
      <c r="O2222" s="3"/>
    </row>
    <row r="2223" spans="1:15">
      <c r="A2223" s="3">
        <v>38747</v>
      </c>
      <c r="B2223" s="3">
        <v>38747</v>
      </c>
      <c r="C2223">
        <v>132.09</v>
      </c>
      <c r="D2223">
        <v>1.2090000000000001</v>
      </c>
      <c r="E2223">
        <v>66.59</v>
      </c>
      <c r="F2223">
        <v>222.95</v>
      </c>
      <c r="K2223" s="3"/>
      <c r="O2223" s="3"/>
    </row>
    <row r="2224" spans="1:15">
      <c r="A2224" s="3">
        <v>38748</v>
      </c>
      <c r="B2224" s="3">
        <v>38748</v>
      </c>
      <c r="C2224">
        <v>131.9</v>
      </c>
      <c r="D2224">
        <v>1.2156</v>
      </c>
      <c r="E2224">
        <v>65.989999999999995</v>
      </c>
      <c r="F2224">
        <v>222.85</v>
      </c>
      <c r="K2224" s="3"/>
      <c r="O2224" s="3"/>
    </row>
    <row r="2225" spans="1:15">
      <c r="A2225" s="3">
        <v>38749</v>
      </c>
      <c r="B2225" s="3">
        <v>38749</v>
      </c>
      <c r="C2225">
        <v>131.72</v>
      </c>
      <c r="D2225">
        <v>1.2064999999999999</v>
      </c>
      <c r="E2225">
        <v>65.03</v>
      </c>
      <c r="F2225">
        <v>224.9</v>
      </c>
      <c r="K2225" s="3"/>
      <c r="O2225" s="3"/>
    </row>
    <row r="2226" spans="1:15">
      <c r="A2226" s="3">
        <v>38750</v>
      </c>
      <c r="B2226" s="3">
        <v>38750</v>
      </c>
      <c r="C2226">
        <v>131.66</v>
      </c>
      <c r="D2226">
        <v>1.2091000000000001</v>
      </c>
      <c r="E2226">
        <v>62.88</v>
      </c>
      <c r="F2226">
        <v>230.9</v>
      </c>
      <c r="K2226" s="3"/>
      <c r="O2226" s="3"/>
    </row>
    <row r="2227" spans="1:15">
      <c r="A2227" s="3">
        <v>38751</v>
      </c>
      <c r="B2227" s="3">
        <v>38751</v>
      </c>
      <c r="C2227">
        <v>131.63</v>
      </c>
      <c r="D2227">
        <v>1.2023999999999999</v>
      </c>
      <c r="E2227">
        <v>63.39</v>
      </c>
      <c r="F2227">
        <v>230.8</v>
      </c>
      <c r="K2227" s="3"/>
      <c r="O2227" s="3"/>
    </row>
    <row r="2228" spans="1:15">
      <c r="A2228" s="3">
        <v>38752</v>
      </c>
      <c r="B2228" s="3">
        <v>38752</v>
      </c>
      <c r="C2228">
        <v>131.63</v>
      </c>
      <c r="D2228">
        <v>1.2023999999999999</v>
      </c>
      <c r="E2228">
        <v>63.39</v>
      </c>
      <c r="F2228">
        <v>230.8</v>
      </c>
      <c r="K2228" s="3"/>
      <c r="O2228" s="3"/>
    </row>
    <row r="2229" spans="1:15">
      <c r="A2229" s="3">
        <v>38753</v>
      </c>
      <c r="B2229" s="3">
        <v>38753</v>
      </c>
      <c r="C2229">
        <v>131.63</v>
      </c>
      <c r="D2229">
        <v>1.2023999999999999</v>
      </c>
      <c r="E2229">
        <v>63.39</v>
      </c>
      <c r="F2229">
        <v>230.8</v>
      </c>
      <c r="K2229" s="3"/>
      <c r="O2229" s="3"/>
    </row>
    <row r="2230" spans="1:15">
      <c r="A2230" s="3">
        <v>38754</v>
      </c>
      <c r="B2230" s="3">
        <v>38754</v>
      </c>
      <c r="C2230">
        <v>131.72</v>
      </c>
      <c r="D2230">
        <v>1.1967000000000001</v>
      </c>
      <c r="E2230">
        <v>63.33</v>
      </c>
      <c r="F2230">
        <v>233</v>
      </c>
      <c r="K2230" s="3"/>
      <c r="O2230" s="3"/>
    </row>
    <row r="2231" spans="1:15">
      <c r="A2231" s="3">
        <v>38755</v>
      </c>
      <c r="B2231" s="3">
        <v>38755</v>
      </c>
      <c r="C2231">
        <v>132.05000000000001</v>
      </c>
      <c r="D2231">
        <v>1.1980999999999999</v>
      </c>
      <c r="E2231">
        <v>61.56</v>
      </c>
      <c r="F2231">
        <v>227.8</v>
      </c>
      <c r="K2231" s="3"/>
      <c r="O2231" s="3"/>
    </row>
    <row r="2232" spans="1:15">
      <c r="A2232" s="3">
        <v>38756</v>
      </c>
      <c r="B2232" s="3">
        <v>38756</v>
      </c>
      <c r="C2232">
        <v>132.19999999999999</v>
      </c>
      <c r="D2232">
        <v>1.1960999999999999</v>
      </c>
      <c r="E2232">
        <v>61.06</v>
      </c>
      <c r="F2232">
        <v>227.45</v>
      </c>
      <c r="K2232" s="3"/>
      <c r="O2232" s="3"/>
    </row>
    <row r="2233" spans="1:15">
      <c r="A2233" s="3">
        <v>38757</v>
      </c>
      <c r="B2233" s="3">
        <v>38757</v>
      </c>
      <c r="C2233">
        <v>131.69999999999999</v>
      </c>
      <c r="D2233">
        <v>1.198</v>
      </c>
      <c r="E2233">
        <v>60.75</v>
      </c>
      <c r="F2233">
        <v>230.5</v>
      </c>
      <c r="K2233" s="3"/>
      <c r="O2233" s="3"/>
    </row>
    <row r="2234" spans="1:15">
      <c r="A2234" s="3">
        <v>38758</v>
      </c>
      <c r="B2234" s="3">
        <v>38758</v>
      </c>
      <c r="C2234">
        <v>131.46</v>
      </c>
      <c r="D2234">
        <v>1.1903999999999999</v>
      </c>
      <c r="E2234">
        <v>59.64</v>
      </c>
      <c r="F2234">
        <v>222.45</v>
      </c>
      <c r="K2234" s="3"/>
      <c r="O2234" s="3"/>
    </row>
    <row r="2235" spans="1:15">
      <c r="A2235" s="3">
        <v>38759</v>
      </c>
      <c r="B2235" s="3">
        <v>38759</v>
      </c>
      <c r="C2235">
        <v>131.46</v>
      </c>
      <c r="D2235">
        <v>1.1903999999999999</v>
      </c>
      <c r="E2235">
        <v>59.64</v>
      </c>
      <c r="F2235">
        <v>222.45</v>
      </c>
      <c r="K2235" s="3"/>
      <c r="O2235" s="3"/>
    </row>
    <row r="2236" spans="1:15">
      <c r="A2236" s="3">
        <v>38760</v>
      </c>
      <c r="B2236" s="3">
        <v>38760</v>
      </c>
      <c r="C2236">
        <v>131.46</v>
      </c>
      <c r="D2236">
        <v>1.1903999999999999</v>
      </c>
      <c r="E2236">
        <v>59.64</v>
      </c>
      <c r="F2236">
        <v>222.45</v>
      </c>
      <c r="K2236" s="3"/>
      <c r="O2236" s="3"/>
    </row>
    <row r="2237" spans="1:15">
      <c r="A2237" s="3">
        <v>38761</v>
      </c>
      <c r="B2237" s="3">
        <v>38761</v>
      </c>
      <c r="C2237">
        <v>131.47999999999999</v>
      </c>
      <c r="D2237">
        <v>1.1897</v>
      </c>
      <c r="E2237">
        <v>59.38</v>
      </c>
      <c r="F2237">
        <v>223.4</v>
      </c>
      <c r="K2237" s="3"/>
      <c r="O2237" s="3"/>
    </row>
    <row r="2238" spans="1:15">
      <c r="A2238" s="3">
        <v>38762</v>
      </c>
      <c r="B2238" s="3">
        <v>38762</v>
      </c>
      <c r="C2238">
        <v>131.22999999999999</v>
      </c>
      <c r="D2238">
        <v>1.1916</v>
      </c>
      <c r="E2238">
        <v>59.52</v>
      </c>
      <c r="F2238">
        <v>226.65</v>
      </c>
      <c r="K2238" s="3"/>
      <c r="O2238" s="3"/>
    </row>
    <row r="2239" spans="1:15">
      <c r="A2239" s="3">
        <v>38763</v>
      </c>
      <c r="B2239" s="3">
        <v>38763</v>
      </c>
      <c r="C2239">
        <v>131.1</v>
      </c>
      <c r="D2239">
        <v>1.1889000000000001</v>
      </c>
      <c r="E2239">
        <v>58.15</v>
      </c>
      <c r="F2239">
        <v>219.1</v>
      </c>
      <c r="K2239" s="3"/>
      <c r="O2239" s="3"/>
    </row>
    <row r="2240" spans="1:15">
      <c r="A2240" s="3">
        <v>38764</v>
      </c>
      <c r="B2240" s="3">
        <v>38764</v>
      </c>
      <c r="C2240">
        <v>131.05000000000001</v>
      </c>
      <c r="D2240">
        <v>1.1906000000000001</v>
      </c>
      <c r="E2240">
        <v>58.79</v>
      </c>
      <c r="F2240">
        <v>222.25</v>
      </c>
      <c r="K2240" s="3"/>
      <c r="O2240" s="3"/>
    </row>
    <row r="2241" spans="1:15">
      <c r="A2241" s="3">
        <v>38765</v>
      </c>
      <c r="B2241" s="3">
        <v>38765</v>
      </c>
      <c r="C2241">
        <v>130.93</v>
      </c>
      <c r="D2241">
        <v>1.194</v>
      </c>
      <c r="E2241">
        <v>59.89</v>
      </c>
      <c r="F2241">
        <v>220.1</v>
      </c>
      <c r="K2241" s="3"/>
      <c r="O2241" s="3"/>
    </row>
    <row r="2242" spans="1:15">
      <c r="A2242" s="3">
        <v>38766</v>
      </c>
      <c r="B2242" s="3">
        <v>38766</v>
      </c>
      <c r="C2242">
        <v>130.93</v>
      </c>
      <c r="D2242">
        <v>1.194</v>
      </c>
      <c r="E2242">
        <v>59.89</v>
      </c>
      <c r="F2242">
        <v>220.1</v>
      </c>
      <c r="K2242" s="3"/>
      <c r="O2242" s="3"/>
    </row>
    <row r="2243" spans="1:15">
      <c r="A2243" s="3">
        <v>38767</v>
      </c>
      <c r="B2243" s="3">
        <v>38767</v>
      </c>
      <c r="C2243">
        <v>130.93</v>
      </c>
      <c r="D2243">
        <v>1.194</v>
      </c>
      <c r="E2243">
        <v>59.89</v>
      </c>
      <c r="F2243">
        <v>220.1</v>
      </c>
      <c r="K2243" s="3"/>
      <c r="O2243" s="3"/>
    </row>
    <row r="2244" spans="1:15">
      <c r="A2244" s="3">
        <v>38768</v>
      </c>
      <c r="B2244" s="3">
        <v>38768</v>
      </c>
      <c r="C2244">
        <v>130.80000000000001</v>
      </c>
      <c r="D2244">
        <v>1.1936</v>
      </c>
      <c r="E2244">
        <v>61.54</v>
      </c>
      <c r="F2244">
        <v>220.1</v>
      </c>
      <c r="K2244" s="3"/>
      <c r="O2244" s="3"/>
    </row>
    <row r="2245" spans="1:15">
      <c r="A2245" s="3">
        <v>38769</v>
      </c>
      <c r="B2245" s="3">
        <v>38769</v>
      </c>
      <c r="C2245">
        <v>130.99</v>
      </c>
      <c r="D2245">
        <v>1.1911</v>
      </c>
      <c r="E2245">
        <v>61.6</v>
      </c>
      <c r="F2245">
        <v>227.35</v>
      </c>
      <c r="K2245" s="3"/>
      <c r="O2245" s="3"/>
    </row>
    <row r="2246" spans="1:15">
      <c r="A2246" s="3">
        <v>38770</v>
      </c>
      <c r="B2246" s="3">
        <v>38770</v>
      </c>
      <c r="C2246">
        <v>130.79</v>
      </c>
      <c r="D2246">
        <v>1.1914</v>
      </c>
      <c r="E2246">
        <v>60.44</v>
      </c>
      <c r="F2246">
        <v>226.45</v>
      </c>
      <c r="K2246" s="3"/>
      <c r="O2246" s="3"/>
    </row>
    <row r="2247" spans="1:15">
      <c r="A2247" s="3">
        <v>38771</v>
      </c>
      <c r="B2247" s="3">
        <v>38771</v>
      </c>
      <c r="C2247">
        <v>130.75</v>
      </c>
      <c r="D2247">
        <v>1.1918</v>
      </c>
      <c r="E2247">
        <v>60.54</v>
      </c>
      <c r="F2247">
        <v>220.5</v>
      </c>
      <c r="K2247" s="3"/>
      <c r="O2247" s="3"/>
    </row>
    <row r="2248" spans="1:15">
      <c r="A2248" s="3">
        <v>38772</v>
      </c>
      <c r="B2248" s="3">
        <v>38772</v>
      </c>
      <c r="C2248">
        <v>130.25</v>
      </c>
      <c r="D2248">
        <v>1.1876</v>
      </c>
      <c r="E2248">
        <v>62.6</v>
      </c>
      <c r="F2248">
        <v>220.75</v>
      </c>
      <c r="K2248" s="3"/>
      <c r="O2248" s="3"/>
    </row>
    <row r="2249" spans="1:15">
      <c r="A2249" s="3">
        <v>38773</v>
      </c>
      <c r="B2249" s="3">
        <v>38773</v>
      </c>
      <c r="C2249">
        <v>130.25</v>
      </c>
      <c r="D2249">
        <v>1.1876</v>
      </c>
      <c r="E2249">
        <v>62.6</v>
      </c>
      <c r="F2249">
        <v>220.75</v>
      </c>
      <c r="K2249" s="3"/>
      <c r="O2249" s="3"/>
    </row>
    <row r="2250" spans="1:15">
      <c r="A2250" s="3">
        <v>38774</v>
      </c>
      <c r="B2250" s="3">
        <v>38774</v>
      </c>
      <c r="C2250">
        <v>130.25</v>
      </c>
      <c r="D2250">
        <v>1.1876</v>
      </c>
      <c r="E2250">
        <v>62.6</v>
      </c>
      <c r="F2250">
        <v>220.75</v>
      </c>
      <c r="K2250" s="3"/>
      <c r="O2250" s="3"/>
    </row>
    <row r="2251" spans="1:15">
      <c r="A2251" s="3">
        <v>38775</v>
      </c>
      <c r="B2251" s="3">
        <v>38775</v>
      </c>
      <c r="C2251">
        <v>130.30000000000001</v>
      </c>
      <c r="D2251">
        <v>1.1847000000000001</v>
      </c>
      <c r="E2251">
        <v>60.99</v>
      </c>
      <c r="F2251">
        <v>214.05</v>
      </c>
      <c r="K2251" s="3"/>
      <c r="O2251" s="3"/>
    </row>
    <row r="2252" spans="1:15">
      <c r="A2252" s="3">
        <v>38776</v>
      </c>
      <c r="B2252" s="3">
        <v>38776</v>
      </c>
      <c r="C2252">
        <v>130.31</v>
      </c>
      <c r="D2252">
        <v>1.1920999999999999</v>
      </c>
      <c r="E2252">
        <v>61.76</v>
      </c>
      <c r="F2252">
        <v>218.55</v>
      </c>
      <c r="K2252" s="3"/>
      <c r="O2252" s="3"/>
    </row>
    <row r="2253" spans="1:15">
      <c r="A2253" s="3">
        <v>38777</v>
      </c>
      <c r="B2253" s="3">
        <v>38777</v>
      </c>
      <c r="C2253">
        <v>130.21</v>
      </c>
      <c r="D2253">
        <v>1.1922999999999999</v>
      </c>
      <c r="E2253">
        <v>62.45</v>
      </c>
      <c r="F2253">
        <v>224.35</v>
      </c>
      <c r="K2253" s="3"/>
      <c r="O2253" s="3"/>
    </row>
    <row r="2254" spans="1:15">
      <c r="A2254" s="3">
        <v>38778</v>
      </c>
      <c r="B2254" s="3">
        <v>38778</v>
      </c>
      <c r="C2254">
        <v>129.87</v>
      </c>
      <c r="D2254">
        <v>1.2039</v>
      </c>
      <c r="E2254">
        <v>64.069999999999993</v>
      </c>
      <c r="F2254">
        <v>227.55</v>
      </c>
      <c r="K2254" s="3"/>
      <c r="O2254" s="3"/>
    </row>
    <row r="2255" spans="1:15">
      <c r="A2255" s="3">
        <v>38779</v>
      </c>
      <c r="B2255" s="3">
        <v>38779</v>
      </c>
      <c r="C2255">
        <v>129.69999999999999</v>
      </c>
      <c r="D2255">
        <v>1.2044999999999999</v>
      </c>
      <c r="E2255">
        <v>64.180000000000007</v>
      </c>
      <c r="F2255">
        <v>226.95</v>
      </c>
      <c r="K2255" s="3"/>
      <c r="O2255" s="3"/>
    </row>
    <row r="2256" spans="1:15">
      <c r="A2256" s="3">
        <v>38780</v>
      </c>
      <c r="B2256" s="3">
        <v>38780</v>
      </c>
      <c r="C2256">
        <v>129.69999999999999</v>
      </c>
      <c r="D2256">
        <v>1.2044999999999999</v>
      </c>
      <c r="E2256">
        <v>64.180000000000007</v>
      </c>
      <c r="F2256">
        <v>226.95</v>
      </c>
      <c r="K2256" s="3"/>
      <c r="O2256" s="3"/>
    </row>
    <row r="2257" spans="1:15">
      <c r="A2257" s="3">
        <v>38781</v>
      </c>
      <c r="B2257" s="3">
        <v>38781</v>
      </c>
      <c r="C2257">
        <v>129.69999999999999</v>
      </c>
      <c r="D2257">
        <v>1.2044999999999999</v>
      </c>
      <c r="E2257">
        <v>64.180000000000007</v>
      </c>
      <c r="F2257">
        <v>226.95</v>
      </c>
      <c r="K2257" s="3"/>
      <c r="O2257" s="3"/>
    </row>
    <row r="2258" spans="1:15">
      <c r="A2258" s="3">
        <v>38782</v>
      </c>
      <c r="B2258" s="3">
        <v>38782</v>
      </c>
      <c r="C2258">
        <v>129.52000000000001</v>
      </c>
      <c r="D2258">
        <v>1.2017</v>
      </c>
      <c r="E2258">
        <v>62.34</v>
      </c>
      <c r="F2258">
        <v>220.1</v>
      </c>
      <c r="K2258" s="3"/>
      <c r="O2258" s="3"/>
    </row>
    <row r="2259" spans="1:15">
      <c r="A2259" s="3">
        <v>38783</v>
      </c>
      <c r="B2259" s="3">
        <v>38783</v>
      </c>
      <c r="C2259">
        <v>129.44999999999999</v>
      </c>
      <c r="D2259">
        <v>1.1888000000000001</v>
      </c>
      <c r="E2259">
        <v>61.17</v>
      </c>
      <c r="F2259">
        <v>218.6</v>
      </c>
      <c r="K2259" s="3"/>
      <c r="O2259" s="3"/>
    </row>
    <row r="2260" spans="1:15">
      <c r="A2260" s="3">
        <v>38784</v>
      </c>
      <c r="B2260" s="3">
        <v>38784</v>
      </c>
      <c r="C2260">
        <v>129.44999999999999</v>
      </c>
      <c r="D2260">
        <v>1.1924999999999999</v>
      </c>
      <c r="E2260">
        <v>60.03</v>
      </c>
      <c r="F2260">
        <v>217.25</v>
      </c>
      <c r="K2260" s="3"/>
      <c r="O2260" s="3"/>
    </row>
    <row r="2261" spans="1:15">
      <c r="A2261" s="3">
        <v>38785</v>
      </c>
      <c r="B2261" s="3">
        <v>38785</v>
      </c>
      <c r="C2261">
        <v>129.30000000000001</v>
      </c>
      <c r="D2261">
        <v>1.1910000000000001</v>
      </c>
      <c r="E2261">
        <v>61.06</v>
      </c>
      <c r="F2261">
        <v>220.45</v>
      </c>
      <c r="K2261" s="3"/>
      <c r="O2261" s="3"/>
    </row>
    <row r="2262" spans="1:15">
      <c r="A2262" s="3">
        <v>38786</v>
      </c>
      <c r="B2262" s="3">
        <v>38786</v>
      </c>
      <c r="C2262">
        <v>129.13999999999999</v>
      </c>
      <c r="D2262">
        <v>1.1910000000000001</v>
      </c>
      <c r="E2262">
        <v>60.83</v>
      </c>
      <c r="F2262">
        <v>221.7</v>
      </c>
      <c r="K2262" s="3"/>
      <c r="O2262" s="3"/>
    </row>
    <row r="2263" spans="1:15">
      <c r="A2263" s="3">
        <v>38787</v>
      </c>
      <c r="B2263" s="3">
        <v>38787</v>
      </c>
      <c r="C2263">
        <v>129.13999999999999</v>
      </c>
      <c r="D2263">
        <v>1.1910000000000001</v>
      </c>
      <c r="E2263">
        <v>60.83</v>
      </c>
      <c r="F2263">
        <v>221.7</v>
      </c>
      <c r="K2263" s="3"/>
      <c r="O2263" s="3"/>
    </row>
    <row r="2264" spans="1:15">
      <c r="A2264" s="3">
        <v>38788</v>
      </c>
      <c r="B2264" s="3">
        <v>38788</v>
      </c>
      <c r="C2264">
        <v>129.13999999999999</v>
      </c>
      <c r="D2264">
        <v>1.1910000000000001</v>
      </c>
      <c r="E2264">
        <v>60.83</v>
      </c>
      <c r="F2264">
        <v>221.7</v>
      </c>
      <c r="K2264" s="3"/>
      <c r="O2264" s="3"/>
    </row>
    <row r="2265" spans="1:15">
      <c r="A2265" s="3">
        <v>38789</v>
      </c>
      <c r="B2265" s="3">
        <v>38789</v>
      </c>
      <c r="C2265">
        <v>129.19</v>
      </c>
      <c r="D2265">
        <v>1.1963999999999999</v>
      </c>
      <c r="E2265">
        <v>62.2</v>
      </c>
      <c r="F2265">
        <v>225.15</v>
      </c>
      <c r="K2265" s="3"/>
      <c r="O2265" s="3"/>
    </row>
    <row r="2266" spans="1:15">
      <c r="A2266" s="3">
        <v>38790</v>
      </c>
      <c r="B2266" s="3">
        <v>38790</v>
      </c>
      <c r="C2266">
        <v>128.61000000000001</v>
      </c>
      <c r="D2266">
        <v>1.2013</v>
      </c>
      <c r="E2266">
        <v>63.97</v>
      </c>
      <c r="F2266">
        <v>226</v>
      </c>
      <c r="K2266" s="3"/>
      <c r="O2266" s="3"/>
    </row>
    <row r="2267" spans="1:15">
      <c r="A2267" s="3">
        <v>38791</v>
      </c>
      <c r="B2267" s="3">
        <v>38791</v>
      </c>
      <c r="C2267">
        <v>128.34</v>
      </c>
      <c r="D2267">
        <v>1.2069000000000001</v>
      </c>
      <c r="E2267">
        <v>62.94</v>
      </c>
      <c r="F2267">
        <v>225.2</v>
      </c>
      <c r="K2267" s="3"/>
      <c r="O2267" s="3"/>
    </row>
    <row r="2268" spans="1:15">
      <c r="A2268" s="3">
        <v>38792</v>
      </c>
      <c r="B2268" s="3">
        <v>38792</v>
      </c>
      <c r="C2268">
        <v>128.19</v>
      </c>
      <c r="D2268">
        <v>1.2182999999999999</v>
      </c>
      <c r="E2268">
        <v>62.91</v>
      </c>
      <c r="F2268">
        <v>226.65</v>
      </c>
      <c r="K2268" s="3"/>
      <c r="O2268" s="3"/>
    </row>
    <row r="2269" spans="1:15">
      <c r="A2269" s="3">
        <v>38793</v>
      </c>
      <c r="B2269" s="3">
        <v>38793</v>
      </c>
      <c r="C2269">
        <v>127.85</v>
      </c>
      <c r="D2269">
        <v>1.2190000000000001</v>
      </c>
      <c r="E2269">
        <v>63.26</v>
      </c>
      <c r="F2269">
        <v>236.9</v>
      </c>
      <c r="K2269" s="3"/>
      <c r="O2269" s="3"/>
    </row>
    <row r="2270" spans="1:15">
      <c r="A2270" s="3">
        <v>38794</v>
      </c>
      <c r="B2270" s="3">
        <v>38794</v>
      </c>
      <c r="C2270">
        <v>127.85</v>
      </c>
      <c r="D2270">
        <v>1.2190000000000001</v>
      </c>
      <c r="E2270">
        <v>63.26</v>
      </c>
      <c r="F2270">
        <v>236.9</v>
      </c>
      <c r="K2270" s="3"/>
      <c r="O2270" s="3"/>
    </row>
    <row r="2271" spans="1:15">
      <c r="A2271" s="3">
        <v>38795</v>
      </c>
      <c r="B2271" s="3">
        <v>38795</v>
      </c>
      <c r="C2271">
        <v>127.85</v>
      </c>
      <c r="D2271">
        <v>1.2190000000000001</v>
      </c>
      <c r="E2271">
        <v>63.26</v>
      </c>
      <c r="F2271">
        <v>236.9</v>
      </c>
      <c r="K2271" s="3"/>
      <c r="O2271" s="3"/>
    </row>
    <row r="2272" spans="1:15">
      <c r="A2272" s="3">
        <v>38796</v>
      </c>
      <c r="B2272" s="3">
        <v>38796</v>
      </c>
      <c r="C2272">
        <v>127.38</v>
      </c>
      <c r="D2272">
        <v>1.2164999999999999</v>
      </c>
      <c r="E2272">
        <v>61.34</v>
      </c>
      <c r="F2272">
        <v>234.4</v>
      </c>
      <c r="K2272" s="3"/>
      <c r="O2272" s="3"/>
    </row>
    <row r="2273" spans="1:15">
      <c r="A2273" s="3">
        <v>38797</v>
      </c>
      <c r="B2273" s="3">
        <v>38797</v>
      </c>
      <c r="C2273">
        <v>127.46</v>
      </c>
      <c r="D2273">
        <v>1.2095</v>
      </c>
      <c r="E2273">
        <v>62.13</v>
      </c>
      <c r="F2273">
        <v>233.4</v>
      </c>
      <c r="K2273" s="3"/>
      <c r="O2273" s="3"/>
    </row>
    <row r="2274" spans="1:15">
      <c r="A2274" s="3">
        <v>38798</v>
      </c>
      <c r="B2274" s="3">
        <v>38798</v>
      </c>
      <c r="C2274">
        <v>127.52</v>
      </c>
      <c r="D2274">
        <v>1.2078</v>
      </c>
      <c r="E2274">
        <v>61.5</v>
      </c>
      <c r="F2274">
        <v>235</v>
      </c>
      <c r="K2274" s="3"/>
      <c r="O2274" s="3"/>
    </row>
    <row r="2275" spans="1:15">
      <c r="A2275" s="3">
        <v>38799</v>
      </c>
      <c r="B2275" s="3">
        <v>38799</v>
      </c>
      <c r="C2275">
        <v>127.38</v>
      </c>
      <c r="D2275">
        <v>1.1973</v>
      </c>
      <c r="E2275">
        <v>63.27</v>
      </c>
      <c r="F2275">
        <v>240.9</v>
      </c>
      <c r="K2275" s="3"/>
      <c r="O2275" s="3"/>
    </row>
    <row r="2276" spans="1:15">
      <c r="A2276" s="3">
        <v>38800</v>
      </c>
      <c r="B2276" s="3">
        <v>38800</v>
      </c>
      <c r="C2276">
        <v>127.82</v>
      </c>
      <c r="D2276">
        <v>1.2036</v>
      </c>
      <c r="E2276">
        <v>63.51</v>
      </c>
      <c r="F2276">
        <v>241.15</v>
      </c>
      <c r="K2276" s="3"/>
      <c r="O2276" s="3"/>
    </row>
    <row r="2277" spans="1:15">
      <c r="A2277" s="3">
        <v>38801</v>
      </c>
      <c r="B2277" s="3">
        <v>38801</v>
      </c>
      <c r="C2277">
        <v>127.82</v>
      </c>
      <c r="D2277">
        <v>1.2036</v>
      </c>
      <c r="E2277">
        <v>63.51</v>
      </c>
      <c r="F2277">
        <v>241.15</v>
      </c>
      <c r="K2277" s="3"/>
      <c r="O2277" s="3"/>
    </row>
    <row r="2278" spans="1:15">
      <c r="A2278" s="3">
        <v>38802</v>
      </c>
      <c r="B2278" s="3">
        <v>38802</v>
      </c>
      <c r="C2278">
        <v>127.82</v>
      </c>
      <c r="D2278">
        <v>1.2036</v>
      </c>
      <c r="E2278">
        <v>63.51</v>
      </c>
      <c r="F2278">
        <v>241.15</v>
      </c>
      <c r="K2278" s="3"/>
      <c r="O2278" s="3"/>
    </row>
    <row r="2279" spans="1:15">
      <c r="A2279" s="3">
        <v>38803</v>
      </c>
      <c r="B2279" s="3">
        <v>38803</v>
      </c>
      <c r="C2279">
        <v>128.06</v>
      </c>
      <c r="D2279">
        <v>1.2016</v>
      </c>
      <c r="E2279">
        <v>63.61</v>
      </c>
      <c r="F2279">
        <v>247.5</v>
      </c>
      <c r="K2279" s="3"/>
      <c r="O2279" s="3"/>
    </row>
    <row r="2280" spans="1:15">
      <c r="A2280" s="3">
        <v>38804</v>
      </c>
      <c r="B2280" s="3">
        <v>38804</v>
      </c>
      <c r="C2280">
        <v>127.83</v>
      </c>
      <c r="D2280">
        <v>1.2</v>
      </c>
      <c r="E2280">
        <v>64.97</v>
      </c>
      <c r="F2280">
        <v>249.4</v>
      </c>
      <c r="K2280" s="3"/>
      <c r="O2280" s="3"/>
    </row>
    <row r="2281" spans="1:15">
      <c r="A2281" s="3">
        <v>38805</v>
      </c>
      <c r="B2281" s="3">
        <v>38805</v>
      </c>
      <c r="C2281">
        <v>128.22999999999999</v>
      </c>
      <c r="D2281">
        <v>1.2023999999999999</v>
      </c>
      <c r="E2281">
        <v>65.55</v>
      </c>
      <c r="F2281">
        <v>247.65</v>
      </c>
      <c r="K2281" s="3"/>
      <c r="O2281" s="3"/>
    </row>
    <row r="2282" spans="1:15">
      <c r="A2282" s="3">
        <v>38806</v>
      </c>
      <c r="B2282" s="3">
        <v>38806</v>
      </c>
      <c r="C2282">
        <v>128.58000000000001</v>
      </c>
      <c r="D2282">
        <v>1.2166999999999999</v>
      </c>
      <c r="E2282">
        <v>66.459999999999994</v>
      </c>
      <c r="F2282">
        <v>248.45</v>
      </c>
      <c r="K2282" s="3"/>
      <c r="O2282" s="3"/>
    </row>
    <row r="2283" spans="1:15">
      <c r="A2283" s="3">
        <v>38807</v>
      </c>
      <c r="B2283" s="3">
        <v>38807</v>
      </c>
      <c r="C2283">
        <v>128.35</v>
      </c>
      <c r="D2283">
        <v>1.2118</v>
      </c>
      <c r="E2283">
        <v>65.91</v>
      </c>
      <c r="F2283">
        <v>246.3</v>
      </c>
      <c r="K2283" s="3"/>
      <c r="O2283" s="3"/>
    </row>
    <row r="2284" spans="1:15">
      <c r="A2284" s="3">
        <v>38808</v>
      </c>
      <c r="B2284" s="3">
        <v>38808</v>
      </c>
      <c r="C2284">
        <v>128.35</v>
      </c>
      <c r="D2284">
        <v>1.2118</v>
      </c>
      <c r="E2284">
        <v>65.91</v>
      </c>
      <c r="F2284">
        <v>246.3</v>
      </c>
      <c r="K2284" s="3"/>
      <c r="O2284" s="3"/>
    </row>
    <row r="2285" spans="1:15">
      <c r="A2285" s="3">
        <v>38809</v>
      </c>
      <c r="B2285" s="3">
        <v>38809</v>
      </c>
      <c r="C2285">
        <v>128.35</v>
      </c>
      <c r="D2285">
        <v>1.2118</v>
      </c>
      <c r="E2285">
        <v>65.91</v>
      </c>
      <c r="F2285">
        <v>246.3</v>
      </c>
      <c r="K2285" s="3"/>
      <c r="O2285" s="3"/>
    </row>
    <row r="2286" spans="1:15">
      <c r="A2286" s="3">
        <v>38810</v>
      </c>
      <c r="B2286" s="3">
        <v>38810</v>
      </c>
      <c r="C2286">
        <v>128.57</v>
      </c>
      <c r="D2286">
        <v>1.2139</v>
      </c>
      <c r="E2286">
        <v>66.84</v>
      </c>
      <c r="F2286">
        <v>254.75</v>
      </c>
      <c r="K2286" s="3"/>
      <c r="O2286" s="3"/>
    </row>
    <row r="2287" spans="1:15">
      <c r="A2287" s="3">
        <v>38811</v>
      </c>
      <c r="B2287" s="3">
        <v>38811</v>
      </c>
      <c r="C2287">
        <v>128.80000000000001</v>
      </c>
      <c r="D2287">
        <v>1.2259</v>
      </c>
      <c r="E2287">
        <v>66.39</v>
      </c>
      <c r="F2287">
        <v>253.55</v>
      </c>
      <c r="K2287" s="3"/>
      <c r="O2287" s="3"/>
    </row>
    <row r="2288" spans="1:15">
      <c r="A2288" s="3">
        <v>38812</v>
      </c>
      <c r="B2288" s="3">
        <v>38812</v>
      </c>
      <c r="C2288">
        <v>128.71</v>
      </c>
      <c r="D2288">
        <v>1.2289000000000001</v>
      </c>
      <c r="E2288">
        <v>67.099999999999994</v>
      </c>
      <c r="F2288">
        <v>259.60000000000002</v>
      </c>
      <c r="K2288" s="3"/>
      <c r="O2288" s="3"/>
    </row>
    <row r="2289" spans="1:15">
      <c r="A2289" s="3">
        <v>38813</v>
      </c>
      <c r="B2289" s="3">
        <v>38813</v>
      </c>
      <c r="C2289">
        <v>128.78</v>
      </c>
      <c r="D2289">
        <v>1.2230000000000001</v>
      </c>
      <c r="E2289">
        <v>67.84</v>
      </c>
      <c r="F2289">
        <v>264.64999999999998</v>
      </c>
      <c r="K2289" s="3"/>
      <c r="O2289" s="3"/>
    </row>
    <row r="2290" spans="1:15">
      <c r="A2290" s="3">
        <v>38814</v>
      </c>
      <c r="B2290" s="3">
        <v>38814</v>
      </c>
      <c r="C2290">
        <v>128.9</v>
      </c>
      <c r="D2290">
        <v>1.2093</v>
      </c>
      <c r="E2290">
        <v>67.290000000000006</v>
      </c>
      <c r="F2290">
        <v>264.05</v>
      </c>
      <c r="K2290" s="3"/>
      <c r="O2290" s="3"/>
    </row>
    <row r="2291" spans="1:15">
      <c r="A2291" s="3">
        <v>38815</v>
      </c>
      <c r="B2291" s="3">
        <v>38815</v>
      </c>
      <c r="C2291">
        <v>128.9</v>
      </c>
      <c r="D2291">
        <v>1.2093</v>
      </c>
      <c r="E2291">
        <v>67.290000000000006</v>
      </c>
      <c r="F2291">
        <v>264.05</v>
      </c>
      <c r="K2291" s="3"/>
      <c r="O2291" s="3"/>
    </row>
    <row r="2292" spans="1:15">
      <c r="A2292" s="3">
        <v>38816</v>
      </c>
      <c r="B2292" s="3">
        <v>38816</v>
      </c>
      <c r="C2292">
        <v>128.9</v>
      </c>
      <c r="D2292">
        <v>1.2093</v>
      </c>
      <c r="E2292">
        <v>67.290000000000006</v>
      </c>
      <c r="F2292">
        <v>264.05</v>
      </c>
      <c r="K2292" s="3"/>
      <c r="O2292" s="3"/>
    </row>
    <row r="2293" spans="1:15">
      <c r="A2293" s="3">
        <v>38817</v>
      </c>
      <c r="B2293" s="3">
        <v>38817</v>
      </c>
      <c r="C2293">
        <v>128.88</v>
      </c>
      <c r="D2293">
        <v>1.2111000000000001</v>
      </c>
      <c r="E2293">
        <v>68.75</v>
      </c>
      <c r="F2293">
        <v>270.89999999999998</v>
      </c>
      <c r="K2293" s="3"/>
      <c r="O2293" s="3"/>
    </row>
    <row r="2294" spans="1:15">
      <c r="A2294" s="3">
        <v>38818</v>
      </c>
      <c r="B2294" s="3">
        <v>38818</v>
      </c>
      <c r="C2294">
        <v>128.68</v>
      </c>
      <c r="D2294">
        <v>1.2144999999999999</v>
      </c>
      <c r="E2294">
        <v>69.37</v>
      </c>
      <c r="F2294">
        <v>272.14999999999998</v>
      </c>
      <c r="K2294" s="3"/>
      <c r="O2294" s="3"/>
    </row>
    <row r="2295" spans="1:15">
      <c r="A2295" s="3">
        <v>38819</v>
      </c>
      <c r="B2295" s="3">
        <v>38819</v>
      </c>
      <c r="C2295">
        <v>128.58000000000001</v>
      </c>
      <c r="D2295">
        <v>1.2103999999999999</v>
      </c>
      <c r="E2295">
        <v>69.42</v>
      </c>
      <c r="F2295">
        <v>277.14999999999998</v>
      </c>
      <c r="K2295" s="3"/>
      <c r="O2295" s="3"/>
    </row>
    <row r="2296" spans="1:15">
      <c r="A2296" s="3">
        <v>38820</v>
      </c>
      <c r="B2296" s="3">
        <v>38820</v>
      </c>
      <c r="C2296">
        <v>128.31</v>
      </c>
      <c r="D2296">
        <v>1.2108000000000001</v>
      </c>
      <c r="E2296">
        <v>70.14</v>
      </c>
      <c r="F2296">
        <v>281.55</v>
      </c>
      <c r="K2296" s="3"/>
      <c r="O2296" s="3"/>
    </row>
    <row r="2297" spans="1:15">
      <c r="A2297" s="3">
        <v>38821</v>
      </c>
      <c r="B2297" s="3">
        <v>38821</v>
      </c>
      <c r="C2297">
        <v>128.01</v>
      </c>
      <c r="D2297">
        <v>1.2110000000000001</v>
      </c>
      <c r="E2297">
        <v>70.14</v>
      </c>
      <c r="F2297">
        <v>281.55</v>
      </c>
      <c r="K2297" s="3"/>
      <c r="O2297" s="3"/>
    </row>
    <row r="2298" spans="1:15">
      <c r="A2298" s="3">
        <v>38822</v>
      </c>
      <c r="B2298" s="3">
        <v>38822</v>
      </c>
      <c r="C2298">
        <v>128.01</v>
      </c>
      <c r="D2298">
        <v>1.2110000000000001</v>
      </c>
      <c r="E2298">
        <v>70.14</v>
      </c>
      <c r="F2298">
        <v>281.55</v>
      </c>
      <c r="K2298" s="3"/>
      <c r="O2298" s="3"/>
    </row>
    <row r="2299" spans="1:15">
      <c r="A2299" s="3">
        <v>38823</v>
      </c>
      <c r="B2299" s="3">
        <v>38823</v>
      </c>
      <c r="C2299">
        <v>128.01</v>
      </c>
      <c r="D2299">
        <v>1.2110000000000001</v>
      </c>
      <c r="E2299">
        <v>70.14</v>
      </c>
      <c r="F2299">
        <v>281.55</v>
      </c>
      <c r="K2299" s="3"/>
      <c r="O2299" s="3"/>
    </row>
    <row r="2300" spans="1:15">
      <c r="A2300" s="3">
        <v>38824</v>
      </c>
      <c r="B2300" s="3">
        <v>38824</v>
      </c>
      <c r="C2300">
        <v>127.3</v>
      </c>
      <c r="D2300">
        <v>1.2250000000000001</v>
      </c>
      <c r="E2300">
        <v>71.3</v>
      </c>
      <c r="F2300">
        <v>289.5</v>
      </c>
      <c r="K2300" s="3"/>
      <c r="O2300" s="3"/>
    </row>
    <row r="2301" spans="1:15">
      <c r="A2301" s="3">
        <v>38825</v>
      </c>
      <c r="B2301" s="3">
        <v>38825</v>
      </c>
      <c r="C2301">
        <v>126.48</v>
      </c>
      <c r="D2301">
        <v>1.2346999999999999</v>
      </c>
      <c r="E2301">
        <v>71.849999999999994</v>
      </c>
      <c r="F2301">
        <v>297.10000000000002</v>
      </c>
      <c r="K2301" s="3"/>
      <c r="O2301" s="3"/>
    </row>
    <row r="2302" spans="1:15">
      <c r="A2302" s="3">
        <v>38826</v>
      </c>
      <c r="B2302" s="3">
        <v>38826</v>
      </c>
      <c r="C2302">
        <v>124.97</v>
      </c>
      <c r="D2302">
        <v>1.2382</v>
      </c>
      <c r="E2302">
        <v>72.95</v>
      </c>
      <c r="F2302">
        <v>295.95</v>
      </c>
      <c r="K2302" s="3"/>
      <c r="O2302" s="3"/>
    </row>
    <row r="2303" spans="1:15">
      <c r="A2303" s="3">
        <v>38827</v>
      </c>
      <c r="B2303" s="3">
        <v>38827</v>
      </c>
      <c r="C2303">
        <v>123.52</v>
      </c>
      <c r="D2303">
        <v>1.2317</v>
      </c>
      <c r="E2303">
        <v>72.87</v>
      </c>
      <c r="F2303">
        <v>296.2</v>
      </c>
      <c r="K2303" s="3"/>
      <c r="O2303" s="3"/>
    </row>
    <row r="2304" spans="1:15">
      <c r="A2304" s="3">
        <v>38828</v>
      </c>
      <c r="B2304" s="3">
        <v>38828</v>
      </c>
      <c r="C2304">
        <v>123.29</v>
      </c>
      <c r="D2304">
        <v>1.2341</v>
      </c>
      <c r="E2304">
        <v>74.17</v>
      </c>
      <c r="F2304">
        <v>314.05</v>
      </c>
      <c r="K2304" s="3"/>
      <c r="O2304" s="3"/>
    </row>
    <row r="2305" spans="1:15">
      <c r="A2305" s="3">
        <v>38829</v>
      </c>
      <c r="B2305" s="3">
        <v>38829</v>
      </c>
      <c r="C2305">
        <v>123.29</v>
      </c>
      <c r="D2305">
        <v>1.2341</v>
      </c>
      <c r="E2305">
        <v>74.17</v>
      </c>
      <c r="F2305">
        <v>314.05</v>
      </c>
      <c r="K2305" s="3"/>
      <c r="O2305" s="3"/>
    </row>
    <row r="2306" spans="1:15">
      <c r="A2306" s="3">
        <v>38830</v>
      </c>
      <c r="B2306" s="3">
        <v>38830</v>
      </c>
      <c r="C2306">
        <v>123.29</v>
      </c>
      <c r="D2306">
        <v>1.2341</v>
      </c>
      <c r="E2306">
        <v>74.17</v>
      </c>
      <c r="F2306">
        <v>314.05</v>
      </c>
      <c r="K2306" s="3"/>
      <c r="O2306" s="3"/>
    </row>
    <row r="2307" spans="1:15">
      <c r="A2307" s="3">
        <v>38831</v>
      </c>
      <c r="B2307" s="3">
        <v>38831</v>
      </c>
      <c r="C2307">
        <v>123.45</v>
      </c>
      <c r="D2307">
        <v>1.2387999999999999</v>
      </c>
      <c r="E2307">
        <v>73.86</v>
      </c>
      <c r="F2307">
        <v>311.10000000000002</v>
      </c>
      <c r="K2307" s="3"/>
      <c r="O2307" s="3"/>
    </row>
    <row r="2308" spans="1:15">
      <c r="A2308" s="3">
        <v>38832</v>
      </c>
      <c r="B2308" s="3">
        <v>38832</v>
      </c>
      <c r="C2308">
        <v>124.15</v>
      </c>
      <c r="D2308">
        <v>1.2431000000000001</v>
      </c>
      <c r="E2308">
        <v>72.459999999999994</v>
      </c>
      <c r="F2308">
        <v>332.05</v>
      </c>
      <c r="K2308" s="3"/>
      <c r="O2308" s="3"/>
    </row>
    <row r="2309" spans="1:15">
      <c r="A2309" s="3">
        <v>38833</v>
      </c>
      <c r="B2309" s="3">
        <v>38833</v>
      </c>
      <c r="C2309">
        <v>124.01</v>
      </c>
      <c r="D2309">
        <v>1.2454000000000001</v>
      </c>
      <c r="E2309">
        <v>72.44</v>
      </c>
      <c r="F2309">
        <v>339.5</v>
      </c>
      <c r="K2309" s="3"/>
      <c r="O2309" s="3"/>
    </row>
    <row r="2310" spans="1:15">
      <c r="A2310" s="3">
        <v>38834</v>
      </c>
      <c r="B2310" s="3">
        <v>38834</v>
      </c>
      <c r="C2310">
        <v>124.11</v>
      </c>
      <c r="D2310">
        <v>1.2534000000000001</v>
      </c>
      <c r="E2310">
        <v>71.02</v>
      </c>
      <c r="F2310">
        <v>326</v>
      </c>
      <c r="K2310" s="3"/>
      <c r="O2310" s="3"/>
    </row>
    <row r="2311" spans="1:15">
      <c r="A2311" s="3">
        <v>38835</v>
      </c>
      <c r="B2311" s="3">
        <v>38835</v>
      </c>
      <c r="C2311">
        <v>124.28</v>
      </c>
      <c r="D2311">
        <v>1.2635000000000001</v>
      </c>
      <c r="E2311">
        <v>72.5</v>
      </c>
      <c r="F2311">
        <v>333.55</v>
      </c>
      <c r="K2311" s="3"/>
      <c r="O2311" s="3"/>
    </row>
    <row r="2312" spans="1:15">
      <c r="A2312" s="3">
        <v>38836</v>
      </c>
      <c r="B2312" s="3">
        <v>38836</v>
      </c>
      <c r="C2312">
        <v>124.28</v>
      </c>
      <c r="D2312">
        <v>1.2635000000000001</v>
      </c>
      <c r="E2312">
        <v>72.5</v>
      </c>
      <c r="F2312">
        <v>333.55</v>
      </c>
      <c r="K2312" s="3"/>
      <c r="O2312" s="3"/>
    </row>
    <row r="2313" spans="1:15">
      <c r="A2313" s="3">
        <v>38837</v>
      </c>
      <c r="B2313" s="3">
        <v>38837</v>
      </c>
      <c r="C2313">
        <v>124.28</v>
      </c>
      <c r="D2313">
        <v>1.2635000000000001</v>
      </c>
      <c r="E2313">
        <v>72.5</v>
      </c>
      <c r="F2313">
        <v>333.55</v>
      </c>
      <c r="K2313" s="3"/>
      <c r="O2313" s="3"/>
    </row>
    <row r="2314" spans="1:15">
      <c r="A2314" s="3">
        <v>38838</v>
      </c>
      <c r="B2314" s="3">
        <v>38838</v>
      </c>
      <c r="C2314">
        <v>124.28</v>
      </c>
      <c r="D2314">
        <v>1.2587999999999999</v>
      </c>
      <c r="E2314">
        <v>73.400000000000006</v>
      </c>
      <c r="F2314">
        <v>345.3</v>
      </c>
      <c r="K2314" s="3"/>
      <c r="O2314" s="3"/>
    </row>
    <row r="2315" spans="1:15">
      <c r="A2315" s="3">
        <v>38839</v>
      </c>
      <c r="B2315" s="3">
        <v>38839</v>
      </c>
      <c r="C2315">
        <v>124.31</v>
      </c>
      <c r="D2315">
        <v>1.2614000000000001</v>
      </c>
      <c r="E2315">
        <v>74.87</v>
      </c>
      <c r="F2315">
        <v>341.65</v>
      </c>
      <c r="K2315" s="3"/>
      <c r="O2315" s="3"/>
    </row>
    <row r="2316" spans="1:15">
      <c r="A2316" s="3">
        <v>38840</v>
      </c>
      <c r="B2316" s="3">
        <v>38840</v>
      </c>
      <c r="C2316">
        <v>124.34</v>
      </c>
      <c r="D2316">
        <v>1.2633000000000001</v>
      </c>
      <c r="E2316">
        <v>73.319999999999993</v>
      </c>
      <c r="F2316">
        <v>342.5</v>
      </c>
      <c r="K2316" s="3"/>
      <c r="O2316" s="3"/>
    </row>
    <row r="2317" spans="1:15">
      <c r="A2317" s="3">
        <v>38841</v>
      </c>
      <c r="B2317" s="3">
        <v>38841</v>
      </c>
      <c r="C2317">
        <v>123.58</v>
      </c>
      <c r="D2317">
        <v>1.2690999999999999</v>
      </c>
      <c r="E2317">
        <v>70.39</v>
      </c>
      <c r="F2317">
        <v>359.3</v>
      </c>
      <c r="K2317" s="3"/>
      <c r="O2317" s="3"/>
    </row>
    <row r="2318" spans="1:15">
      <c r="A2318" s="3">
        <v>38842</v>
      </c>
      <c r="B2318" s="3">
        <v>38842</v>
      </c>
      <c r="C2318">
        <v>123.31</v>
      </c>
      <c r="D2318">
        <v>1.2726</v>
      </c>
      <c r="E2318">
        <v>70.88</v>
      </c>
      <c r="F2318">
        <v>359.7</v>
      </c>
      <c r="K2318" s="3"/>
      <c r="O2318" s="3"/>
    </row>
    <row r="2319" spans="1:15">
      <c r="A2319" s="3">
        <v>38843</v>
      </c>
      <c r="B2319" s="3">
        <v>38843</v>
      </c>
      <c r="C2319">
        <v>123.31</v>
      </c>
      <c r="D2319">
        <v>1.2726</v>
      </c>
      <c r="E2319">
        <v>70.88</v>
      </c>
      <c r="F2319">
        <v>359.7</v>
      </c>
      <c r="K2319" s="3"/>
      <c r="O2319" s="3"/>
    </row>
    <row r="2320" spans="1:15">
      <c r="A2320" s="3">
        <v>38844</v>
      </c>
      <c r="B2320" s="3">
        <v>38844</v>
      </c>
      <c r="C2320">
        <v>123.31</v>
      </c>
      <c r="D2320">
        <v>1.2726</v>
      </c>
      <c r="E2320">
        <v>70.88</v>
      </c>
      <c r="F2320">
        <v>359.7</v>
      </c>
      <c r="K2320" s="3"/>
      <c r="O2320" s="3"/>
    </row>
    <row r="2321" spans="1:15">
      <c r="A2321" s="3">
        <v>38845</v>
      </c>
      <c r="B2321" s="3">
        <v>38845</v>
      </c>
      <c r="C2321">
        <v>123.31</v>
      </c>
      <c r="D2321">
        <v>1.2713000000000001</v>
      </c>
      <c r="E2321">
        <v>69.33</v>
      </c>
      <c r="F2321">
        <v>360.55</v>
      </c>
      <c r="K2321" s="3"/>
      <c r="O2321" s="3"/>
    </row>
    <row r="2322" spans="1:15">
      <c r="A2322" s="3">
        <v>38846</v>
      </c>
      <c r="B2322" s="3">
        <v>38846</v>
      </c>
      <c r="C2322">
        <v>123.31</v>
      </c>
      <c r="D2322">
        <v>1.2758</v>
      </c>
      <c r="E2322">
        <v>71.22</v>
      </c>
      <c r="F2322">
        <v>369.6</v>
      </c>
      <c r="K2322" s="3"/>
      <c r="O2322" s="3"/>
    </row>
    <row r="2323" spans="1:15">
      <c r="A2323" s="3">
        <v>38847</v>
      </c>
      <c r="B2323" s="3">
        <v>38847</v>
      </c>
      <c r="C2323">
        <v>122.63</v>
      </c>
      <c r="D2323">
        <v>1.2782</v>
      </c>
      <c r="E2323">
        <v>70.819999999999993</v>
      </c>
      <c r="F2323">
        <v>378.4</v>
      </c>
      <c r="K2323" s="3"/>
      <c r="O2323" s="3"/>
    </row>
    <row r="2324" spans="1:15">
      <c r="A2324" s="3">
        <v>38848</v>
      </c>
      <c r="B2324" s="3">
        <v>38848</v>
      </c>
      <c r="C2324">
        <v>121.92</v>
      </c>
      <c r="D2324">
        <v>1.2836000000000001</v>
      </c>
      <c r="E2324">
        <v>72.510000000000005</v>
      </c>
      <c r="F2324">
        <v>403.3</v>
      </c>
      <c r="K2324" s="3"/>
      <c r="O2324" s="3"/>
    </row>
    <row r="2325" spans="1:15">
      <c r="A2325" s="3">
        <v>38849</v>
      </c>
      <c r="B2325" s="3">
        <v>38849</v>
      </c>
      <c r="C2325">
        <v>121.6</v>
      </c>
      <c r="D2325">
        <v>1.2927999999999999</v>
      </c>
      <c r="E2325">
        <v>72.180000000000007</v>
      </c>
      <c r="F2325">
        <v>396.65</v>
      </c>
      <c r="K2325" s="3"/>
      <c r="O2325" s="3"/>
    </row>
    <row r="2326" spans="1:15">
      <c r="A2326" s="3">
        <v>38850</v>
      </c>
      <c r="B2326" s="3">
        <v>38850</v>
      </c>
      <c r="C2326">
        <v>121.6</v>
      </c>
      <c r="D2326">
        <v>1.2927999999999999</v>
      </c>
      <c r="E2326">
        <v>72.180000000000007</v>
      </c>
      <c r="F2326">
        <v>396.65</v>
      </c>
      <c r="K2326" s="3"/>
      <c r="O2326" s="3"/>
    </row>
    <row r="2327" spans="1:15">
      <c r="A2327" s="3">
        <v>38851</v>
      </c>
      <c r="B2327" s="3">
        <v>38851</v>
      </c>
      <c r="C2327">
        <v>121.6</v>
      </c>
      <c r="D2327">
        <v>1.2927999999999999</v>
      </c>
      <c r="E2327">
        <v>72.180000000000007</v>
      </c>
      <c r="F2327">
        <v>396.65</v>
      </c>
      <c r="K2327" s="3"/>
      <c r="O2327" s="3"/>
    </row>
    <row r="2328" spans="1:15">
      <c r="A2328" s="3">
        <v>38852</v>
      </c>
      <c r="B2328" s="3">
        <v>38852</v>
      </c>
      <c r="C2328">
        <v>121.17</v>
      </c>
      <c r="D2328">
        <v>1.2797000000000001</v>
      </c>
      <c r="E2328">
        <v>70.209999999999994</v>
      </c>
      <c r="F2328">
        <v>386.9</v>
      </c>
      <c r="K2328" s="3"/>
      <c r="O2328" s="3"/>
    </row>
    <row r="2329" spans="1:15">
      <c r="A2329" s="3">
        <v>38853</v>
      </c>
      <c r="B2329" s="3">
        <v>38853</v>
      </c>
      <c r="C2329">
        <v>122.16</v>
      </c>
      <c r="D2329">
        <v>1.2859</v>
      </c>
      <c r="E2329">
        <v>70.239999999999995</v>
      </c>
      <c r="F2329">
        <v>398.2</v>
      </c>
      <c r="K2329" s="3"/>
      <c r="O2329" s="3"/>
    </row>
    <row r="2330" spans="1:15">
      <c r="A2330" s="3">
        <v>38854</v>
      </c>
      <c r="B2330" s="3">
        <v>38854</v>
      </c>
      <c r="C2330">
        <v>122.06</v>
      </c>
      <c r="D2330">
        <v>1.2743</v>
      </c>
      <c r="E2330">
        <v>69.040000000000006</v>
      </c>
      <c r="F2330">
        <v>383.05</v>
      </c>
      <c r="K2330" s="3"/>
      <c r="O2330" s="3"/>
    </row>
    <row r="2331" spans="1:15">
      <c r="A2331" s="3">
        <v>38855</v>
      </c>
      <c r="B2331" s="3">
        <v>38855</v>
      </c>
      <c r="C2331">
        <v>121.49</v>
      </c>
      <c r="D2331">
        <v>1.2844</v>
      </c>
      <c r="E2331">
        <v>69.67</v>
      </c>
      <c r="F2331">
        <v>386.95</v>
      </c>
      <c r="K2331" s="3"/>
      <c r="O2331" s="3"/>
    </row>
    <row r="2332" spans="1:15">
      <c r="A2332" s="3">
        <v>38856</v>
      </c>
      <c r="B2332" s="3">
        <v>38856</v>
      </c>
      <c r="C2332">
        <v>121.48</v>
      </c>
      <c r="D2332">
        <v>1.2778</v>
      </c>
      <c r="E2332">
        <v>68.680000000000007</v>
      </c>
      <c r="F2332">
        <v>364.3</v>
      </c>
      <c r="K2332" s="3"/>
      <c r="O2332" s="3"/>
    </row>
    <row r="2333" spans="1:15">
      <c r="A2333" s="3">
        <v>38857</v>
      </c>
      <c r="B2333" s="3">
        <v>38857</v>
      </c>
      <c r="C2333">
        <v>121.48</v>
      </c>
      <c r="D2333">
        <v>1.2778</v>
      </c>
      <c r="E2333">
        <v>68.680000000000007</v>
      </c>
      <c r="F2333">
        <v>364.3</v>
      </c>
      <c r="K2333" s="3"/>
      <c r="O2333" s="3"/>
    </row>
    <row r="2334" spans="1:15">
      <c r="A2334" s="3">
        <v>38858</v>
      </c>
      <c r="B2334" s="3">
        <v>38858</v>
      </c>
      <c r="C2334">
        <v>121.48</v>
      </c>
      <c r="D2334">
        <v>1.2778</v>
      </c>
      <c r="E2334">
        <v>68.680000000000007</v>
      </c>
      <c r="F2334">
        <v>364.3</v>
      </c>
      <c r="K2334" s="3"/>
      <c r="O2334" s="3"/>
    </row>
    <row r="2335" spans="1:15">
      <c r="A2335" s="3">
        <v>38859</v>
      </c>
      <c r="B2335" s="3">
        <v>38859</v>
      </c>
      <c r="C2335">
        <v>122.03</v>
      </c>
      <c r="D2335">
        <v>1.2866</v>
      </c>
      <c r="E2335">
        <v>69.349999999999994</v>
      </c>
      <c r="F2335">
        <v>364</v>
      </c>
      <c r="K2335" s="3"/>
      <c r="O2335" s="3"/>
    </row>
    <row r="2336" spans="1:15">
      <c r="A2336" s="3">
        <v>38860</v>
      </c>
      <c r="B2336" s="3">
        <v>38860</v>
      </c>
      <c r="C2336">
        <v>122.92</v>
      </c>
      <c r="D2336">
        <v>1.2815000000000001</v>
      </c>
      <c r="E2336">
        <v>71</v>
      </c>
      <c r="F2336">
        <v>407.55</v>
      </c>
      <c r="K2336" s="3"/>
      <c r="O2336" s="3"/>
    </row>
    <row r="2337" spans="1:15">
      <c r="A2337" s="3">
        <v>38861</v>
      </c>
      <c r="B2337" s="3">
        <v>38861</v>
      </c>
      <c r="C2337">
        <v>122.5</v>
      </c>
      <c r="D2337">
        <v>1.2754000000000001</v>
      </c>
      <c r="E2337">
        <v>69.22</v>
      </c>
      <c r="F2337">
        <v>383.05</v>
      </c>
      <c r="K2337" s="3"/>
      <c r="O2337" s="3"/>
    </row>
    <row r="2338" spans="1:15">
      <c r="A2338" s="3">
        <v>38862</v>
      </c>
      <c r="B2338" s="3">
        <v>38862</v>
      </c>
      <c r="C2338">
        <v>122.22</v>
      </c>
      <c r="D2338">
        <v>1.2799</v>
      </c>
      <c r="E2338">
        <v>70.709999999999994</v>
      </c>
      <c r="F2338">
        <v>390.15</v>
      </c>
      <c r="K2338" s="3"/>
      <c r="O2338" s="3"/>
    </row>
    <row r="2339" spans="1:15">
      <c r="A2339" s="3">
        <v>38863</v>
      </c>
      <c r="B2339" s="3">
        <v>38863</v>
      </c>
      <c r="C2339">
        <v>122.29</v>
      </c>
      <c r="D2339">
        <v>1.2738</v>
      </c>
      <c r="E2339">
        <v>70.59</v>
      </c>
      <c r="F2339">
        <v>401.5</v>
      </c>
      <c r="K2339" s="3"/>
      <c r="O2339" s="3"/>
    </row>
    <row r="2340" spans="1:15">
      <c r="A2340" s="3">
        <v>38864</v>
      </c>
      <c r="B2340" s="3">
        <v>38864</v>
      </c>
      <c r="C2340">
        <v>122.29</v>
      </c>
      <c r="D2340">
        <v>1.2738</v>
      </c>
      <c r="E2340">
        <v>70.59</v>
      </c>
      <c r="F2340">
        <v>401.5</v>
      </c>
      <c r="K2340" s="3"/>
      <c r="O2340" s="3"/>
    </row>
    <row r="2341" spans="1:15">
      <c r="A2341" s="3">
        <v>38865</v>
      </c>
      <c r="B2341" s="3">
        <v>38865</v>
      </c>
      <c r="C2341">
        <v>122.29</v>
      </c>
      <c r="D2341">
        <v>1.2738</v>
      </c>
      <c r="E2341">
        <v>70.59</v>
      </c>
      <c r="F2341">
        <v>401.5</v>
      </c>
      <c r="K2341" s="3"/>
      <c r="O2341" s="3"/>
    </row>
    <row r="2342" spans="1:15">
      <c r="A2342" s="3">
        <v>38866</v>
      </c>
      <c r="B2342" s="3">
        <v>38866</v>
      </c>
      <c r="C2342">
        <v>121.77</v>
      </c>
      <c r="D2342">
        <v>1.2749999999999999</v>
      </c>
      <c r="E2342">
        <v>70.59</v>
      </c>
      <c r="F2342">
        <v>401.5</v>
      </c>
      <c r="K2342" s="3"/>
      <c r="O2342" s="3"/>
    </row>
    <row r="2343" spans="1:15">
      <c r="A2343" s="3">
        <v>38867</v>
      </c>
      <c r="B2343" s="3">
        <v>38867</v>
      </c>
      <c r="C2343">
        <v>121.28</v>
      </c>
      <c r="D2343">
        <v>1.2869999999999999</v>
      </c>
      <c r="E2343">
        <v>71.05</v>
      </c>
      <c r="F2343">
        <v>367.4</v>
      </c>
      <c r="K2343" s="3"/>
      <c r="O2343" s="3"/>
    </row>
    <row r="2344" spans="1:15">
      <c r="A2344" s="3">
        <v>38868</v>
      </c>
      <c r="B2344" s="3">
        <v>38868</v>
      </c>
      <c r="C2344">
        <v>121.19</v>
      </c>
      <c r="D2344">
        <v>1.2809999999999999</v>
      </c>
      <c r="E2344">
        <v>70.41</v>
      </c>
      <c r="F2344">
        <v>362.4</v>
      </c>
      <c r="K2344" s="3"/>
      <c r="O2344" s="3"/>
    </row>
    <row r="2345" spans="1:15">
      <c r="A2345" s="3">
        <v>38869</v>
      </c>
      <c r="B2345" s="3">
        <v>38869</v>
      </c>
      <c r="C2345">
        <v>121.26</v>
      </c>
      <c r="D2345">
        <v>1.2804</v>
      </c>
      <c r="E2345">
        <v>69.39</v>
      </c>
      <c r="F2345">
        <v>347.1</v>
      </c>
      <c r="K2345" s="3"/>
      <c r="O2345" s="3"/>
    </row>
    <row r="2346" spans="1:15">
      <c r="A2346" s="3">
        <v>38870</v>
      </c>
      <c r="B2346" s="3">
        <v>38870</v>
      </c>
      <c r="C2346">
        <v>120.45</v>
      </c>
      <c r="D2346">
        <v>1.2918000000000001</v>
      </c>
      <c r="E2346">
        <v>71.03</v>
      </c>
      <c r="F2346">
        <v>358.65</v>
      </c>
      <c r="K2346" s="3"/>
      <c r="O2346" s="3"/>
    </row>
    <row r="2347" spans="1:15">
      <c r="A2347" s="3">
        <v>38871</v>
      </c>
      <c r="B2347" s="3">
        <v>38871</v>
      </c>
      <c r="C2347">
        <v>120.45</v>
      </c>
      <c r="D2347">
        <v>1.2918000000000001</v>
      </c>
      <c r="E2347">
        <v>71.03</v>
      </c>
      <c r="F2347">
        <v>358.65</v>
      </c>
      <c r="K2347" s="3"/>
      <c r="O2347" s="3"/>
    </row>
    <row r="2348" spans="1:15">
      <c r="A2348" s="3">
        <v>38872</v>
      </c>
      <c r="B2348" s="3">
        <v>38872</v>
      </c>
      <c r="C2348">
        <v>120.45</v>
      </c>
      <c r="D2348">
        <v>1.2918000000000001</v>
      </c>
      <c r="E2348">
        <v>71.03</v>
      </c>
      <c r="F2348">
        <v>358.65</v>
      </c>
      <c r="K2348" s="3"/>
      <c r="O2348" s="3"/>
    </row>
    <row r="2349" spans="1:15">
      <c r="A2349" s="3">
        <v>38873</v>
      </c>
      <c r="B2349" s="3">
        <v>38873</v>
      </c>
      <c r="C2349">
        <v>119.77</v>
      </c>
      <c r="D2349">
        <v>1.2906</v>
      </c>
      <c r="E2349">
        <v>71.37</v>
      </c>
      <c r="F2349">
        <v>360.1</v>
      </c>
      <c r="K2349" s="3"/>
      <c r="O2349" s="3"/>
    </row>
    <row r="2350" spans="1:15">
      <c r="A2350" s="3">
        <v>38874</v>
      </c>
      <c r="B2350" s="3">
        <v>38874</v>
      </c>
      <c r="C2350">
        <v>119.87</v>
      </c>
      <c r="D2350">
        <v>1.2833000000000001</v>
      </c>
      <c r="E2350">
        <v>70.81</v>
      </c>
      <c r="F2350">
        <v>348.95</v>
      </c>
      <c r="K2350" s="3"/>
      <c r="O2350" s="3"/>
    </row>
    <row r="2351" spans="1:15">
      <c r="A2351" s="3">
        <v>38875</v>
      </c>
      <c r="B2351" s="3">
        <v>38875</v>
      </c>
      <c r="C2351">
        <v>119.72</v>
      </c>
      <c r="D2351">
        <v>1.2786</v>
      </c>
      <c r="E2351">
        <v>69.19</v>
      </c>
      <c r="F2351">
        <v>358.4</v>
      </c>
      <c r="K2351" s="3"/>
      <c r="O2351" s="3"/>
    </row>
    <row r="2352" spans="1:15">
      <c r="A2352" s="3">
        <v>38876</v>
      </c>
      <c r="B2352" s="3">
        <v>38876</v>
      </c>
      <c r="C2352">
        <v>119.85</v>
      </c>
      <c r="D2352">
        <v>1.2652000000000001</v>
      </c>
      <c r="E2352">
        <v>69.05</v>
      </c>
      <c r="F2352">
        <v>335.7</v>
      </c>
      <c r="K2352" s="3"/>
      <c r="O2352" s="3"/>
    </row>
    <row r="2353" spans="1:15">
      <c r="A2353" s="3">
        <v>38877</v>
      </c>
      <c r="B2353" s="3">
        <v>38877</v>
      </c>
      <c r="C2353">
        <v>120.27</v>
      </c>
      <c r="D2353">
        <v>1.2639</v>
      </c>
      <c r="E2353">
        <v>70.48</v>
      </c>
      <c r="F2353">
        <v>326.75</v>
      </c>
      <c r="K2353" s="3"/>
      <c r="O2353" s="3"/>
    </row>
    <row r="2354" spans="1:15">
      <c r="A2354" s="3">
        <v>38878</v>
      </c>
      <c r="B2354" s="3">
        <v>38878</v>
      </c>
      <c r="C2354">
        <v>120.27</v>
      </c>
      <c r="D2354">
        <v>1.2639</v>
      </c>
      <c r="E2354">
        <v>70.48</v>
      </c>
      <c r="F2354">
        <v>326.75</v>
      </c>
      <c r="K2354" s="3"/>
      <c r="O2354" s="3"/>
    </row>
    <row r="2355" spans="1:15">
      <c r="A2355" s="3">
        <v>38879</v>
      </c>
      <c r="B2355" s="3">
        <v>38879</v>
      </c>
      <c r="C2355">
        <v>120.27</v>
      </c>
      <c r="D2355">
        <v>1.2639</v>
      </c>
      <c r="E2355">
        <v>70.48</v>
      </c>
      <c r="F2355">
        <v>326.75</v>
      </c>
      <c r="K2355" s="3"/>
      <c r="O2355" s="3"/>
    </row>
    <row r="2356" spans="1:15">
      <c r="A2356" s="3">
        <v>38880</v>
      </c>
      <c r="B2356" s="3">
        <v>38880</v>
      </c>
      <c r="C2356">
        <v>119.74</v>
      </c>
      <c r="D2356">
        <v>1.2586999999999999</v>
      </c>
      <c r="E2356">
        <v>68.930000000000007</v>
      </c>
      <c r="F2356">
        <v>322.85000000000002</v>
      </c>
      <c r="K2356" s="3"/>
      <c r="O2356" s="3"/>
    </row>
    <row r="2357" spans="1:15">
      <c r="A2357" s="3">
        <v>38881</v>
      </c>
      <c r="B2357" s="3">
        <v>38881</v>
      </c>
      <c r="C2357">
        <v>119.36</v>
      </c>
      <c r="D2357">
        <v>1.2534000000000001</v>
      </c>
      <c r="E2357">
        <v>66.92</v>
      </c>
      <c r="F2357">
        <v>301.05</v>
      </c>
      <c r="K2357" s="3"/>
      <c r="O2357" s="3"/>
    </row>
    <row r="2358" spans="1:15">
      <c r="A2358" s="3">
        <v>38882</v>
      </c>
      <c r="B2358" s="3">
        <v>38882</v>
      </c>
      <c r="C2358">
        <v>119.66</v>
      </c>
      <c r="D2358">
        <v>1.2597</v>
      </c>
      <c r="E2358">
        <v>66.98</v>
      </c>
      <c r="F2358">
        <v>305.60000000000002</v>
      </c>
      <c r="K2358" s="3"/>
      <c r="O2358" s="3"/>
    </row>
    <row r="2359" spans="1:15">
      <c r="A2359" s="3">
        <v>38883</v>
      </c>
      <c r="B2359" s="3">
        <v>38883</v>
      </c>
      <c r="C2359">
        <v>120.86</v>
      </c>
      <c r="D2359">
        <v>1.2637</v>
      </c>
      <c r="E2359">
        <v>67.430000000000007</v>
      </c>
      <c r="F2359">
        <v>321.5</v>
      </c>
      <c r="K2359" s="3"/>
      <c r="O2359" s="3"/>
    </row>
    <row r="2360" spans="1:15">
      <c r="A2360" s="3">
        <v>38884</v>
      </c>
      <c r="B2360" s="3">
        <v>38884</v>
      </c>
      <c r="C2360">
        <v>119.83</v>
      </c>
      <c r="D2360">
        <v>1.2642</v>
      </c>
      <c r="E2360">
        <v>68.8</v>
      </c>
      <c r="F2360">
        <v>329.15</v>
      </c>
      <c r="K2360" s="3"/>
      <c r="O2360" s="3"/>
    </row>
    <row r="2361" spans="1:15">
      <c r="A2361" s="3">
        <v>38885</v>
      </c>
      <c r="B2361" s="3">
        <v>38885</v>
      </c>
      <c r="C2361">
        <v>119.83</v>
      </c>
      <c r="D2361">
        <v>1.2642</v>
      </c>
      <c r="E2361">
        <v>68.8</v>
      </c>
      <c r="F2361">
        <v>329.15</v>
      </c>
      <c r="K2361" s="3"/>
      <c r="O2361" s="3"/>
    </row>
    <row r="2362" spans="1:15">
      <c r="A2362" s="3">
        <v>38886</v>
      </c>
      <c r="B2362" s="3">
        <v>38886</v>
      </c>
      <c r="C2362">
        <v>119.83</v>
      </c>
      <c r="D2362">
        <v>1.2642</v>
      </c>
      <c r="E2362">
        <v>68.8</v>
      </c>
      <c r="F2362">
        <v>329.15</v>
      </c>
      <c r="K2362" s="3"/>
      <c r="O2362" s="3"/>
    </row>
    <row r="2363" spans="1:15">
      <c r="A2363" s="3">
        <v>38887</v>
      </c>
      <c r="B2363" s="3">
        <v>38887</v>
      </c>
      <c r="C2363">
        <v>119.09</v>
      </c>
      <c r="D2363">
        <v>1.2577</v>
      </c>
      <c r="E2363">
        <v>68.11</v>
      </c>
      <c r="F2363">
        <v>315.25</v>
      </c>
      <c r="K2363" s="3"/>
      <c r="O2363" s="3"/>
    </row>
    <row r="2364" spans="1:15">
      <c r="A2364" s="3">
        <v>38888</v>
      </c>
      <c r="B2364" s="3">
        <v>38888</v>
      </c>
      <c r="C2364">
        <v>118.51</v>
      </c>
      <c r="D2364">
        <v>1.2579</v>
      </c>
      <c r="E2364">
        <v>68.08</v>
      </c>
      <c r="F2364">
        <v>317.14999999999998</v>
      </c>
      <c r="K2364" s="3"/>
      <c r="O2364" s="3"/>
    </row>
    <row r="2365" spans="1:15">
      <c r="A2365" s="3">
        <v>38889</v>
      </c>
      <c r="B2365" s="3">
        <v>38889</v>
      </c>
      <c r="C2365">
        <v>118.58</v>
      </c>
      <c r="D2365">
        <v>1.266</v>
      </c>
      <c r="E2365">
        <v>69.17</v>
      </c>
      <c r="F2365">
        <v>319.05</v>
      </c>
      <c r="K2365" s="3"/>
      <c r="O2365" s="3"/>
    </row>
    <row r="2366" spans="1:15">
      <c r="A2366" s="3">
        <v>38890</v>
      </c>
      <c r="B2366" s="3">
        <v>38890</v>
      </c>
      <c r="C2366">
        <v>119.03</v>
      </c>
      <c r="D2366">
        <v>1.2578</v>
      </c>
      <c r="E2366">
        <v>69.95</v>
      </c>
      <c r="F2366">
        <v>313.55</v>
      </c>
      <c r="K2366" s="3"/>
      <c r="O2366" s="3"/>
    </row>
    <row r="2367" spans="1:15">
      <c r="A2367" s="3">
        <v>38891</v>
      </c>
      <c r="B2367" s="3">
        <v>38891</v>
      </c>
      <c r="C2367">
        <v>119.56</v>
      </c>
      <c r="D2367">
        <v>1.2505999999999999</v>
      </c>
      <c r="E2367">
        <v>69.930000000000007</v>
      </c>
      <c r="F2367">
        <v>324.05</v>
      </c>
      <c r="K2367" s="3"/>
      <c r="O2367" s="3"/>
    </row>
    <row r="2368" spans="1:15">
      <c r="A2368" s="3">
        <v>38892</v>
      </c>
      <c r="B2368" s="3">
        <v>38892</v>
      </c>
      <c r="C2368">
        <v>119.56</v>
      </c>
      <c r="D2368">
        <v>1.2505999999999999</v>
      </c>
      <c r="E2368">
        <v>69.930000000000007</v>
      </c>
      <c r="F2368">
        <v>324.05</v>
      </c>
      <c r="K2368" s="3"/>
      <c r="O2368" s="3"/>
    </row>
    <row r="2369" spans="1:15">
      <c r="A2369" s="3">
        <v>38893</v>
      </c>
      <c r="B2369" s="3">
        <v>38893</v>
      </c>
      <c r="C2369">
        <v>119.56</v>
      </c>
      <c r="D2369">
        <v>1.2505999999999999</v>
      </c>
      <c r="E2369">
        <v>69.930000000000007</v>
      </c>
      <c r="F2369">
        <v>324.05</v>
      </c>
      <c r="K2369" s="3"/>
      <c r="O2369" s="3"/>
    </row>
    <row r="2370" spans="1:15">
      <c r="A2370" s="3">
        <v>38894</v>
      </c>
      <c r="B2370" s="3">
        <v>38894</v>
      </c>
      <c r="C2370">
        <v>119.85</v>
      </c>
      <c r="D2370">
        <v>1.258</v>
      </c>
      <c r="E2370">
        <v>70.73</v>
      </c>
      <c r="F2370">
        <v>332.4</v>
      </c>
      <c r="K2370" s="3"/>
      <c r="O2370" s="3"/>
    </row>
    <row r="2371" spans="1:15">
      <c r="A2371" s="3">
        <v>38895</v>
      </c>
      <c r="B2371" s="3">
        <v>38895</v>
      </c>
      <c r="C2371">
        <v>119.58</v>
      </c>
      <c r="D2371">
        <v>1.2577</v>
      </c>
      <c r="E2371">
        <v>70.98</v>
      </c>
      <c r="F2371">
        <v>318.7</v>
      </c>
      <c r="K2371" s="3"/>
      <c r="O2371" s="3"/>
    </row>
    <row r="2372" spans="1:15">
      <c r="A2372" s="3">
        <v>38896</v>
      </c>
      <c r="B2372" s="3">
        <v>38896</v>
      </c>
      <c r="C2372">
        <v>118.77</v>
      </c>
      <c r="D2372">
        <v>1.2556</v>
      </c>
      <c r="E2372">
        <v>71.41</v>
      </c>
      <c r="F2372">
        <v>329.3</v>
      </c>
      <c r="K2372" s="3"/>
      <c r="O2372" s="3"/>
    </row>
    <row r="2373" spans="1:15">
      <c r="A2373" s="3">
        <v>38897</v>
      </c>
      <c r="B2373" s="3">
        <v>38897</v>
      </c>
      <c r="C2373">
        <v>118.84</v>
      </c>
      <c r="D2373">
        <v>1.2665</v>
      </c>
      <c r="E2373">
        <v>72.88</v>
      </c>
      <c r="F2373">
        <v>342.3</v>
      </c>
      <c r="K2373" s="3"/>
      <c r="O2373" s="3"/>
    </row>
    <row r="2374" spans="1:15">
      <c r="A2374" s="3">
        <v>38898</v>
      </c>
      <c r="B2374" s="3">
        <v>38898</v>
      </c>
      <c r="C2374">
        <v>118.42</v>
      </c>
      <c r="D2374">
        <v>1.2790999999999999</v>
      </c>
      <c r="E2374">
        <v>73.510000000000005</v>
      </c>
      <c r="F2374">
        <v>346.25</v>
      </c>
      <c r="K2374" s="3"/>
      <c r="O2374" s="3"/>
    </row>
    <row r="2375" spans="1:15">
      <c r="A2375" s="3">
        <v>38899</v>
      </c>
      <c r="B2375" s="3">
        <v>38899</v>
      </c>
      <c r="C2375">
        <v>118.42</v>
      </c>
      <c r="D2375">
        <v>1.2790999999999999</v>
      </c>
      <c r="E2375">
        <v>73.510000000000005</v>
      </c>
      <c r="F2375">
        <v>346.25</v>
      </c>
      <c r="K2375" s="3"/>
      <c r="O2375" s="3"/>
    </row>
    <row r="2376" spans="1:15">
      <c r="A2376" s="3">
        <v>38900</v>
      </c>
      <c r="B2376" s="3">
        <v>38900</v>
      </c>
      <c r="C2376">
        <v>118.42</v>
      </c>
      <c r="D2376">
        <v>1.2790999999999999</v>
      </c>
      <c r="E2376">
        <v>73.510000000000005</v>
      </c>
      <c r="F2376">
        <v>346.25</v>
      </c>
      <c r="K2376" s="3"/>
      <c r="O2376" s="3"/>
    </row>
    <row r="2377" spans="1:15">
      <c r="A2377" s="3">
        <v>38901</v>
      </c>
      <c r="B2377" s="3">
        <v>38901</v>
      </c>
      <c r="C2377">
        <v>118.37</v>
      </c>
      <c r="D2377">
        <v>1.2803</v>
      </c>
      <c r="E2377">
        <v>73.39</v>
      </c>
      <c r="F2377">
        <v>346.25</v>
      </c>
      <c r="K2377" s="3"/>
      <c r="O2377" s="3"/>
    </row>
    <row r="2378" spans="1:15">
      <c r="A2378" s="3">
        <v>38902</v>
      </c>
      <c r="B2378" s="3">
        <v>38902</v>
      </c>
      <c r="C2378">
        <v>118.15</v>
      </c>
      <c r="D2378">
        <v>1.28</v>
      </c>
      <c r="E2378">
        <v>72.510000000000005</v>
      </c>
      <c r="F2378">
        <v>346.25</v>
      </c>
      <c r="K2378" s="3"/>
      <c r="O2378" s="3"/>
    </row>
    <row r="2379" spans="1:15">
      <c r="A2379" s="3">
        <v>38903</v>
      </c>
      <c r="B2379" s="3">
        <v>38903</v>
      </c>
      <c r="C2379">
        <v>118.35</v>
      </c>
      <c r="D2379">
        <v>1.2724</v>
      </c>
      <c r="E2379">
        <v>73.98</v>
      </c>
      <c r="F2379">
        <v>349.45</v>
      </c>
      <c r="K2379" s="3"/>
      <c r="O2379" s="3"/>
    </row>
    <row r="2380" spans="1:15">
      <c r="A2380" s="3">
        <v>38904</v>
      </c>
      <c r="B2380" s="3">
        <v>38904</v>
      </c>
      <c r="C2380">
        <v>118.55</v>
      </c>
      <c r="D2380">
        <v>1.2781</v>
      </c>
      <c r="E2380">
        <v>74.08</v>
      </c>
      <c r="F2380">
        <v>371.45</v>
      </c>
      <c r="K2380" s="3"/>
      <c r="O2380" s="3"/>
    </row>
    <row r="2381" spans="1:15">
      <c r="A2381" s="3">
        <v>38905</v>
      </c>
      <c r="B2381" s="3">
        <v>38905</v>
      </c>
      <c r="C2381">
        <v>118.5</v>
      </c>
      <c r="D2381">
        <v>1.2809999999999999</v>
      </c>
      <c r="E2381">
        <v>73.510000000000005</v>
      </c>
      <c r="F2381">
        <v>364.25</v>
      </c>
      <c r="K2381" s="3"/>
      <c r="O2381" s="3"/>
    </row>
    <row r="2382" spans="1:15">
      <c r="A2382" s="3">
        <v>38906</v>
      </c>
      <c r="B2382" s="3">
        <v>38906</v>
      </c>
      <c r="C2382">
        <v>118.5</v>
      </c>
      <c r="D2382">
        <v>1.2809999999999999</v>
      </c>
      <c r="E2382">
        <v>73.510000000000005</v>
      </c>
      <c r="F2382">
        <v>364.25</v>
      </c>
      <c r="K2382" s="3"/>
      <c r="O2382" s="3"/>
    </row>
    <row r="2383" spans="1:15">
      <c r="A2383" s="3">
        <v>38907</v>
      </c>
      <c r="B2383" s="3">
        <v>38907</v>
      </c>
      <c r="C2383">
        <v>118.5</v>
      </c>
      <c r="D2383">
        <v>1.2809999999999999</v>
      </c>
      <c r="E2383">
        <v>73.510000000000005</v>
      </c>
      <c r="F2383">
        <v>364.25</v>
      </c>
      <c r="K2383" s="3"/>
      <c r="O2383" s="3"/>
    </row>
    <row r="2384" spans="1:15">
      <c r="A2384" s="3">
        <v>38908</v>
      </c>
      <c r="B2384" s="3">
        <v>38908</v>
      </c>
      <c r="C2384">
        <v>118.25</v>
      </c>
      <c r="D2384">
        <v>1.2728999999999999</v>
      </c>
      <c r="E2384">
        <v>72.89</v>
      </c>
      <c r="F2384">
        <v>367.7</v>
      </c>
      <c r="K2384" s="3"/>
      <c r="O2384" s="3"/>
    </row>
    <row r="2385" spans="1:15">
      <c r="A2385" s="3">
        <v>38909</v>
      </c>
      <c r="B2385" s="3">
        <v>38909</v>
      </c>
      <c r="C2385">
        <v>118.18</v>
      </c>
      <c r="D2385">
        <v>1.2774000000000001</v>
      </c>
      <c r="E2385">
        <v>73.67</v>
      </c>
      <c r="F2385">
        <v>372.25</v>
      </c>
      <c r="K2385" s="3"/>
      <c r="O2385" s="3"/>
    </row>
    <row r="2386" spans="1:15">
      <c r="A2386" s="3">
        <v>38910</v>
      </c>
      <c r="B2386" s="3">
        <v>38910</v>
      </c>
      <c r="C2386">
        <v>118.33</v>
      </c>
      <c r="D2386">
        <v>1.2704</v>
      </c>
      <c r="E2386">
        <v>74.39</v>
      </c>
      <c r="F2386">
        <v>377.5</v>
      </c>
      <c r="K2386" s="3"/>
      <c r="O2386" s="3"/>
    </row>
    <row r="2387" spans="1:15">
      <c r="A2387" s="3">
        <v>38911</v>
      </c>
      <c r="B2387" s="3">
        <v>38911</v>
      </c>
      <c r="C2387">
        <v>118.45</v>
      </c>
      <c r="D2387">
        <v>1.2688999999999999</v>
      </c>
      <c r="E2387">
        <v>76.69</v>
      </c>
      <c r="F2387">
        <v>379.15</v>
      </c>
      <c r="K2387" s="3"/>
      <c r="O2387" s="3"/>
    </row>
    <row r="2388" spans="1:15">
      <c r="A2388" s="3">
        <v>38912</v>
      </c>
      <c r="B2388" s="3">
        <v>38912</v>
      </c>
      <c r="C2388">
        <v>118.36</v>
      </c>
      <c r="D2388">
        <v>1.2652000000000001</v>
      </c>
      <c r="E2388">
        <v>77.27</v>
      </c>
      <c r="F2388">
        <v>382.95</v>
      </c>
      <c r="K2388" s="3"/>
      <c r="O2388" s="3"/>
    </row>
    <row r="2389" spans="1:15">
      <c r="A2389" s="3">
        <v>38913</v>
      </c>
      <c r="B2389" s="3">
        <v>38913</v>
      </c>
      <c r="C2389">
        <v>118.36</v>
      </c>
      <c r="D2389">
        <v>1.2652000000000001</v>
      </c>
      <c r="E2389">
        <v>77.27</v>
      </c>
      <c r="F2389">
        <v>382.95</v>
      </c>
      <c r="K2389" s="3"/>
      <c r="O2389" s="3"/>
    </row>
    <row r="2390" spans="1:15">
      <c r="A2390" s="3">
        <v>38914</v>
      </c>
      <c r="B2390" s="3">
        <v>38914</v>
      </c>
      <c r="C2390">
        <v>118.36</v>
      </c>
      <c r="D2390">
        <v>1.2652000000000001</v>
      </c>
      <c r="E2390">
        <v>77.27</v>
      </c>
      <c r="F2390">
        <v>382.95</v>
      </c>
      <c r="K2390" s="3"/>
      <c r="O2390" s="3"/>
    </row>
    <row r="2391" spans="1:15">
      <c r="A2391" s="3">
        <v>38915</v>
      </c>
      <c r="B2391" s="3">
        <v>38915</v>
      </c>
      <c r="C2391">
        <v>117.8</v>
      </c>
      <c r="D2391">
        <v>1.2518</v>
      </c>
      <c r="E2391">
        <v>75.92</v>
      </c>
      <c r="F2391">
        <v>371.45</v>
      </c>
      <c r="K2391" s="3"/>
      <c r="O2391" s="3"/>
    </row>
    <row r="2392" spans="1:15">
      <c r="A2392" s="3">
        <v>38916</v>
      </c>
      <c r="B2392" s="3">
        <v>38916</v>
      </c>
      <c r="C2392">
        <v>117.89</v>
      </c>
      <c r="D2392">
        <v>1.2504999999999999</v>
      </c>
      <c r="E2392">
        <v>74.36</v>
      </c>
      <c r="F2392">
        <v>368.05</v>
      </c>
      <c r="K2392" s="3"/>
      <c r="O2392" s="3"/>
    </row>
    <row r="2393" spans="1:15">
      <c r="A2393" s="3">
        <v>38917</v>
      </c>
      <c r="B2393" s="3">
        <v>38917</v>
      </c>
      <c r="C2393">
        <v>117.2</v>
      </c>
      <c r="D2393">
        <v>1.2585999999999999</v>
      </c>
      <c r="E2393">
        <v>73.900000000000006</v>
      </c>
      <c r="F2393">
        <v>367.85</v>
      </c>
      <c r="K2393" s="3"/>
      <c r="O2393" s="3"/>
    </row>
    <row r="2394" spans="1:15">
      <c r="A2394" s="3">
        <v>38918</v>
      </c>
      <c r="B2394" s="3">
        <v>38918</v>
      </c>
      <c r="C2394">
        <v>116.85</v>
      </c>
      <c r="D2394">
        <v>1.2627999999999999</v>
      </c>
      <c r="E2394">
        <v>73.72</v>
      </c>
      <c r="F2394">
        <v>348.5</v>
      </c>
      <c r="K2394" s="3"/>
      <c r="O2394" s="3"/>
    </row>
    <row r="2395" spans="1:15">
      <c r="A2395" s="3">
        <v>38919</v>
      </c>
      <c r="B2395" s="3">
        <v>38919</v>
      </c>
      <c r="C2395">
        <v>117.62</v>
      </c>
      <c r="D2395">
        <v>1.2695000000000001</v>
      </c>
      <c r="E2395">
        <v>73.75</v>
      </c>
      <c r="F2395">
        <v>341.65</v>
      </c>
      <c r="K2395" s="3"/>
      <c r="O2395" s="3"/>
    </row>
    <row r="2396" spans="1:15">
      <c r="A2396" s="3">
        <v>38920</v>
      </c>
      <c r="B2396" s="3">
        <v>38920</v>
      </c>
      <c r="C2396">
        <v>117.62</v>
      </c>
      <c r="D2396">
        <v>1.2695000000000001</v>
      </c>
      <c r="E2396">
        <v>73.75</v>
      </c>
      <c r="F2396">
        <v>341.65</v>
      </c>
      <c r="K2396" s="3"/>
      <c r="O2396" s="3"/>
    </row>
    <row r="2397" spans="1:15">
      <c r="A2397" s="3">
        <v>38921</v>
      </c>
      <c r="B2397" s="3">
        <v>38921</v>
      </c>
      <c r="C2397">
        <v>117.62</v>
      </c>
      <c r="D2397">
        <v>1.2695000000000001</v>
      </c>
      <c r="E2397">
        <v>73.75</v>
      </c>
      <c r="F2397">
        <v>341.65</v>
      </c>
      <c r="K2397" s="3"/>
      <c r="O2397" s="3"/>
    </row>
    <row r="2398" spans="1:15">
      <c r="A2398" s="3">
        <v>38922</v>
      </c>
      <c r="B2398" s="3">
        <v>38922</v>
      </c>
      <c r="C2398">
        <v>117.69</v>
      </c>
      <c r="D2398">
        <v>1.2635000000000001</v>
      </c>
      <c r="E2398">
        <v>74.61</v>
      </c>
      <c r="F2398">
        <v>348.35</v>
      </c>
      <c r="K2398" s="3"/>
      <c r="O2398" s="3"/>
    </row>
    <row r="2399" spans="1:15">
      <c r="A2399" s="3">
        <v>38923</v>
      </c>
      <c r="B2399" s="3">
        <v>38923</v>
      </c>
      <c r="C2399">
        <v>118.15</v>
      </c>
      <c r="D2399">
        <v>1.2577</v>
      </c>
      <c r="E2399">
        <v>73.28</v>
      </c>
      <c r="F2399">
        <v>353.85</v>
      </c>
      <c r="K2399" s="3"/>
      <c r="O2399" s="3"/>
    </row>
    <row r="2400" spans="1:15">
      <c r="A2400" s="3">
        <v>38924</v>
      </c>
      <c r="B2400" s="3">
        <v>38924</v>
      </c>
      <c r="C2400">
        <v>118.16</v>
      </c>
      <c r="D2400">
        <v>1.2718</v>
      </c>
      <c r="E2400">
        <v>74</v>
      </c>
      <c r="F2400">
        <v>348.45</v>
      </c>
      <c r="K2400" s="3"/>
      <c r="O2400" s="3"/>
    </row>
    <row r="2401" spans="1:15">
      <c r="A2401" s="3">
        <v>38925</v>
      </c>
      <c r="B2401" s="3">
        <v>38925</v>
      </c>
      <c r="C2401">
        <v>118.29</v>
      </c>
      <c r="D2401">
        <v>1.2698</v>
      </c>
      <c r="E2401">
        <v>75.010000000000005</v>
      </c>
      <c r="F2401">
        <v>351.85</v>
      </c>
      <c r="K2401" s="3"/>
      <c r="O2401" s="3"/>
    </row>
    <row r="2402" spans="1:15">
      <c r="A2402" s="3">
        <v>38926</v>
      </c>
      <c r="B2402" s="3">
        <v>38926</v>
      </c>
      <c r="C2402">
        <v>118.4</v>
      </c>
      <c r="D2402">
        <v>1.2759</v>
      </c>
      <c r="E2402">
        <v>73.39</v>
      </c>
      <c r="F2402">
        <v>354.9</v>
      </c>
      <c r="K2402" s="3"/>
      <c r="O2402" s="3"/>
    </row>
    <row r="2403" spans="1:15">
      <c r="A2403" s="3">
        <v>38927</v>
      </c>
      <c r="B2403" s="3">
        <v>38927</v>
      </c>
      <c r="C2403">
        <v>118.4</v>
      </c>
      <c r="D2403">
        <v>1.2759</v>
      </c>
      <c r="E2403">
        <v>73.39</v>
      </c>
      <c r="F2403">
        <v>354.9</v>
      </c>
      <c r="K2403" s="3"/>
      <c r="O2403" s="3"/>
    </row>
    <row r="2404" spans="1:15">
      <c r="A2404" s="3">
        <v>38928</v>
      </c>
      <c r="B2404" s="3">
        <v>38928</v>
      </c>
      <c r="C2404">
        <v>118.4</v>
      </c>
      <c r="D2404">
        <v>1.2759</v>
      </c>
      <c r="E2404">
        <v>73.39</v>
      </c>
      <c r="F2404">
        <v>354.9</v>
      </c>
      <c r="K2404" s="3"/>
      <c r="O2404" s="3"/>
    </row>
    <row r="2405" spans="1:15">
      <c r="A2405" s="3">
        <v>38929</v>
      </c>
      <c r="B2405" s="3">
        <v>38929</v>
      </c>
      <c r="C2405">
        <v>118.34</v>
      </c>
      <c r="D2405">
        <v>1.2766999999999999</v>
      </c>
      <c r="E2405">
        <v>75.150000000000006</v>
      </c>
      <c r="F2405">
        <v>357</v>
      </c>
      <c r="K2405" s="3"/>
      <c r="O2405" s="3"/>
    </row>
    <row r="2406" spans="1:15">
      <c r="A2406" s="3">
        <v>38930</v>
      </c>
      <c r="B2406" s="3">
        <v>38930</v>
      </c>
      <c r="C2406">
        <v>119.04</v>
      </c>
      <c r="D2406">
        <v>1.2826</v>
      </c>
      <c r="E2406">
        <v>75.89</v>
      </c>
      <c r="F2406">
        <v>359.3</v>
      </c>
      <c r="K2406" s="3"/>
      <c r="O2406" s="3"/>
    </row>
    <row r="2407" spans="1:15">
      <c r="A2407" s="3">
        <v>38931</v>
      </c>
      <c r="B2407" s="3">
        <v>38931</v>
      </c>
      <c r="C2407">
        <v>118.97</v>
      </c>
      <c r="D2407">
        <v>1.2786999999999999</v>
      </c>
      <c r="E2407">
        <v>76.89</v>
      </c>
      <c r="F2407">
        <v>359.1</v>
      </c>
      <c r="K2407" s="3"/>
      <c r="O2407" s="3"/>
    </row>
    <row r="2408" spans="1:15">
      <c r="A2408" s="3">
        <v>38932</v>
      </c>
      <c r="B2408" s="3">
        <v>38932</v>
      </c>
      <c r="C2408">
        <v>119.89</v>
      </c>
      <c r="D2408">
        <v>1.2803</v>
      </c>
      <c r="E2408">
        <v>76.56</v>
      </c>
      <c r="F2408">
        <v>348.95</v>
      </c>
      <c r="K2408" s="3"/>
      <c r="O2408" s="3"/>
    </row>
    <row r="2409" spans="1:15">
      <c r="A2409" s="3">
        <v>38933</v>
      </c>
      <c r="B2409" s="3">
        <v>38933</v>
      </c>
      <c r="C2409">
        <v>120.77</v>
      </c>
      <c r="D2409">
        <v>1.2874000000000001</v>
      </c>
      <c r="E2409">
        <v>76.17</v>
      </c>
      <c r="F2409">
        <v>363.25</v>
      </c>
      <c r="K2409" s="3"/>
      <c r="O2409" s="3"/>
    </row>
    <row r="2410" spans="1:15">
      <c r="A2410" s="3">
        <v>38934</v>
      </c>
      <c r="B2410" s="3">
        <v>38934</v>
      </c>
      <c r="C2410">
        <v>120.77</v>
      </c>
      <c r="D2410">
        <v>1.2874000000000001</v>
      </c>
      <c r="E2410">
        <v>76.17</v>
      </c>
      <c r="F2410">
        <v>363.25</v>
      </c>
      <c r="K2410" s="3"/>
      <c r="O2410" s="3"/>
    </row>
    <row r="2411" spans="1:15">
      <c r="A2411" s="3">
        <v>38935</v>
      </c>
      <c r="B2411" s="3">
        <v>38935</v>
      </c>
      <c r="C2411">
        <v>120.77</v>
      </c>
      <c r="D2411">
        <v>1.2874000000000001</v>
      </c>
      <c r="E2411">
        <v>76.17</v>
      </c>
      <c r="F2411">
        <v>363.25</v>
      </c>
      <c r="K2411" s="3"/>
      <c r="O2411" s="3"/>
    </row>
    <row r="2412" spans="1:15">
      <c r="A2412" s="3">
        <v>38936</v>
      </c>
      <c r="B2412" s="3">
        <v>38936</v>
      </c>
      <c r="C2412">
        <v>121.37</v>
      </c>
      <c r="D2412">
        <v>1.2843</v>
      </c>
      <c r="E2412">
        <v>78.3</v>
      </c>
      <c r="F2412">
        <v>361.05</v>
      </c>
      <c r="K2412" s="3"/>
      <c r="O2412" s="3"/>
    </row>
    <row r="2413" spans="1:15">
      <c r="A2413" s="3">
        <v>38937</v>
      </c>
      <c r="B2413" s="3">
        <v>38937</v>
      </c>
      <c r="C2413">
        <v>122.42</v>
      </c>
      <c r="D2413">
        <v>1.2833000000000001</v>
      </c>
      <c r="E2413">
        <v>77.55</v>
      </c>
      <c r="F2413">
        <v>360.2</v>
      </c>
      <c r="K2413" s="3"/>
      <c r="O2413" s="3"/>
    </row>
    <row r="2414" spans="1:15">
      <c r="A2414" s="3">
        <v>38938</v>
      </c>
      <c r="B2414" s="3">
        <v>38938</v>
      </c>
      <c r="C2414">
        <v>122.39</v>
      </c>
      <c r="D2414">
        <v>1.2861</v>
      </c>
      <c r="E2414">
        <v>77.28</v>
      </c>
      <c r="F2414">
        <v>371</v>
      </c>
      <c r="K2414" s="3"/>
      <c r="O2414" s="3"/>
    </row>
    <row r="2415" spans="1:15">
      <c r="A2415" s="3">
        <v>38939</v>
      </c>
      <c r="B2415" s="3">
        <v>38939</v>
      </c>
      <c r="C2415">
        <v>122.4</v>
      </c>
      <c r="D2415">
        <v>1.2794000000000001</v>
      </c>
      <c r="E2415">
        <v>75.28</v>
      </c>
      <c r="F2415">
        <v>362.45</v>
      </c>
      <c r="K2415" s="3"/>
      <c r="O2415" s="3"/>
    </row>
    <row r="2416" spans="1:15">
      <c r="A2416" s="3">
        <v>38940</v>
      </c>
      <c r="B2416" s="3">
        <v>38940</v>
      </c>
      <c r="C2416">
        <v>122.36</v>
      </c>
      <c r="D2416">
        <v>1.2721</v>
      </c>
      <c r="E2416">
        <v>75.63</v>
      </c>
      <c r="F2416">
        <v>347.65</v>
      </c>
      <c r="K2416" s="3"/>
      <c r="O2416" s="3"/>
    </row>
    <row r="2417" spans="1:15">
      <c r="A2417" s="3">
        <v>38941</v>
      </c>
      <c r="B2417" s="3">
        <v>38941</v>
      </c>
      <c r="C2417">
        <v>122.36</v>
      </c>
      <c r="D2417">
        <v>1.2721</v>
      </c>
      <c r="E2417">
        <v>75.63</v>
      </c>
      <c r="F2417">
        <v>347.65</v>
      </c>
      <c r="K2417" s="3"/>
      <c r="O2417" s="3"/>
    </row>
    <row r="2418" spans="1:15">
      <c r="A2418" s="3">
        <v>38942</v>
      </c>
      <c r="B2418" s="3">
        <v>38942</v>
      </c>
      <c r="C2418">
        <v>122.36</v>
      </c>
      <c r="D2418">
        <v>1.2721</v>
      </c>
      <c r="E2418">
        <v>75.63</v>
      </c>
      <c r="F2418">
        <v>347.65</v>
      </c>
      <c r="K2418" s="3"/>
      <c r="O2418" s="3"/>
    </row>
    <row r="2419" spans="1:15">
      <c r="A2419" s="3">
        <v>38943</v>
      </c>
      <c r="B2419" s="3">
        <v>38943</v>
      </c>
      <c r="C2419">
        <v>122.57</v>
      </c>
      <c r="D2419">
        <v>1.2714000000000001</v>
      </c>
      <c r="E2419">
        <v>74.3</v>
      </c>
      <c r="F2419">
        <v>353.7</v>
      </c>
      <c r="K2419" s="3"/>
      <c r="O2419" s="3"/>
    </row>
    <row r="2420" spans="1:15">
      <c r="A2420" s="3">
        <v>38944</v>
      </c>
      <c r="B2420" s="3">
        <v>38944</v>
      </c>
      <c r="C2420">
        <v>122.78</v>
      </c>
      <c r="D2420">
        <v>1.2784</v>
      </c>
      <c r="E2420">
        <v>73.8</v>
      </c>
      <c r="F2420">
        <v>352.75</v>
      </c>
      <c r="K2420" s="3"/>
      <c r="O2420" s="3"/>
    </row>
    <row r="2421" spans="1:15">
      <c r="A2421" s="3">
        <v>38945</v>
      </c>
      <c r="B2421" s="3">
        <v>38945</v>
      </c>
      <c r="C2421">
        <v>123.31</v>
      </c>
      <c r="D2421">
        <v>1.2839</v>
      </c>
      <c r="E2421">
        <v>73.08</v>
      </c>
      <c r="F2421">
        <v>347</v>
      </c>
      <c r="K2421" s="3"/>
      <c r="O2421" s="3"/>
    </row>
    <row r="2422" spans="1:15">
      <c r="A2422" s="3">
        <v>38946</v>
      </c>
      <c r="B2422" s="3">
        <v>38946</v>
      </c>
      <c r="C2422">
        <v>123.75</v>
      </c>
      <c r="D2422">
        <v>1.2827999999999999</v>
      </c>
      <c r="E2422">
        <v>71.58</v>
      </c>
      <c r="F2422">
        <v>335.75</v>
      </c>
      <c r="K2422" s="3"/>
      <c r="O2422" s="3"/>
    </row>
    <row r="2423" spans="1:15">
      <c r="A2423" s="3">
        <v>38947</v>
      </c>
      <c r="B2423" s="3">
        <v>38947</v>
      </c>
      <c r="C2423">
        <v>123.99</v>
      </c>
      <c r="D2423">
        <v>1.2824</v>
      </c>
      <c r="E2423">
        <v>72.3</v>
      </c>
      <c r="F2423">
        <v>343.45</v>
      </c>
      <c r="K2423" s="3"/>
      <c r="O2423" s="3"/>
    </row>
    <row r="2424" spans="1:15">
      <c r="A2424" s="3">
        <v>38948</v>
      </c>
      <c r="B2424" s="3">
        <v>38948</v>
      </c>
      <c r="C2424">
        <v>123.99</v>
      </c>
      <c r="D2424">
        <v>1.2824</v>
      </c>
      <c r="E2424">
        <v>72.3</v>
      </c>
      <c r="F2424">
        <v>343.45</v>
      </c>
      <c r="K2424" s="3"/>
      <c r="O2424" s="3"/>
    </row>
    <row r="2425" spans="1:15">
      <c r="A2425" s="3">
        <v>38949</v>
      </c>
      <c r="B2425" s="3">
        <v>38949</v>
      </c>
      <c r="C2425">
        <v>123.99</v>
      </c>
      <c r="D2425">
        <v>1.2824</v>
      </c>
      <c r="E2425">
        <v>72.3</v>
      </c>
      <c r="F2425">
        <v>343.45</v>
      </c>
      <c r="K2425" s="3"/>
      <c r="O2425" s="3"/>
    </row>
    <row r="2426" spans="1:15">
      <c r="A2426" s="3">
        <v>38950</v>
      </c>
      <c r="B2426" s="3">
        <v>38950</v>
      </c>
      <c r="C2426">
        <v>124.36</v>
      </c>
      <c r="D2426">
        <v>1.2891999999999999</v>
      </c>
      <c r="E2426">
        <v>73.38</v>
      </c>
      <c r="F2426">
        <v>351.95</v>
      </c>
      <c r="K2426" s="3"/>
      <c r="O2426" s="3"/>
    </row>
    <row r="2427" spans="1:15">
      <c r="A2427" s="3">
        <v>38951</v>
      </c>
      <c r="B2427" s="3">
        <v>38951</v>
      </c>
      <c r="C2427">
        <v>124.75</v>
      </c>
      <c r="D2427">
        <v>1.2803</v>
      </c>
      <c r="E2427">
        <v>73.239999999999995</v>
      </c>
      <c r="F2427">
        <v>349.3</v>
      </c>
      <c r="K2427" s="3"/>
      <c r="O2427" s="3"/>
    </row>
    <row r="2428" spans="1:15">
      <c r="A2428" s="3">
        <v>38952</v>
      </c>
      <c r="B2428" s="3">
        <v>38952</v>
      </c>
      <c r="C2428">
        <v>124.69</v>
      </c>
      <c r="D2428">
        <v>1.2786999999999999</v>
      </c>
      <c r="E2428">
        <v>72.02</v>
      </c>
      <c r="F2428">
        <v>346.5</v>
      </c>
      <c r="K2428" s="3"/>
      <c r="O2428" s="3"/>
    </row>
    <row r="2429" spans="1:15">
      <c r="A2429" s="3">
        <v>38953</v>
      </c>
      <c r="B2429" s="3">
        <v>38953</v>
      </c>
      <c r="C2429">
        <v>125.02</v>
      </c>
      <c r="D2429">
        <v>1.2765</v>
      </c>
      <c r="E2429">
        <v>72.680000000000007</v>
      </c>
      <c r="F2429">
        <v>342.85</v>
      </c>
      <c r="K2429" s="3"/>
      <c r="O2429" s="3"/>
    </row>
    <row r="2430" spans="1:15">
      <c r="A2430" s="3">
        <v>38954</v>
      </c>
      <c r="B2430" s="3">
        <v>38954</v>
      </c>
      <c r="C2430">
        <v>125.16</v>
      </c>
      <c r="D2430">
        <v>1.2751999999999999</v>
      </c>
      <c r="E2430">
        <v>72.7</v>
      </c>
      <c r="F2430">
        <v>344.25</v>
      </c>
      <c r="K2430" s="3"/>
      <c r="O2430" s="3"/>
    </row>
    <row r="2431" spans="1:15">
      <c r="A2431" s="3">
        <v>38955</v>
      </c>
      <c r="B2431" s="3">
        <v>38955</v>
      </c>
      <c r="C2431">
        <v>125.16</v>
      </c>
      <c r="D2431">
        <v>1.2751999999999999</v>
      </c>
      <c r="E2431">
        <v>72.7</v>
      </c>
      <c r="F2431">
        <v>344.25</v>
      </c>
      <c r="K2431" s="3"/>
      <c r="O2431" s="3"/>
    </row>
    <row r="2432" spans="1:15">
      <c r="A2432" s="3">
        <v>38956</v>
      </c>
      <c r="B2432" s="3">
        <v>38956</v>
      </c>
      <c r="C2432">
        <v>125.16</v>
      </c>
      <c r="D2432">
        <v>1.2751999999999999</v>
      </c>
      <c r="E2432">
        <v>72.7</v>
      </c>
      <c r="F2432">
        <v>344.25</v>
      </c>
      <c r="K2432" s="3"/>
      <c r="O2432" s="3"/>
    </row>
    <row r="2433" spans="1:15">
      <c r="A2433" s="3">
        <v>38957</v>
      </c>
      <c r="B2433" s="3">
        <v>38957</v>
      </c>
      <c r="C2433">
        <v>125.18</v>
      </c>
      <c r="D2433">
        <v>1.278</v>
      </c>
      <c r="E2433">
        <v>70.819999999999993</v>
      </c>
      <c r="F2433">
        <v>345.45</v>
      </c>
      <c r="K2433" s="3"/>
      <c r="O2433" s="3"/>
    </row>
    <row r="2434" spans="1:15">
      <c r="A2434" s="3">
        <v>38958</v>
      </c>
      <c r="B2434" s="3">
        <v>38958</v>
      </c>
      <c r="C2434">
        <v>125.22</v>
      </c>
      <c r="D2434">
        <v>1.2824</v>
      </c>
      <c r="E2434">
        <v>69.86</v>
      </c>
      <c r="F2434">
        <v>339.05</v>
      </c>
      <c r="K2434" s="3"/>
      <c r="O2434" s="3"/>
    </row>
    <row r="2435" spans="1:15">
      <c r="A2435" s="3">
        <v>38959</v>
      </c>
      <c r="B2435" s="3">
        <v>38959</v>
      </c>
      <c r="C2435">
        <v>125.22</v>
      </c>
      <c r="D2435">
        <v>1.2833000000000001</v>
      </c>
      <c r="E2435">
        <v>70.180000000000007</v>
      </c>
      <c r="F2435">
        <v>336.5</v>
      </c>
      <c r="K2435" s="3"/>
      <c r="O2435" s="3"/>
    </row>
    <row r="2436" spans="1:15">
      <c r="A2436" s="3">
        <v>38960</v>
      </c>
      <c r="B2436" s="3">
        <v>38960</v>
      </c>
      <c r="C2436">
        <v>125.41</v>
      </c>
      <c r="D2436">
        <v>1.2813000000000001</v>
      </c>
      <c r="E2436">
        <v>70.25</v>
      </c>
      <c r="F2436">
        <v>346.9</v>
      </c>
      <c r="K2436" s="3"/>
      <c r="O2436" s="3"/>
    </row>
    <row r="2437" spans="1:15">
      <c r="A2437" s="3">
        <v>38961</v>
      </c>
      <c r="B2437" s="3">
        <v>38961</v>
      </c>
      <c r="C2437">
        <v>125.42</v>
      </c>
      <c r="D2437">
        <v>1.2834000000000001</v>
      </c>
      <c r="E2437">
        <v>69.150000000000006</v>
      </c>
      <c r="F2437">
        <v>347.5</v>
      </c>
      <c r="K2437" s="3"/>
      <c r="O2437" s="3"/>
    </row>
    <row r="2438" spans="1:15">
      <c r="A2438" s="3">
        <v>38962</v>
      </c>
      <c r="B2438" s="3">
        <v>38962</v>
      </c>
      <c r="C2438">
        <v>125.42</v>
      </c>
      <c r="D2438">
        <v>1.2834000000000001</v>
      </c>
      <c r="E2438">
        <v>69.150000000000006</v>
      </c>
      <c r="F2438">
        <v>347.5</v>
      </c>
      <c r="K2438" s="3"/>
      <c r="O2438" s="3"/>
    </row>
    <row r="2439" spans="1:15">
      <c r="A2439" s="3">
        <v>38963</v>
      </c>
      <c r="B2439" s="3">
        <v>38963</v>
      </c>
      <c r="C2439">
        <v>125.42</v>
      </c>
      <c r="D2439">
        <v>1.2834000000000001</v>
      </c>
      <c r="E2439">
        <v>69.150000000000006</v>
      </c>
      <c r="F2439">
        <v>347.5</v>
      </c>
      <c r="K2439" s="3"/>
      <c r="O2439" s="3"/>
    </row>
    <row r="2440" spans="1:15">
      <c r="A2440" s="3">
        <v>38964</v>
      </c>
      <c r="B2440" s="3">
        <v>38964</v>
      </c>
      <c r="C2440">
        <v>125.62</v>
      </c>
      <c r="D2440">
        <v>1.2873000000000001</v>
      </c>
      <c r="E2440">
        <v>67.709999999999994</v>
      </c>
      <c r="F2440">
        <v>347.5</v>
      </c>
      <c r="K2440" s="3"/>
      <c r="O2440" s="3"/>
    </row>
    <row r="2441" spans="1:15">
      <c r="A2441" s="3">
        <v>38965</v>
      </c>
      <c r="B2441" s="3">
        <v>38965</v>
      </c>
      <c r="C2441">
        <v>125.71</v>
      </c>
      <c r="D2441">
        <v>1.2816000000000001</v>
      </c>
      <c r="E2441">
        <v>68.09</v>
      </c>
      <c r="F2441">
        <v>365.1</v>
      </c>
      <c r="K2441" s="3"/>
      <c r="O2441" s="3"/>
    </row>
    <row r="2442" spans="1:15">
      <c r="A2442" s="3">
        <v>38966</v>
      </c>
      <c r="B2442" s="3">
        <v>38966</v>
      </c>
      <c r="C2442">
        <v>125.83</v>
      </c>
      <c r="D2442">
        <v>1.2805</v>
      </c>
      <c r="E2442">
        <v>66.930000000000007</v>
      </c>
      <c r="F2442">
        <v>370.2</v>
      </c>
      <c r="K2442" s="3"/>
      <c r="O2442" s="3"/>
    </row>
    <row r="2443" spans="1:15">
      <c r="A2443" s="3">
        <v>38967</v>
      </c>
      <c r="B2443" s="3">
        <v>38967</v>
      </c>
      <c r="C2443">
        <v>125.73</v>
      </c>
      <c r="D2443">
        <v>1.2730999999999999</v>
      </c>
      <c r="E2443">
        <v>66.53</v>
      </c>
      <c r="F2443">
        <v>366.55</v>
      </c>
      <c r="K2443" s="3"/>
      <c r="O2443" s="3"/>
    </row>
    <row r="2444" spans="1:15">
      <c r="A2444" s="3">
        <v>38968</v>
      </c>
      <c r="B2444" s="3">
        <v>38968</v>
      </c>
      <c r="C2444">
        <v>125.8</v>
      </c>
      <c r="D2444">
        <v>1.2673000000000001</v>
      </c>
      <c r="E2444">
        <v>65.33</v>
      </c>
      <c r="F2444">
        <v>357.8</v>
      </c>
      <c r="K2444" s="3"/>
      <c r="O2444" s="3"/>
    </row>
    <row r="2445" spans="1:15">
      <c r="A2445" s="3">
        <v>38969</v>
      </c>
      <c r="B2445" s="3">
        <v>38969</v>
      </c>
      <c r="C2445">
        <v>125.8</v>
      </c>
      <c r="D2445">
        <v>1.2673000000000001</v>
      </c>
      <c r="E2445">
        <v>65.33</v>
      </c>
      <c r="F2445">
        <v>357.8</v>
      </c>
      <c r="K2445" s="3"/>
      <c r="O2445" s="3"/>
    </row>
    <row r="2446" spans="1:15">
      <c r="A2446" s="3">
        <v>38970</v>
      </c>
      <c r="B2446" s="3">
        <v>38970</v>
      </c>
      <c r="C2446">
        <v>125.8</v>
      </c>
      <c r="D2446">
        <v>1.2673000000000001</v>
      </c>
      <c r="E2446">
        <v>65.33</v>
      </c>
      <c r="F2446">
        <v>357.8</v>
      </c>
      <c r="K2446" s="3"/>
      <c r="O2446" s="3"/>
    </row>
    <row r="2447" spans="1:15">
      <c r="A2447" s="3">
        <v>38971</v>
      </c>
      <c r="B2447" s="3">
        <v>38971</v>
      </c>
      <c r="C2447">
        <v>125.99</v>
      </c>
      <c r="D2447">
        <v>1.2702</v>
      </c>
      <c r="E2447">
        <v>64.55</v>
      </c>
      <c r="F2447">
        <v>343.4</v>
      </c>
      <c r="K2447" s="3"/>
      <c r="O2447" s="3"/>
    </row>
    <row r="2448" spans="1:15">
      <c r="A2448" s="3">
        <v>38972</v>
      </c>
      <c r="B2448" s="3">
        <v>38972</v>
      </c>
      <c r="C2448">
        <v>126.12</v>
      </c>
      <c r="D2448">
        <v>1.2687999999999999</v>
      </c>
      <c r="E2448">
        <v>62.99</v>
      </c>
      <c r="F2448">
        <v>339.05</v>
      </c>
      <c r="K2448" s="3"/>
      <c r="O2448" s="3"/>
    </row>
    <row r="2449" spans="1:15">
      <c r="A2449" s="3">
        <v>38973</v>
      </c>
      <c r="B2449" s="3">
        <v>38973</v>
      </c>
      <c r="C2449">
        <v>126.09</v>
      </c>
      <c r="D2449">
        <v>1.2688999999999999</v>
      </c>
      <c r="E2449">
        <v>62.99</v>
      </c>
      <c r="F2449">
        <v>339.25</v>
      </c>
      <c r="K2449" s="3"/>
      <c r="O2449" s="3"/>
    </row>
    <row r="2450" spans="1:15">
      <c r="A2450" s="3">
        <v>38974</v>
      </c>
      <c r="B2450" s="3">
        <v>38974</v>
      </c>
      <c r="C2450">
        <v>126.13</v>
      </c>
      <c r="D2450">
        <v>1.2725</v>
      </c>
      <c r="E2450">
        <v>62.24</v>
      </c>
      <c r="F2450">
        <v>338.2</v>
      </c>
      <c r="K2450" s="3"/>
      <c r="O2450" s="3"/>
    </row>
    <row r="2451" spans="1:15">
      <c r="A2451" s="3">
        <v>38975</v>
      </c>
      <c r="B2451" s="3">
        <v>38975</v>
      </c>
      <c r="C2451">
        <v>126.21</v>
      </c>
      <c r="D2451">
        <v>1.2665</v>
      </c>
      <c r="E2451">
        <v>63.33</v>
      </c>
      <c r="F2451">
        <v>331.65</v>
      </c>
      <c r="K2451" s="3"/>
      <c r="O2451" s="3"/>
    </row>
    <row r="2452" spans="1:15">
      <c r="A2452" s="3">
        <v>38976</v>
      </c>
      <c r="B2452" s="3">
        <v>38976</v>
      </c>
      <c r="C2452">
        <v>126.21</v>
      </c>
      <c r="D2452">
        <v>1.2665</v>
      </c>
      <c r="E2452">
        <v>63.33</v>
      </c>
      <c r="F2452">
        <v>331.65</v>
      </c>
      <c r="K2452" s="3"/>
      <c r="O2452" s="3"/>
    </row>
    <row r="2453" spans="1:15">
      <c r="A2453" s="3">
        <v>38977</v>
      </c>
      <c r="B2453" s="3">
        <v>38977</v>
      </c>
      <c r="C2453">
        <v>126.21</v>
      </c>
      <c r="D2453">
        <v>1.2665</v>
      </c>
      <c r="E2453">
        <v>63.33</v>
      </c>
      <c r="F2453">
        <v>331.65</v>
      </c>
      <c r="K2453" s="3"/>
      <c r="O2453" s="3"/>
    </row>
    <row r="2454" spans="1:15">
      <c r="A2454" s="3">
        <v>38978</v>
      </c>
      <c r="B2454" s="3">
        <v>38978</v>
      </c>
      <c r="C2454">
        <v>126.36</v>
      </c>
      <c r="D2454">
        <v>1.2704</v>
      </c>
      <c r="E2454">
        <v>64.05</v>
      </c>
      <c r="F2454">
        <v>341.8</v>
      </c>
      <c r="K2454" s="3"/>
      <c r="O2454" s="3"/>
    </row>
    <row r="2455" spans="1:15">
      <c r="A2455" s="3">
        <v>38979</v>
      </c>
      <c r="B2455" s="3">
        <v>38979</v>
      </c>
      <c r="C2455">
        <v>126.41</v>
      </c>
      <c r="D2455">
        <v>1.2678</v>
      </c>
      <c r="E2455">
        <v>62.17</v>
      </c>
      <c r="F2455">
        <v>337.55</v>
      </c>
      <c r="K2455" s="3"/>
      <c r="O2455" s="3"/>
    </row>
    <row r="2456" spans="1:15">
      <c r="A2456" s="3">
        <v>38980</v>
      </c>
      <c r="B2456" s="3">
        <v>38980</v>
      </c>
      <c r="C2456">
        <v>126.5</v>
      </c>
      <c r="D2456">
        <v>1.2685999999999999</v>
      </c>
      <c r="E2456">
        <v>60.47</v>
      </c>
      <c r="F2456">
        <v>337</v>
      </c>
      <c r="K2456" s="3"/>
      <c r="O2456" s="3"/>
    </row>
    <row r="2457" spans="1:15">
      <c r="A2457" s="3">
        <v>38981</v>
      </c>
      <c r="B2457" s="3">
        <v>38981</v>
      </c>
      <c r="C2457">
        <v>126.59</v>
      </c>
      <c r="D2457">
        <v>1.278</v>
      </c>
      <c r="E2457">
        <v>61.34</v>
      </c>
      <c r="F2457">
        <v>342.2</v>
      </c>
      <c r="K2457" s="3"/>
      <c r="O2457" s="3"/>
    </row>
    <row r="2458" spans="1:15">
      <c r="A2458" s="3">
        <v>38982</v>
      </c>
      <c r="B2458" s="3">
        <v>38982</v>
      </c>
      <c r="C2458">
        <v>126.83</v>
      </c>
      <c r="D2458">
        <v>1.2784</v>
      </c>
      <c r="E2458">
        <v>60.41</v>
      </c>
      <c r="F2458">
        <v>343.95</v>
      </c>
      <c r="K2458" s="3"/>
      <c r="O2458" s="3"/>
    </row>
    <row r="2459" spans="1:15">
      <c r="A2459" s="3">
        <v>38983</v>
      </c>
      <c r="B2459" s="3">
        <v>38983</v>
      </c>
      <c r="C2459">
        <v>126.83</v>
      </c>
      <c r="D2459">
        <v>1.2784</v>
      </c>
      <c r="E2459">
        <v>60.41</v>
      </c>
      <c r="F2459">
        <v>343.95</v>
      </c>
      <c r="K2459" s="3"/>
      <c r="O2459" s="3"/>
    </row>
    <row r="2460" spans="1:15">
      <c r="A2460" s="3">
        <v>38984</v>
      </c>
      <c r="B2460" s="3">
        <v>38984</v>
      </c>
      <c r="C2460">
        <v>126.83</v>
      </c>
      <c r="D2460">
        <v>1.2784</v>
      </c>
      <c r="E2460">
        <v>60.41</v>
      </c>
      <c r="F2460">
        <v>343.95</v>
      </c>
      <c r="K2460" s="3"/>
      <c r="O2460" s="3"/>
    </row>
    <row r="2461" spans="1:15">
      <c r="A2461" s="3">
        <v>38985</v>
      </c>
      <c r="B2461" s="3">
        <v>38985</v>
      </c>
      <c r="C2461">
        <v>126.93</v>
      </c>
      <c r="D2461">
        <v>1.2746</v>
      </c>
      <c r="E2461">
        <v>60.8</v>
      </c>
      <c r="F2461">
        <v>344.75</v>
      </c>
      <c r="K2461" s="3"/>
      <c r="O2461" s="3"/>
    </row>
    <row r="2462" spans="1:15">
      <c r="A2462" s="3">
        <v>38986</v>
      </c>
      <c r="B2462" s="3">
        <v>38986</v>
      </c>
      <c r="C2462">
        <v>127</v>
      </c>
      <c r="D2462">
        <v>1.2690999999999999</v>
      </c>
      <c r="E2462">
        <v>60.12</v>
      </c>
      <c r="F2462">
        <v>346.35</v>
      </c>
      <c r="K2462" s="3"/>
      <c r="O2462" s="3"/>
    </row>
    <row r="2463" spans="1:15">
      <c r="A2463" s="3">
        <v>38987</v>
      </c>
      <c r="B2463" s="3">
        <v>38987</v>
      </c>
      <c r="C2463">
        <v>127.01</v>
      </c>
      <c r="D2463">
        <v>1.27</v>
      </c>
      <c r="E2463">
        <v>62.21</v>
      </c>
      <c r="F2463">
        <v>347.55</v>
      </c>
      <c r="K2463" s="3"/>
      <c r="O2463" s="3"/>
    </row>
    <row r="2464" spans="1:15">
      <c r="A2464" s="3">
        <v>38988</v>
      </c>
      <c r="B2464" s="3">
        <v>38988</v>
      </c>
      <c r="C2464">
        <v>127.22</v>
      </c>
      <c r="D2464">
        <v>1.2703</v>
      </c>
      <c r="E2464">
        <v>62.54</v>
      </c>
      <c r="F2464">
        <v>342.8</v>
      </c>
      <c r="K2464" s="3"/>
      <c r="O2464" s="3"/>
    </row>
    <row r="2465" spans="1:15">
      <c r="A2465" s="3">
        <v>38989</v>
      </c>
      <c r="B2465" s="3">
        <v>38989</v>
      </c>
      <c r="C2465">
        <v>127.12</v>
      </c>
      <c r="D2465">
        <v>1.2674000000000001</v>
      </c>
      <c r="E2465">
        <v>62.48</v>
      </c>
      <c r="F2465">
        <v>346.05</v>
      </c>
      <c r="K2465" s="3"/>
      <c r="O2465" s="3"/>
    </row>
    <row r="2466" spans="1:15">
      <c r="A2466" s="3">
        <v>38990</v>
      </c>
      <c r="B2466" s="3">
        <v>38990</v>
      </c>
      <c r="C2466">
        <v>127.12</v>
      </c>
      <c r="D2466">
        <v>1.2674000000000001</v>
      </c>
      <c r="E2466">
        <v>62.48</v>
      </c>
      <c r="F2466">
        <v>346.05</v>
      </c>
      <c r="K2466" s="3"/>
      <c r="O2466" s="3"/>
    </row>
    <row r="2467" spans="1:15">
      <c r="A2467" s="3">
        <v>38991</v>
      </c>
      <c r="B2467" s="3">
        <v>38991</v>
      </c>
      <c r="C2467">
        <v>127.12</v>
      </c>
      <c r="D2467">
        <v>1.2674000000000001</v>
      </c>
      <c r="E2467">
        <v>62.48</v>
      </c>
      <c r="F2467">
        <v>346.05</v>
      </c>
      <c r="K2467" s="3"/>
      <c r="O2467" s="3"/>
    </row>
    <row r="2468" spans="1:15">
      <c r="A2468" s="3">
        <v>38992</v>
      </c>
      <c r="B2468" s="3">
        <v>38992</v>
      </c>
      <c r="C2468">
        <v>127.24</v>
      </c>
      <c r="D2468">
        <v>1.2738</v>
      </c>
      <c r="E2468">
        <v>60.45</v>
      </c>
      <c r="F2468">
        <v>342.95</v>
      </c>
      <c r="K2468" s="3"/>
      <c r="O2468" s="3"/>
    </row>
    <row r="2469" spans="1:15">
      <c r="A2469" s="3">
        <v>38993</v>
      </c>
      <c r="B2469" s="3">
        <v>38993</v>
      </c>
      <c r="C2469">
        <v>127.36</v>
      </c>
      <c r="D2469">
        <v>1.2732000000000001</v>
      </c>
      <c r="E2469">
        <v>58.43</v>
      </c>
      <c r="F2469">
        <v>328.25</v>
      </c>
      <c r="K2469" s="3"/>
      <c r="O2469" s="3"/>
    </row>
    <row r="2470" spans="1:15">
      <c r="A2470" s="3">
        <v>38994</v>
      </c>
      <c r="B2470" s="3">
        <v>38994</v>
      </c>
      <c r="C2470">
        <v>127.44</v>
      </c>
      <c r="D2470">
        <v>1.2715000000000001</v>
      </c>
      <c r="E2470">
        <v>59.22</v>
      </c>
      <c r="F2470">
        <v>320.55</v>
      </c>
      <c r="K2470" s="3"/>
      <c r="O2470" s="3"/>
    </row>
    <row r="2471" spans="1:15">
      <c r="A2471" s="3">
        <v>38995</v>
      </c>
      <c r="B2471" s="3">
        <v>38995</v>
      </c>
      <c r="C2471">
        <v>127.52</v>
      </c>
      <c r="D2471">
        <v>1.2694000000000001</v>
      </c>
      <c r="E2471">
        <v>60</v>
      </c>
      <c r="F2471">
        <v>330</v>
      </c>
      <c r="K2471" s="3"/>
      <c r="O2471" s="3"/>
    </row>
    <row r="2472" spans="1:15">
      <c r="A2472" s="3">
        <v>38996</v>
      </c>
      <c r="B2472" s="3">
        <v>38996</v>
      </c>
      <c r="C2472">
        <v>127.54</v>
      </c>
      <c r="D2472">
        <v>1.2601</v>
      </c>
      <c r="E2472">
        <v>59.83</v>
      </c>
      <c r="F2472">
        <v>338.85</v>
      </c>
      <c r="K2472" s="3"/>
      <c r="O2472" s="3"/>
    </row>
    <row r="2473" spans="1:15">
      <c r="A2473" s="3">
        <v>38997</v>
      </c>
      <c r="B2473" s="3">
        <v>38997</v>
      </c>
      <c r="C2473">
        <v>127.54</v>
      </c>
      <c r="D2473">
        <v>1.2601</v>
      </c>
      <c r="E2473">
        <v>59.83</v>
      </c>
      <c r="F2473">
        <v>338.85</v>
      </c>
      <c r="K2473" s="3"/>
      <c r="O2473" s="3"/>
    </row>
    <row r="2474" spans="1:15">
      <c r="A2474" s="3">
        <v>38998</v>
      </c>
      <c r="B2474" s="3">
        <v>38998</v>
      </c>
      <c r="C2474">
        <v>127.54</v>
      </c>
      <c r="D2474">
        <v>1.2601</v>
      </c>
      <c r="E2474">
        <v>59.83</v>
      </c>
      <c r="F2474">
        <v>338.85</v>
      </c>
      <c r="K2474" s="3"/>
      <c r="O2474" s="3"/>
    </row>
    <row r="2475" spans="1:15">
      <c r="A2475" s="3">
        <v>38999</v>
      </c>
      <c r="B2475" s="3">
        <v>38999</v>
      </c>
      <c r="C2475">
        <v>127.67</v>
      </c>
      <c r="D2475">
        <v>1.2594000000000001</v>
      </c>
      <c r="E2475">
        <v>60.54</v>
      </c>
      <c r="F2475">
        <v>341.3</v>
      </c>
      <c r="K2475" s="3"/>
      <c r="O2475" s="3"/>
    </row>
    <row r="2476" spans="1:15">
      <c r="A2476" s="3">
        <v>39000</v>
      </c>
      <c r="B2476" s="3">
        <v>39000</v>
      </c>
      <c r="C2476">
        <v>127.67</v>
      </c>
      <c r="D2476">
        <v>1.2537</v>
      </c>
      <c r="E2476">
        <v>59.34</v>
      </c>
      <c r="F2476">
        <v>337.8</v>
      </c>
      <c r="K2476" s="3"/>
      <c r="O2476" s="3"/>
    </row>
    <row r="2477" spans="1:15">
      <c r="A2477" s="3">
        <v>39001</v>
      </c>
      <c r="B2477" s="3">
        <v>39001</v>
      </c>
      <c r="C2477">
        <v>127.75</v>
      </c>
      <c r="D2477">
        <v>1.2514000000000001</v>
      </c>
      <c r="E2477">
        <v>58.65</v>
      </c>
      <c r="F2477">
        <v>341</v>
      </c>
      <c r="K2477" s="3"/>
      <c r="O2477" s="3"/>
    </row>
    <row r="2478" spans="1:15">
      <c r="A2478" s="3">
        <v>39002</v>
      </c>
      <c r="B2478" s="3">
        <v>39002</v>
      </c>
      <c r="C2478">
        <v>127.75</v>
      </c>
      <c r="D2478">
        <v>1.2555000000000001</v>
      </c>
      <c r="E2478">
        <v>58.76</v>
      </c>
      <c r="F2478">
        <v>338.65</v>
      </c>
      <c r="K2478" s="3"/>
      <c r="O2478" s="3"/>
    </row>
    <row r="2479" spans="1:15">
      <c r="A2479" s="3">
        <v>39003</v>
      </c>
      <c r="B2479" s="3">
        <v>39003</v>
      </c>
      <c r="C2479">
        <v>127.75</v>
      </c>
      <c r="D2479">
        <v>1.2513000000000001</v>
      </c>
      <c r="E2479">
        <v>59.52</v>
      </c>
      <c r="F2479">
        <v>341.35</v>
      </c>
      <c r="K2479" s="3"/>
      <c r="O2479" s="3"/>
    </row>
    <row r="2480" spans="1:15">
      <c r="A2480" s="3">
        <v>39004</v>
      </c>
      <c r="B2480" s="3">
        <v>39004</v>
      </c>
      <c r="C2480">
        <v>127.75</v>
      </c>
      <c r="D2480">
        <v>1.2513000000000001</v>
      </c>
      <c r="E2480">
        <v>59.52</v>
      </c>
      <c r="F2480">
        <v>341.35</v>
      </c>
      <c r="K2480" s="3"/>
      <c r="O2480" s="3"/>
    </row>
    <row r="2481" spans="1:15">
      <c r="A2481" s="3">
        <v>39005</v>
      </c>
      <c r="B2481" s="3">
        <v>39005</v>
      </c>
      <c r="C2481">
        <v>127.75</v>
      </c>
      <c r="D2481">
        <v>1.2513000000000001</v>
      </c>
      <c r="E2481">
        <v>59.52</v>
      </c>
      <c r="F2481">
        <v>341.35</v>
      </c>
      <c r="K2481" s="3"/>
      <c r="O2481" s="3"/>
    </row>
    <row r="2482" spans="1:15">
      <c r="A2482" s="3">
        <v>39006</v>
      </c>
      <c r="B2482" s="3">
        <v>39006</v>
      </c>
      <c r="C2482">
        <v>127.76</v>
      </c>
      <c r="D2482">
        <v>1.2533000000000001</v>
      </c>
      <c r="E2482">
        <v>59.96</v>
      </c>
      <c r="F2482">
        <v>358.1</v>
      </c>
      <c r="K2482" s="3"/>
      <c r="O2482" s="3"/>
    </row>
    <row r="2483" spans="1:15">
      <c r="A2483" s="3">
        <v>39007</v>
      </c>
      <c r="B2483" s="3">
        <v>39007</v>
      </c>
      <c r="C2483">
        <v>127.77</v>
      </c>
      <c r="D2483">
        <v>1.2544999999999999</v>
      </c>
      <c r="E2483">
        <v>60.94</v>
      </c>
      <c r="F2483">
        <v>349.6</v>
      </c>
      <c r="K2483" s="3"/>
      <c r="O2483" s="3"/>
    </row>
    <row r="2484" spans="1:15">
      <c r="A2484" s="3">
        <v>39008</v>
      </c>
      <c r="B2484" s="3">
        <v>39008</v>
      </c>
      <c r="C2484">
        <v>127.83</v>
      </c>
      <c r="D2484">
        <v>1.2533000000000001</v>
      </c>
      <c r="E2484">
        <v>59.58</v>
      </c>
      <c r="F2484">
        <v>349.6</v>
      </c>
      <c r="K2484" s="3"/>
      <c r="O2484" s="3"/>
    </row>
    <row r="2485" spans="1:15">
      <c r="A2485" s="3">
        <v>39009</v>
      </c>
      <c r="B2485" s="3">
        <v>39009</v>
      </c>
      <c r="C2485">
        <v>127.82</v>
      </c>
      <c r="D2485">
        <v>1.2625</v>
      </c>
      <c r="E2485">
        <v>60.87</v>
      </c>
      <c r="F2485">
        <v>350.95</v>
      </c>
      <c r="K2485" s="3"/>
      <c r="O2485" s="3"/>
    </row>
    <row r="2486" spans="1:15">
      <c r="A2486" s="3">
        <v>39010</v>
      </c>
      <c r="B2486" s="3">
        <v>39010</v>
      </c>
      <c r="C2486">
        <v>127.84</v>
      </c>
      <c r="D2486">
        <v>1.2618</v>
      </c>
      <c r="E2486">
        <v>59.68</v>
      </c>
      <c r="F2486">
        <v>346.2</v>
      </c>
      <c r="K2486" s="3"/>
      <c r="O2486" s="3"/>
    </row>
    <row r="2487" spans="1:15">
      <c r="A2487" s="3">
        <v>39011</v>
      </c>
      <c r="B2487" s="3">
        <v>39011</v>
      </c>
      <c r="C2487">
        <v>127.84</v>
      </c>
      <c r="D2487">
        <v>1.2618</v>
      </c>
      <c r="E2487">
        <v>59.68</v>
      </c>
      <c r="F2487">
        <v>346.2</v>
      </c>
      <c r="K2487" s="3"/>
      <c r="O2487" s="3"/>
    </row>
    <row r="2488" spans="1:15">
      <c r="A2488" s="3">
        <v>39012</v>
      </c>
      <c r="B2488" s="3">
        <v>39012</v>
      </c>
      <c r="C2488">
        <v>127.84</v>
      </c>
      <c r="D2488">
        <v>1.2618</v>
      </c>
      <c r="E2488">
        <v>59.68</v>
      </c>
      <c r="F2488">
        <v>346.2</v>
      </c>
      <c r="K2488" s="3"/>
      <c r="O2488" s="3"/>
    </row>
    <row r="2489" spans="1:15">
      <c r="A2489" s="3">
        <v>39013</v>
      </c>
      <c r="B2489" s="3">
        <v>39013</v>
      </c>
      <c r="C2489">
        <v>127.87</v>
      </c>
      <c r="D2489">
        <v>1.2552000000000001</v>
      </c>
      <c r="E2489">
        <v>59.21</v>
      </c>
      <c r="F2489">
        <v>345.1</v>
      </c>
      <c r="K2489" s="3"/>
      <c r="O2489" s="3"/>
    </row>
    <row r="2490" spans="1:15">
      <c r="A2490" s="3">
        <v>39014</v>
      </c>
      <c r="B2490" s="3">
        <v>39014</v>
      </c>
      <c r="C2490">
        <v>127.79</v>
      </c>
      <c r="D2490">
        <v>1.2558</v>
      </c>
      <c r="E2490">
        <v>59.86</v>
      </c>
      <c r="F2490">
        <v>341.8</v>
      </c>
      <c r="K2490" s="3"/>
      <c r="O2490" s="3"/>
    </row>
    <row r="2491" spans="1:15">
      <c r="A2491" s="3">
        <v>39015</v>
      </c>
      <c r="B2491" s="3">
        <v>39015</v>
      </c>
      <c r="C2491">
        <v>127.79</v>
      </c>
      <c r="D2491">
        <v>1.2601</v>
      </c>
      <c r="E2491">
        <v>62.05</v>
      </c>
      <c r="F2491">
        <v>340.45</v>
      </c>
      <c r="K2491" s="3"/>
      <c r="O2491" s="3"/>
    </row>
    <row r="2492" spans="1:15">
      <c r="A2492" s="3">
        <v>39016</v>
      </c>
      <c r="B2492" s="3">
        <v>39016</v>
      </c>
      <c r="C2492">
        <v>127.84</v>
      </c>
      <c r="D2492">
        <v>1.2693000000000001</v>
      </c>
      <c r="E2492">
        <v>60.77</v>
      </c>
      <c r="F2492">
        <v>340</v>
      </c>
      <c r="K2492" s="3"/>
      <c r="O2492" s="3"/>
    </row>
    <row r="2493" spans="1:15">
      <c r="A2493" s="3">
        <v>39017</v>
      </c>
      <c r="B2493" s="3">
        <v>39017</v>
      </c>
      <c r="C2493">
        <v>127.84</v>
      </c>
      <c r="D2493">
        <v>1.2741</v>
      </c>
      <c r="E2493">
        <v>61.08</v>
      </c>
      <c r="F2493">
        <v>340.5</v>
      </c>
      <c r="K2493" s="3"/>
      <c r="O2493" s="3"/>
    </row>
    <row r="2494" spans="1:15">
      <c r="A2494" s="3">
        <v>39018</v>
      </c>
      <c r="B2494" s="3">
        <v>39018</v>
      </c>
      <c r="C2494">
        <v>127.84</v>
      </c>
      <c r="D2494">
        <v>1.2741</v>
      </c>
      <c r="E2494">
        <v>61.08</v>
      </c>
      <c r="F2494">
        <v>340.5</v>
      </c>
      <c r="K2494" s="3"/>
      <c r="O2494" s="3"/>
    </row>
    <row r="2495" spans="1:15">
      <c r="A2495" s="3">
        <v>39019</v>
      </c>
      <c r="B2495" s="3">
        <v>39019</v>
      </c>
      <c r="C2495">
        <v>127.84</v>
      </c>
      <c r="D2495">
        <v>1.2741</v>
      </c>
      <c r="E2495">
        <v>61.08</v>
      </c>
      <c r="F2495">
        <v>340.5</v>
      </c>
      <c r="K2495" s="3"/>
      <c r="O2495" s="3"/>
    </row>
    <row r="2496" spans="1:15">
      <c r="A2496" s="3">
        <v>39020</v>
      </c>
      <c r="B2496" s="3">
        <v>39020</v>
      </c>
      <c r="C2496">
        <v>127.78</v>
      </c>
      <c r="D2496">
        <v>1.2725</v>
      </c>
      <c r="E2496">
        <v>58.68</v>
      </c>
      <c r="F2496">
        <v>335.85</v>
      </c>
      <c r="K2496" s="3"/>
      <c r="O2496" s="3"/>
    </row>
    <row r="2497" spans="1:15">
      <c r="A2497" s="3">
        <v>39021</v>
      </c>
      <c r="B2497" s="3">
        <v>39021</v>
      </c>
      <c r="C2497">
        <v>127.82</v>
      </c>
      <c r="D2497">
        <v>1.2762</v>
      </c>
      <c r="E2497">
        <v>59.03</v>
      </c>
      <c r="F2497">
        <v>334.55</v>
      </c>
      <c r="K2497" s="3"/>
      <c r="O2497" s="3"/>
    </row>
    <row r="2498" spans="1:15">
      <c r="A2498" s="3">
        <v>39022</v>
      </c>
      <c r="B2498" s="3">
        <v>39022</v>
      </c>
      <c r="C2498">
        <v>127.83</v>
      </c>
      <c r="D2498">
        <v>1.2757000000000001</v>
      </c>
      <c r="E2498">
        <v>58.98</v>
      </c>
      <c r="F2498">
        <v>324.10000000000002</v>
      </c>
      <c r="K2498" s="3"/>
      <c r="O2498" s="3"/>
    </row>
    <row r="2499" spans="1:15">
      <c r="A2499" s="3">
        <v>39023</v>
      </c>
      <c r="B2499" s="3">
        <v>39023</v>
      </c>
      <c r="C2499">
        <v>128</v>
      </c>
      <c r="D2499">
        <v>1.2779</v>
      </c>
      <c r="E2499">
        <v>57.87</v>
      </c>
      <c r="F2499">
        <v>329.15</v>
      </c>
      <c r="K2499" s="3"/>
      <c r="O2499" s="3"/>
    </row>
    <row r="2500" spans="1:15">
      <c r="A2500" s="3">
        <v>39024</v>
      </c>
      <c r="B2500" s="3">
        <v>39024</v>
      </c>
      <c r="C2500">
        <v>127.96</v>
      </c>
      <c r="D2500">
        <v>1.2718</v>
      </c>
      <c r="E2500">
        <v>59.15</v>
      </c>
      <c r="F2500">
        <v>332.25</v>
      </c>
      <c r="K2500" s="3"/>
      <c r="O2500" s="3"/>
    </row>
    <row r="2501" spans="1:15">
      <c r="A2501" s="3">
        <v>39025</v>
      </c>
      <c r="B2501" s="3">
        <v>39025</v>
      </c>
      <c r="C2501">
        <v>127.96</v>
      </c>
      <c r="D2501">
        <v>1.2718</v>
      </c>
      <c r="E2501">
        <v>59.15</v>
      </c>
      <c r="F2501">
        <v>332.25</v>
      </c>
      <c r="K2501" s="3"/>
      <c r="O2501" s="3"/>
    </row>
    <row r="2502" spans="1:15">
      <c r="A2502" s="3">
        <v>39026</v>
      </c>
      <c r="B2502" s="3">
        <v>39026</v>
      </c>
      <c r="C2502">
        <v>127.96</v>
      </c>
      <c r="D2502">
        <v>1.2718</v>
      </c>
      <c r="E2502">
        <v>59.15</v>
      </c>
      <c r="F2502">
        <v>332.25</v>
      </c>
      <c r="K2502" s="3"/>
      <c r="O2502" s="3"/>
    </row>
    <row r="2503" spans="1:15">
      <c r="A2503" s="3">
        <v>39027</v>
      </c>
      <c r="B2503" s="3">
        <v>39027</v>
      </c>
      <c r="C2503">
        <v>127.93</v>
      </c>
      <c r="D2503">
        <v>1.2724</v>
      </c>
      <c r="E2503">
        <v>59.75</v>
      </c>
      <c r="F2503">
        <v>333.7</v>
      </c>
      <c r="K2503" s="3"/>
      <c r="O2503" s="3"/>
    </row>
    <row r="2504" spans="1:15">
      <c r="A2504" s="3">
        <v>39028</v>
      </c>
      <c r="B2504" s="3">
        <v>39028</v>
      </c>
      <c r="C2504">
        <v>127.79</v>
      </c>
      <c r="D2504">
        <v>1.2777000000000001</v>
      </c>
      <c r="E2504">
        <v>58.48</v>
      </c>
      <c r="F2504">
        <v>336.55</v>
      </c>
      <c r="K2504" s="3"/>
      <c r="O2504" s="3"/>
    </row>
    <row r="2505" spans="1:15">
      <c r="A2505" s="3">
        <v>39029</v>
      </c>
      <c r="B2505" s="3">
        <v>39029</v>
      </c>
      <c r="C2505">
        <v>127.86</v>
      </c>
      <c r="D2505">
        <v>1.2757000000000001</v>
      </c>
      <c r="E2505">
        <v>59.59</v>
      </c>
      <c r="F2505">
        <v>324.45</v>
      </c>
      <c r="K2505" s="3"/>
      <c r="O2505" s="3"/>
    </row>
    <row r="2506" spans="1:15">
      <c r="A2506" s="3">
        <v>39030</v>
      </c>
      <c r="B2506" s="3">
        <v>39030</v>
      </c>
      <c r="C2506">
        <v>127.87</v>
      </c>
      <c r="D2506">
        <v>1.2828999999999999</v>
      </c>
      <c r="E2506">
        <v>61.32</v>
      </c>
      <c r="F2506">
        <v>330.9</v>
      </c>
      <c r="K2506" s="3"/>
      <c r="O2506" s="3"/>
    </row>
    <row r="2507" spans="1:15">
      <c r="A2507" s="3">
        <v>39031</v>
      </c>
      <c r="B2507" s="3">
        <v>39031</v>
      </c>
      <c r="C2507">
        <v>127.79</v>
      </c>
      <c r="D2507">
        <v>1.284</v>
      </c>
      <c r="E2507">
        <v>59.71</v>
      </c>
      <c r="F2507">
        <v>308.85000000000002</v>
      </c>
      <c r="K2507" s="3"/>
      <c r="O2507" s="3"/>
    </row>
    <row r="2508" spans="1:15">
      <c r="A2508" s="3">
        <v>39032</v>
      </c>
      <c r="B2508" s="3">
        <v>39032</v>
      </c>
      <c r="C2508">
        <v>127.79</v>
      </c>
      <c r="D2508">
        <v>1.284</v>
      </c>
      <c r="E2508">
        <v>59.71</v>
      </c>
      <c r="F2508">
        <v>308.85000000000002</v>
      </c>
      <c r="K2508" s="3"/>
      <c r="O2508" s="3"/>
    </row>
    <row r="2509" spans="1:15">
      <c r="A2509" s="3">
        <v>39033</v>
      </c>
      <c r="B2509" s="3">
        <v>39033</v>
      </c>
      <c r="C2509">
        <v>127.79</v>
      </c>
      <c r="D2509">
        <v>1.284</v>
      </c>
      <c r="E2509">
        <v>59.71</v>
      </c>
      <c r="F2509">
        <v>308.85000000000002</v>
      </c>
      <c r="K2509" s="3"/>
      <c r="O2509" s="3"/>
    </row>
    <row r="2510" spans="1:15">
      <c r="A2510" s="3">
        <v>39034</v>
      </c>
      <c r="B2510" s="3">
        <v>39034</v>
      </c>
      <c r="C2510">
        <v>127.86</v>
      </c>
      <c r="D2510">
        <v>1.2805</v>
      </c>
      <c r="E2510">
        <v>59.05</v>
      </c>
      <c r="F2510">
        <v>307.5</v>
      </c>
      <c r="K2510" s="3"/>
      <c r="O2510" s="3"/>
    </row>
    <row r="2511" spans="1:15">
      <c r="A2511" s="3">
        <v>39035</v>
      </c>
      <c r="B2511" s="3">
        <v>39035</v>
      </c>
      <c r="C2511">
        <v>127.87</v>
      </c>
      <c r="D2511">
        <v>1.2810999999999999</v>
      </c>
      <c r="E2511">
        <v>58.84</v>
      </c>
      <c r="F2511">
        <v>308.89999999999998</v>
      </c>
      <c r="K2511" s="3"/>
      <c r="O2511" s="3"/>
    </row>
    <row r="2512" spans="1:15">
      <c r="A2512" s="3">
        <v>39036</v>
      </c>
      <c r="B2512" s="3">
        <v>39036</v>
      </c>
      <c r="C2512">
        <v>127.96</v>
      </c>
      <c r="D2512">
        <v>1.2827999999999999</v>
      </c>
      <c r="E2512">
        <v>59.46</v>
      </c>
      <c r="F2512">
        <v>309.45</v>
      </c>
      <c r="K2512" s="3"/>
      <c r="O2512" s="3"/>
    </row>
    <row r="2513" spans="1:15">
      <c r="A2513" s="3">
        <v>39037</v>
      </c>
      <c r="B2513" s="3">
        <v>39037</v>
      </c>
      <c r="C2513">
        <v>127.97</v>
      </c>
      <c r="D2513">
        <v>1.2796000000000001</v>
      </c>
      <c r="E2513">
        <v>58.54</v>
      </c>
      <c r="F2513">
        <v>304.10000000000002</v>
      </c>
      <c r="K2513" s="3"/>
      <c r="O2513" s="3"/>
    </row>
    <row r="2514" spans="1:15">
      <c r="A2514" s="3">
        <v>39038</v>
      </c>
      <c r="B2514" s="3">
        <v>39038</v>
      </c>
      <c r="C2514">
        <v>127.94</v>
      </c>
      <c r="D2514">
        <v>1.2827999999999999</v>
      </c>
      <c r="E2514">
        <v>58.99</v>
      </c>
      <c r="F2514">
        <v>305.75</v>
      </c>
      <c r="K2514" s="3"/>
      <c r="O2514" s="3"/>
    </row>
    <row r="2515" spans="1:15">
      <c r="A2515" s="3">
        <v>39039</v>
      </c>
      <c r="B2515" s="3">
        <v>39039</v>
      </c>
      <c r="C2515">
        <v>127.94</v>
      </c>
      <c r="D2515">
        <v>1.2827999999999999</v>
      </c>
      <c r="E2515">
        <v>58.99</v>
      </c>
      <c r="F2515">
        <v>305.75</v>
      </c>
      <c r="K2515" s="3"/>
      <c r="O2515" s="3"/>
    </row>
    <row r="2516" spans="1:15">
      <c r="A2516" s="3">
        <v>39040</v>
      </c>
      <c r="B2516" s="3">
        <v>39040</v>
      </c>
      <c r="C2516">
        <v>127.94</v>
      </c>
      <c r="D2516">
        <v>1.2827999999999999</v>
      </c>
      <c r="E2516">
        <v>58.99</v>
      </c>
      <c r="F2516">
        <v>305.75</v>
      </c>
      <c r="K2516" s="3"/>
      <c r="O2516" s="3"/>
    </row>
    <row r="2517" spans="1:15">
      <c r="A2517" s="3">
        <v>39041</v>
      </c>
      <c r="B2517" s="3">
        <v>39041</v>
      </c>
      <c r="C2517">
        <v>127.99</v>
      </c>
      <c r="D2517">
        <v>1.2816000000000001</v>
      </c>
      <c r="E2517">
        <v>58.98</v>
      </c>
      <c r="F2517">
        <v>304.14999999999998</v>
      </c>
      <c r="K2517" s="3"/>
      <c r="O2517" s="3"/>
    </row>
    <row r="2518" spans="1:15">
      <c r="A2518" s="3">
        <v>39042</v>
      </c>
      <c r="B2518" s="3">
        <v>39042</v>
      </c>
      <c r="C2518">
        <v>127.9</v>
      </c>
      <c r="D2518">
        <v>1.2845</v>
      </c>
      <c r="E2518">
        <v>60.39</v>
      </c>
      <c r="F2518">
        <v>311.55</v>
      </c>
      <c r="K2518" s="3"/>
      <c r="O2518" s="3"/>
    </row>
    <row r="2519" spans="1:15">
      <c r="A2519" s="3">
        <v>39043</v>
      </c>
      <c r="B2519" s="3">
        <v>39043</v>
      </c>
      <c r="C2519">
        <v>127.87</v>
      </c>
      <c r="D2519">
        <v>1.2944</v>
      </c>
      <c r="E2519">
        <v>59.49</v>
      </c>
      <c r="F2519">
        <v>311.10000000000002</v>
      </c>
      <c r="K2519" s="3"/>
      <c r="O2519" s="3"/>
    </row>
    <row r="2520" spans="1:15">
      <c r="A2520" s="3">
        <v>39044</v>
      </c>
      <c r="B2520" s="3">
        <v>39044</v>
      </c>
      <c r="C2520">
        <v>127.9</v>
      </c>
      <c r="D2520">
        <v>1.2945</v>
      </c>
      <c r="E2520">
        <v>59.35</v>
      </c>
      <c r="F2520">
        <v>311.10000000000002</v>
      </c>
      <c r="K2520" s="3"/>
      <c r="O2520" s="3"/>
    </row>
    <row r="2521" spans="1:15">
      <c r="A2521" s="3">
        <v>39045</v>
      </c>
      <c r="B2521" s="3">
        <v>39045</v>
      </c>
      <c r="C2521">
        <v>127.94</v>
      </c>
      <c r="D2521">
        <v>1.3093999999999999</v>
      </c>
      <c r="E2521">
        <v>60.03</v>
      </c>
      <c r="F2521">
        <v>311.10000000000002</v>
      </c>
      <c r="K2521" s="3"/>
      <c r="O2521" s="3"/>
    </row>
    <row r="2522" spans="1:15">
      <c r="A2522" s="3">
        <v>39046</v>
      </c>
      <c r="B2522" s="3">
        <v>39046</v>
      </c>
      <c r="C2522">
        <v>127.94</v>
      </c>
      <c r="D2522">
        <v>1.3093999999999999</v>
      </c>
      <c r="E2522">
        <v>60.03</v>
      </c>
      <c r="F2522">
        <v>311.10000000000002</v>
      </c>
      <c r="K2522" s="3"/>
      <c r="O2522" s="3"/>
    </row>
    <row r="2523" spans="1:15">
      <c r="A2523" s="3">
        <v>39047</v>
      </c>
      <c r="B2523" s="3">
        <v>39047</v>
      </c>
      <c r="C2523">
        <v>127.94</v>
      </c>
      <c r="D2523">
        <v>1.3093999999999999</v>
      </c>
      <c r="E2523">
        <v>60.03</v>
      </c>
      <c r="F2523">
        <v>311.10000000000002</v>
      </c>
      <c r="K2523" s="3"/>
      <c r="O2523" s="3"/>
    </row>
    <row r="2524" spans="1:15">
      <c r="A2524" s="3">
        <v>39048</v>
      </c>
      <c r="B2524" s="3">
        <v>39048</v>
      </c>
      <c r="C2524">
        <v>127.95</v>
      </c>
      <c r="D2524">
        <v>1.3133999999999999</v>
      </c>
      <c r="E2524">
        <v>60.44</v>
      </c>
      <c r="F2524">
        <v>318.75</v>
      </c>
      <c r="K2524" s="3"/>
      <c r="O2524" s="3"/>
    </row>
    <row r="2525" spans="1:15">
      <c r="A2525" s="3">
        <v>39049</v>
      </c>
      <c r="B2525" s="3">
        <v>39049</v>
      </c>
      <c r="C2525">
        <v>127.94</v>
      </c>
      <c r="D2525">
        <v>1.3199000000000001</v>
      </c>
      <c r="E2525">
        <v>61.21</v>
      </c>
      <c r="F2525">
        <v>313.8</v>
      </c>
      <c r="K2525" s="3"/>
      <c r="O2525" s="3"/>
    </row>
    <row r="2526" spans="1:15">
      <c r="A2526" s="3">
        <v>39050</v>
      </c>
      <c r="B2526" s="3">
        <v>39050</v>
      </c>
      <c r="C2526">
        <v>127.94</v>
      </c>
      <c r="D2526">
        <v>1.3154999999999999</v>
      </c>
      <c r="E2526">
        <v>63.07</v>
      </c>
      <c r="F2526">
        <v>312.8</v>
      </c>
      <c r="K2526" s="3"/>
      <c r="O2526" s="3"/>
    </row>
    <row r="2527" spans="1:15">
      <c r="A2527" s="3">
        <v>39051</v>
      </c>
      <c r="B2527" s="3">
        <v>39051</v>
      </c>
      <c r="C2527">
        <v>127.95</v>
      </c>
      <c r="D2527">
        <v>1.3242</v>
      </c>
      <c r="E2527">
        <v>64.260000000000005</v>
      </c>
      <c r="F2527">
        <v>317.14999999999998</v>
      </c>
      <c r="K2527" s="3"/>
      <c r="O2527" s="3"/>
    </row>
    <row r="2528" spans="1:15">
      <c r="A2528" s="3">
        <v>39052</v>
      </c>
      <c r="B2528" s="3">
        <v>39052</v>
      </c>
      <c r="C2528">
        <v>127.95</v>
      </c>
      <c r="D2528">
        <v>1.3337000000000001</v>
      </c>
      <c r="E2528">
        <v>64.62</v>
      </c>
      <c r="F2528">
        <v>314.7</v>
      </c>
      <c r="K2528" s="3"/>
      <c r="O2528" s="3"/>
    </row>
    <row r="2529" spans="1:15">
      <c r="A2529" s="3">
        <v>39053</v>
      </c>
      <c r="B2529" s="3">
        <v>39053</v>
      </c>
      <c r="C2529">
        <v>127.95</v>
      </c>
      <c r="D2529">
        <v>1.3337000000000001</v>
      </c>
      <c r="E2529">
        <v>64.62</v>
      </c>
      <c r="F2529">
        <v>314.7</v>
      </c>
      <c r="K2529" s="3"/>
      <c r="O2529" s="3"/>
    </row>
    <row r="2530" spans="1:15">
      <c r="A2530" s="3">
        <v>39054</v>
      </c>
      <c r="B2530" s="3">
        <v>39054</v>
      </c>
      <c r="C2530">
        <v>127.95</v>
      </c>
      <c r="D2530">
        <v>1.3337000000000001</v>
      </c>
      <c r="E2530">
        <v>64.62</v>
      </c>
      <c r="F2530">
        <v>314.7</v>
      </c>
      <c r="K2530" s="3"/>
      <c r="O2530" s="3"/>
    </row>
    <row r="2531" spans="1:15">
      <c r="A2531" s="3">
        <v>39055</v>
      </c>
      <c r="B2531" s="3">
        <v>39055</v>
      </c>
      <c r="C2531">
        <v>127.9</v>
      </c>
      <c r="D2531">
        <v>1.3343</v>
      </c>
      <c r="E2531">
        <v>63.45</v>
      </c>
      <c r="F2531">
        <v>315.7</v>
      </c>
      <c r="K2531" s="3"/>
      <c r="O2531" s="3"/>
    </row>
    <row r="2532" spans="1:15">
      <c r="A2532" s="3">
        <v>39056</v>
      </c>
      <c r="B2532" s="3">
        <v>39056</v>
      </c>
      <c r="C2532">
        <v>127.95</v>
      </c>
      <c r="D2532">
        <v>1.3315999999999999</v>
      </c>
      <c r="E2532">
        <v>63.32</v>
      </c>
      <c r="F2532">
        <v>323.45</v>
      </c>
      <c r="K2532" s="3"/>
      <c r="O2532" s="3"/>
    </row>
    <row r="2533" spans="1:15">
      <c r="A2533" s="3">
        <v>39057</v>
      </c>
      <c r="B2533" s="3">
        <v>39057</v>
      </c>
      <c r="C2533">
        <v>127.97</v>
      </c>
      <c r="D2533">
        <v>1.3287</v>
      </c>
      <c r="E2533">
        <v>63.07</v>
      </c>
      <c r="F2533">
        <v>314.89999999999998</v>
      </c>
      <c r="K2533" s="3"/>
      <c r="O2533" s="3"/>
    </row>
    <row r="2534" spans="1:15">
      <c r="A2534" s="3">
        <v>39058</v>
      </c>
      <c r="B2534" s="3">
        <v>39058</v>
      </c>
      <c r="C2534">
        <v>127.98</v>
      </c>
      <c r="D2534">
        <v>1.3287</v>
      </c>
      <c r="E2534">
        <v>62.57</v>
      </c>
      <c r="F2534">
        <v>309.39999999999998</v>
      </c>
      <c r="K2534" s="3"/>
      <c r="O2534" s="3"/>
    </row>
    <row r="2535" spans="1:15">
      <c r="A2535" s="3">
        <v>39059</v>
      </c>
      <c r="B2535" s="3">
        <v>39059</v>
      </c>
      <c r="C2535">
        <v>128</v>
      </c>
      <c r="D2535">
        <v>1.3202</v>
      </c>
      <c r="E2535">
        <v>62.2</v>
      </c>
      <c r="F2535">
        <v>310.7</v>
      </c>
      <c r="K2535" s="3"/>
      <c r="O2535" s="3"/>
    </row>
    <row r="2536" spans="1:15">
      <c r="A2536" s="3">
        <v>39060</v>
      </c>
      <c r="B2536" s="3">
        <v>39060</v>
      </c>
      <c r="C2536">
        <v>128</v>
      </c>
      <c r="D2536">
        <v>1.3202</v>
      </c>
      <c r="E2536">
        <v>62.2</v>
      </c>
      <c r="F2536">
        <v>310.7</v>
      </c>
      <c r="K2536" s="3"/>
      <c r="O2536" s="3"/>
    </row>
    <row r="2537" spans="1:15">
      <c r="A2537" s="3">
        <v>39061</v>
      </c>
      <c r="B2537" s="3">
        <v>39061</v>
      </c>
      <c r="C2537">
        <v>128</v>
      </c>
      <c r="D2537">
        <v>1.3202</v>
      </c>
      <c r="E2537">
        <v>62.2</v>
      </c>
      <c r="F2537">
        <v>310.7</v>
      </c>
      <c r="K2537" s="3"/>
      <c r="O2537" s="3"/>
    </row>
    <row r="2538" spans="1:15">
      <c r="A2538" s="3">
        <v>39062</v>
      </c>
      <c r="B2538" s="3">
        <v>39062</v>
      </c>
      <c r="C2538">
        <v>127.99</v>
      </c>
      <c r="D2538">
        <v>1.3237000000000001</v>
      </c>
      <c r="E2538">
        <v>61.84</v>
      </c>
      <c r="F2538">
        <v>312</v>
      </c>
      <c r="K2538" s="3"/>
      <c r="O2538" s="3"/>
    </row>
    <row r="2539" spans="1:15">
      <c r="A2539" s="3">
        <v>39063</v>
      </c>
      <c r="B2539" s="3">
        <v>39063</v>
      </c>
      <c r="C2539">
        <v>128.01</v>
      </c>
      <c r="D2539">
        <v>1.3285</v>
      </c>
      <c r="E2539">
        <v>61.52</v>
      </c>
      <c r="F2539">
        <v>308.45</v>
      </c>
      <c r="K2539" s="3"/>
      <c r="O2539" s="3"/>
    </row>
    <row r="2540" spans="1:15">
      <c r="A2540" s="3">
        <v>39064</v>
      </c>
      <c r="B2540" s="3">
        <v>39064</v>
      </c>
      <c r="C2540">
        <v>127.97</v>
      </c>
      <c r="D2540">
        <v>1.3213999999999999</v>
      </c>
      <c r="E2540">
        <v>61.33</v>
      </c>
      <c r="F2540">
        <v>302.45</v>
      </c>
      <c r="K2540" s="3"/>
      <c r="O2540" s="3"/>
    </row>
    <row r="2541" spans="1:15">
      <c r="A2541" s="3">
        <v>39065</v>
      </c>
      <c r="B2541" s="3">
        <v>39065</v>
      </c>
      <c r="C2541">
        <v>127.92</v>
      </c>
      <c r="D2541">
        <v>1.3143</v>
      </c>
      <c r="E2541">
        <v>62.12</v>
      </c>
      <c r="F2541">
        <v>304.5</v>
      </c>
      <c r="K2541" s="3"/>
      <c r="O2541" s="3"/>
    </row>
    <row r="2542" spans="1:15">
      <c r="A2542" s="3">
        <v>39066</v>
      </c>
      <c r="B2542" s="3">
        <v>39066</v>
      </c>
      <c r="C2542">
        <v>127.84</v>
      </c>
      <c r="D2542">
        <v>1.3080000000000001</v>
      </c>
      <c r="E2542">
        <v>63.49</v>
      </c>
      <c r="F2542">
        <v>300.39999999999998</v>
      </c>
      <c r="K2542" s="3"/>
      <c r="O2542" s="3"/>
    </row>
    <row r="2543" spans="1:15">
      <c r="A2543" s="3">
        <v>39067</v>
      </c>
      <c r="B2543" s="3">
        <v>39067</v>
      </c>
      <c r="C2543">
        <v>127.84</v>
      </c>
      <c r="D2543">
        <v>1.3080000000000001</v>
      </c>
      <c r="E2543">
        <v>63.49</v>
      </c>
      <c r="F2543">
        <v>300.39999999999998</v>
      </c>
      <c r="K2543" s="3"/>
      <c r="O2543" s="3"/>
    </row>
    <row r="2544" spans="1:15">
      <c r="A2544" s="3">
        <v>39068</v>
      </c>
      <c r="B2544" s="3">
        <v>39068</v>
      </c>
      <c r="C2544">
        <v>127.84</v>
      </c>
      <c r="D2544">
        <v>1.3080000000000001</v>
      </c>
      <c r="E2544">
        <v>63.49</v>
      </c>
      <c r="F2544">
        <v>300.39999999999998</v>
      </c>
      <c r="K2544" s="3"/>
      <c r="O2544" s="3"/>
    </row>
    <row r="2545" spans="1:15">
      <c r="A2545" s="3">
        <v>39069</v>
      </c>
      <c r="B2545" s="3">
        <v>39069</v>
      </c>
      <c r="C2545">
        <v>127.84</v>
      </c>
      <c r="D2545">
        <v>1.3098000000000001</v>
      </c>
      <c r="E2545">
        <v>62.13</v>
      </c>
      <c r="F2545">
        <v>301.7</v>
      </c>
      <c r="K2545" s="3"/>
      <c r="O2545" s="3"/>
    </row>
    <row r="2546" spans="1:15">
      <c r="A2546" s="3">
        <v>39070</v>
      </c>
      <c r="B2546" s="3">
        <v>39070</v>
      </c>
      <c r="C2546">
        <v>127.84</v>
      </c>
      <c r="D2546">
        <v>1.3197000000000001</v>
      </c>
      <c r="E2546">
        <v>62.81</v>
      </c>
      <c r="F2546">
        <v>300.25</v>
      </c>
      <c r="K2546" s="3"/>
      <c r="O2546" s="3"/>
    </row>
    <row r="2547" spans="1:15">
      <c r="A2547" s="3">
        <v>39071</v>
      </c>
      <c r="B2547" s="3">
        <v>39071</v>
      </c>
      <c r="C2547">
        <v>127.81</v>
      </c>
      <c r="D2547">
        <v>1.3172999999999999</v>
      </c>
      <c r="E2547">
        <v>63.23</v>
      </c>
      <c r="F2547">
        <v>293.95</v>
      </c>
      <c r="K2547" s="3"/>
      <c r="O2547" s="3"/>
    </row>
    <row r="2548" spans="1:15">
      <c r="A2548" s="3">
        <v>39072</v>
      </c>
      <c r="B2548" s="3">
        <v>39072</v>
      </c>
      <c r="C2548">
        <v>128</v>
      </c>
      <c r="D2548">
        <v>1.3176000000000001</v>
      </c>
      <c r="E2548">
        <v>62.46</v>
      </c>
      <c r="F2548">
        <v>286.05</v>
      </c>
      <c r="K2548" s="3"/>
      <c r="O2548" s="3"/>
    </row>
    <row r="2549" spans="1:15">
      <c r="A2549" s="3">
        <v>39073</v>
      </c>
      <c r="B2549" s="3">
        <v>39073</v>
      </c>
      <c r="C2549">
        <v>128</v>
      </c>
      <c r="D2549">
        <v>1.3128</v>
      </c>
      <c r="E2549">
        <v>62.42</v>
      </c>
      <c r="F2549">
        <v>283</v>
      </c>
      <c r="K2549" s="3"/>
      <c r="O2549" s="3"/>
    </row>
    <row r="2550" spans="1:15">
      <c r="A2550" s="3">
        <v>39074</v>
      </c>
      <c r="B2550" s="3">
        <v>39074</v>
      </c>
      <c r="C2550">
        <v>128</v>
      </c>
      <c r="D2550">
        <v>1.3128</v>
      </c>
      <c r="E2550">
        <v>62.42</v>
      </c>
      <c r="F2550">
        <v>283</v>
      </c>
      <c r="K2550" s="3"/>
      <c r="O2550" s="3"/>
    </row>
    <row r="2551" spans="1:15">
      <c r="A2551" s="3">
        <v>39075</v>
      </c>
      <c r="B2551" s="3">
        <v>39075</v>
      </c>
      <c r="C2551">
        <v>128</v>
      </c>
      <c r="D2551">
        <v>1.3128</v>
      </c>
      <c r="E2551">
        <v>62.42</v>
      </c>
      <c r="F2551">
        <v>283</v>
      </c>
      <c r="K2551" s="3"/>
      <c r="O2551" s="3"/>
    </row>
    <row r="2552" spans="1:15">
      <c r="A2552" s="3">
        <v>39076</v>
      </c>
      <c r="B2552" s="3">
        <v>39076</v>
      </c>
      <c r="C2552">
        <v>127.75</v>
      </c>
      <c r="D2552">
        <v>1.3121</v>
      </c>
      <c r="E2552">
        <v>62.42</v>
      </c>
      <c r="F2552">
        <v>283</v>
      </c>
      <c r="K2552" s="3"/>
      <c r="O2552" s="3"/>
    </row>
    <row r="2553" spans="1:15">
      <c r="A2553" s="3">
        <v>39077</v>
      </c>
      <c r="B2553" s="3">
        <v>39077</v>
      </c>
      <c r="C2553">
        <v>127.83</v>
      </c>
      <c r="D2553">
        <v>1.3097000000000001</v>
      </c>
      <c r="E2553">
        <v>61.1</v>
      </c>
      <c r="F2553">
        <v>285.05</v>
      </c>
      <c r="K2553" s="3"/>
      <c r="O2553" s="3"/>
    </row>
    <row r="2554" spans="1:15">
      <c r="A2554" s="3">
        <v>39078</v>
      </c>
      <c r="B2554" s="3">
        <v>39078</v>
      </c>
      <c r="C2554">
        <v>127.58</v>
      </c>
      <c r="D2554">
        <v>1.3113999999999999</v>
      </c>
      <c r="E2554">
        <v>60.52</v>
      </c>
      <c r="F2554">
        <v>288.2</v>
      </c>
      <c r="K2554" s="3"/>
      <c r="O2554" s="3"/>
    </row>
    <row r="2555" spans="1:15">
      <c r="A2555" s="3">
        <v>39079</v>
      </c>
      <c r="B2555" s="3">
        <v>39079</v>
      </c>
      <c r="C2555">
        <v>127.22</v>
      </c>
      <c r="D2555">
        <v>1.3149999999999999</v>
      </c>
      <c r="E2555">
        <v>60.67</v>
      </c>
      <c r="F2555">
        <v>289.5</v>
      </c>
      <c r="K2555" s="3"/>
      <c r="O2555" s="3"/>
    </row>
    <row r="2556" spans="1:15">
      <c r="A2556" s="3">
        <v>39080</v>
      </c>
      <c r="B2556" s="3">
        <v>39080</v>
      </c>
      <c r="C2556">
        <v>126.8</v>
      </c>
      <c r="D2556">
        <v>1.3197000000000001</v>
      </c>
      <c r="E2556">
        <v>60.86</v>
      </c>
      <c r="F2556">
        <v>287.10000000000002</v>
      </c>
      <c r="K2556" s="3"/>
      <c r="O2556" s="3"/>
    </row>
    <row r="2557" spans="1:15">
      <c r="A2557" s="3">
        <v>39081</v>
      </c>
      <c r="B2557" s="3">
        <v>39081</v>
      </c>
      <c r="C2557">
        <v>126.8</v>
      </c>
      <c r="D2557">
        <v>1.3197000000000001</v>
      </c>
      <c r="E2557">
        <v>60.86</v>
      </c>
      <c r="F2557">
        <v>287.10000000000002</v>
      </c>
      <c r="K2557" s="3"/>
      <c r="O2557" s="3"/>
    </row>
    <row r="2558" spans="1:15">
      <c r="A2558" s="3">
        <v>39082</v>
      </c>
      <c r="B2558" s="3">
        <v>39082</v>
      </c>
      <c r="C2558">
        <v>126.8</v>
      </c>
      <c r="D2558">
        <v>1.3197000000000001</v>
      </c>
      <c r="E2558">
        <v>60.86</v>
      </c>
      <c r="F2558">
        <v>287.10000000000002</v>
      </c>
      <c r="K2558" s="3"/>
      <c r="O2558" s="3"/>
    </row>
    <row r="2559" spans="1:15">
      <c r="A2559" s="3">
        <v>39083</v>
      </c>
      <c r="B2559" s="3">
        <v>39083</v>
      </c>
      <c r="C2559">
        <v>126.8</v>
      </c>
      <c r="D2559">
        <v>1.3201000000000001</v>
      </c>
      <c r="E2559">
        <v>60.86</v>
      </c>
      <c r="F2559">
        <v>287.10000000000002</v>
      </c>
      <c r="K2559" s="3"/>
      <c r="O2559" s="3"/>
    </row>
    <row r="2560" spans="1:15">
      <c r="A2560" s="3">
        <v>39084</v>
      </c>
      <c r="B2560" s="3">
        <v>39084</v>
      </c>
      <c r="C2560">
        <v>126.82</v>
      </c>
      <c r="D2560">
        <v>1.3272999999999999</v>
      </c>
      <c r="E2560">
        <v>60.44</v>
      </c>
      <c r="F2560">
        <v>287.10000000000002</v>
      </c>
      <c r="K2560" s="3"/>
      <c r="O2560" s="3"/>
    </row>
    <row r="2561" spans="1:15">
      <c r="A2561" s="3">
        <v>39085</v>
      </c>
      <c r="B2561" s="3">
        <v>39085</v>
      </c>
      <c r="C2561">
        <v>126.44</v>
      </c>
      <c r="D2561">
        <v>1.3169</v>
      </c>
      <c r="E2561">
        <v>57.96</v>
      </c>
      <c r="F2561">
        <v>264.89999999999998</v>
      </c>
      <c r="K2561" s="3"/>
      <c r="O2561" s="3"/>
    </row>
    <row r="2562" spans="1:15">
      <c r="A2562" s="3">
        <v>39086</v>
      </c>
      <c r="B2562" s="3">
        <v>39086</v>
      </c>
      <c r="C2562">
        <v>125.92</v>
      </c>
      <c r="D2562">
        <v>1.3084</v>
      </c>
      <c r="E2562">
        <v>55.11</v>
      </c>
      <c r="F2562">
        <v>260.2</v>
      </c>
      <c r="K2562" s="3"/>
      <c r="O2562" s="3"/>
    </row>
    <row r="2563" spans="1:15">
      <c r="A2563" s="3">
        <v>39087</v>
      </c>
      <c r="B2563" s="3">
        <v>39087</v>
      </c>
      <c r="C2563">
        <v>126.03</v>
      </c>
      <c r="D2563">
        <v>1.3002</v>
      </c>
      <c r="E2563">
        <v>55.64</v>
      </c>
      <c r="F2563">
        <v>253.5</v>
      </c>
      <c r="K2563" s="3"/>
      <c r="O2563" s="3"/>
    </row>
    <row r="2564" spans="1:15">
      <c r="A2564" s="3">
        <v>39088</v>
      </c>
      <c r="B2564" s="3">
        <v>39088</v>
      </c>
      <c r="C2564">
        <v>126.03</v>
      </c>
      <c r="D2564">
        <v>1.3002</v>
      </c>
      <c r="E2564">
        <v>55.64</v>
      </c>
      <c r="F2564">
        <v>253.5</v>
      </c>
      <c r="K2564" s="3"/>
      <c r="O2564" s="3"/>
    </row>
    <row r="2565" spans="1:15">
      <c r="A2565" s="3">
        <v>39089</v>
      </c>
      <c r="B2565" s="3">
        <v>39089</v>
      </c>
      <c r="C2565">
        <v>126.03</v>
      </c>
      <c r="D2565">
        <v>1.3002</v>
      </c>
      <c r="E2565">
        <v>55.64</v>
      </c>
      <c r="F2565">
        <v>253.5</v>
      </c>
      <c r="K2565" s="3"/>
      <c r="O2565" s="3"/>
    </row>
    <row r="2566" spans="1:15">
      <c r="A2566" s="3">
        <v>39090</v>
      </c>
      <c r="B2566" s="3">
        <v>39090</v>
      </c>
      <c r="C2566">
        <v>125.29</v>
      </c>
      <c r="D2566">
        <v>1.3024</v>
      </c>
      <c r="E2566">
        <v>55.6</v>
      </c>
      <c r="F2566">
        <v>252.8</v>
      </c>
      <c r="K2566" s="3"/>
      <c r="O2566" s="3"/>
    </row>
    <row r="2567" spans="1:15">
      <c r="A2567" s="3">
        <v>39091</v>
      </c>
      <c r="B2567" s="3">
        <v>39091</v>
      </c>
      <c r="C2567">
        <v>125.29</v>
      </c>
      <c r="D2567">
        <v>1.3</v>
      </c>
      <c r="E2567">
        <v>55.18</v>
      </c>
      <c r="F2567">
        <v>255.6</v>
      </c>
      <c r="K2567" s="3"/>
      <c r="O2567" s="3"/>
    </row>
    <row r="2568" spans="1:15">
      <c r="A2568" s="3">
        <v>39092</v>
      </c>
      <c r="B2568" s="3">
        <v>39092</v>
      </c>
      <c r="C2568">
        <v>125.39</v>
      </c>
      <c r="D2568">
        <v>1.2938000000000001</v>
      </c>
      <c r="E2568">
        <v>53.69</v>
      </c>
      <c r="F2568">
        <v>266.39999999999998</v>
      </c>
      <c r="K2568" s="3"/>
      <c r="O2568" s="3"/>
    </row>
    <row r="2569" spans="1:15">
      <c r="A2569" s="3">
        <v>39093</v>
      </c>
      <c r="B2569" s="3">
        <v>39093</v>
      </c>
      <c r="C2569">
        <v>125.58</v>
      </c>
      <c r="D2569">
        <v>1.2892999999999999</v>
      </c>
      <c r="E2569">
        <v>51.7</v>
      </c>
      <c r="F2569">
        <v>265.89999999999998</v>
      </c>
      <c r="K2569" s="3"/>
      <c r="O2569" s="3"/>
    </row>
    <row r="2570" spans="1:15">
      <c r="A2570" s="3">
        <v>39094</v>
      </c>
      <c r="B2570" s="3">
        <v>39094</v>
      </c>
      <c r="C2570">
        <v>125.33</v>
      </c>
      <c r="D2570">
        <v>1.2923</v>
      </c>
      <c r="E2570">
        <v>52.95</v>
      </c>
      <c r="F2570">
        <v>260.3</v>
      </c>
      <c r="K2570" s="3"/>
      <c r="O2570" s="3"/>
    </row>
    <row r="2571" spans="1:15">
      <c r="A2571" s="3">
        <v>39095</v>
      </c>
      <c r="B2571" s="3">
        <v>39095</v>
      </c>
      <c r="C2571">
        <v>125.33</v>
      </c>
      <c r="D2571">
        <v>1.2923</v>
      </c>
      <c r="E2571">
        <v>52.95</v>
      </c>
      <c r="F2571">
        <v>260.3</v>
      </c>
      <c r="K2571" s="3"/>
      <c r="O2571" s="3"/>
    </row>
    <row r="2572" spans="1:15">
      <c r="A2572" s="3">
        <v>39096</v>
      </c>
      <c r="B2572" s="3">
        <v>39096</v>
      </c>
      <c r="C2572">
        <v>125.33</v>
      </c>
      <c r="D2572">
        <v>1.2923</v>
      </c>
      <c r="E2572">
        <v>52.95</v>
      </c>
      <c r="F2572">
        <v>260.3</v>
      </c>
      <c r="K2572" s="3"/>
      <c r="O2572" s="3"/>
    </row>
    <row r="2573" spans="1:15">
      <c r="A2573" s="3">
        <v>39097</v>
      </c>
      <c r="B2573" s="3">
        <v>39097</v>
      </c>
      <c r="C2573">
        <v>125.2</v>
      </c>
      <c r="D2573">
        <v>1.2938000000000001</v>
      </c>
      <c r="E2573">
        <v>53.12</v>
      </c>
      <c r="F2573">
        <v>260.3</v>
      </c>
      <c r="K2573" s="3"/>
      <c r="O2573" s="3"/>
    </row>
    <row r="2574" spans="1:15">
      <c r="A2574" s="3">
        <v>39098</v>
      </c>
      <c r="B2574" s="3">
        <v>39098</v>
      </c>
      <c r="C2574">
        <v>125.27</v>
      </c>
      <c r="D2574">
        <v>1.2918000000000001</v>
      </c>
      <c r="E2574">
        <v>52.26</v>
      </c>
      <c r="F2574">
        <v>257.75</v>
      </c>
      <c r="K2574" s="3"/>
      <c r="O2574" s="3"/>
    </row>
    <row r="2575" spans="1:15">
      <c r="A2575" s="3">
        <v>39099</v>
      </c>
      <c r="B2575" s="3">
        <v>39099</v>
      </c>
      <c r="C2575">
        <v>124.98</v>
      </c>
      <c r="D2575">
        <v>1.2938000000000001</v>
      </c>
      <c r="E2575">
        <v>52.78</v>
      </c>
      <c r="F2575">
        <v>256.95</v>
      </c>
      <c r="K2575" s="3"/>
      <c r="O2575" s="3"/>
    </row>
    <row r="2576" spans="1:15">
      <c r="A2576" s="3">
        <v>39100</v>
      </c>
      <c r="B2576" s="3">
        <v>39100</v>
      </c>
      <c r="C2576">
        <v>124.83</v>
      </c>
      <c r="D2576">
        <v>1.2963</v>
      </c>
      <c r="E2576">
        <v>51.75</v>
      </c>
      <c r="F2576">
        <v>249.2</v>
      </c>
      <c r="K2576" s="3"/>
      <c r="O2576" s="3"/>
    </row>
    <row r="2577" spans="1:15">
      <c r="A2577" s="3">
        <v>39101</v>
      </c>
      <c r="B2577" s="3">
        <v>39101</v>
      </c>
      <c r="C2577">
        <v>124.92</v>
      </c>
      <c r="D2577">
        <v>1.2957000000000001</v>
      </c>
      <c r="E2577">
        <v>53.44</v>
      </c>
      <c r="F2577">
        <v>252.8</v>
      </c>
      <c r="K2577" s="3"/>
      <c r="O2577" s="3"/>
    </row>
    <row r="2578" spans="1:15">
      <c r="A2578" s="3">
        <v>39102</v>
      </c>
      <c r="B2578" s="3">
        <v>39102</v>
      </c>
      <c r="C2578">
        <v>124.92</v>
      </c>
      <c r="D2578">
        <v>1.2957000000000001</v>
      </c>
      <c r="E2578">
        <v>53.44</v>
      </c>
      <c r="F2578">
        <v>252.8</v>
      </c>
      <c r="K2578" s="3"/>
      <c r="O2578" s="3"/>
    </row>
    <row r="2579" spans="1:15">
      <c r="A2579" s="3">
        <v>39103</v>
      </c>
      <c r="B2579" s="3">
        <v>39103</v>
      </c>
      <c r="C2579">
        <v>124.92</v>
      </c>
      <c r="D2579">
        <v>1.2957000000000001</v>
      </c>
      <c r="E2579">
        <v>53.44</v>
      </c>
      <c r="F2579">
        <v>252.8</v>
      </c>
      <c r="K2579" s="3"/>
      <c r="O2579" s="3"/>
    </row>
    <row r="2580" spans="1:15">
      <c r="A2580" s="3">
        <v>39104</v>
      </c>
      <c r="B2580" s="3">
        <v>39104</v>
      </c>
      <c r="C2580">
        <v>125.75</v>
      </c>
      <c r="D2580">
        <v>1.2950999999999999</v>
      </c>
      <c r="E2580">
        <v>52.7</v>
      </c>
      <c r="F2580">
        <v>252.95</v>
      </c>
      <c r="K2580" s="3"/>
      <c r="O2580" s="3"/>
    </row>
    <row r="2581" spans="1:15">
      <c r="A2581" s="3">
        <v>39105</v>
      </c>
      <c r="B2581" s="3">
        <v>39105</v>
      </c>
      <c r="C2581">
        <v>125.73</v>
      </c>
      <c r="D2581">
        <v>1.3026</v>
      </c>
      <c r="E2581">
        <v>55.1</v>
      </c>
      <c r="F2581">
        <v>257.95</v>
      </c>
      <c r="K2581" s="3"/>
      <c r="O2581" s="3"/>
    </row>
    <row r="2582" spans="1:15">
      <c r="A2582" s="3">
        <v>39106</v>
      </c>
      <c r="B2582" s="3">
        <v>39106</v>
      </c>
      <c r="C2582">
        <v>125.69</v>
      </c>
      <c r="D2582">
        <v>1.2969999999999999</v>
      </c>
      <c r="E2582">
        <v>55.43</v>
      </c>
      <c r="F2582">
        <v>260.14999999999998</v>
      </c>
      <c r="K2582" s="3"/>
      <c r="O2582" s="3"/>
    </row>
    <row r="2583" spans="1:15">
      <c r="A2583" s="3">
        <v>39107</v>
      </c>
      <c r="B2583" s="3">
        <v>39107</v>
      </c>
      <c r="C2583">
        <v>126.15</v>
      </c>
      <c r="D2583">
        <v>1.2930999999999999</v>
      </c>
      <c r="E2583">
        <v>54.12</v>
      </c>
      <c r="F2583">
        <v>265.45</v>
      </c>
      <c r="K2583" s="3"/>
      <c r="O2583" s="3"/>
    </row>
    <row r="2584" spans="1:15">
      <c r="A2584" s="3">
        <v>39108</v>
      </c>
      <c r="B2584" s="3">
        <v>39108</v>
      </c>
      <c r="C2584">
        <v>126.14</v>
      </c>
      <c r="D2584">
        <v>1.2916000000000001</v>
      </c>
      <c r="E2584">
        <v>55.29</v>
      </c>
      <c r="F2584">
        <v>264.05</v>
      </c>
      <c r="K2584" s="3"/>
      <c r="O2584" s="3"/>
    </row>
    <row r="2585" spans="1:15">
      <c r="A2585" s="3">
        <v>39109</v>
      </c>
      <c r="B2585" s="3">
        <v>39109</v>
      </c>
      <c r="C2585">
        <v>126.14</v>
      </c>
      <c r="D2585">
        <v>1.2916000000000001</v>
      </c>
      <c r="E2585">
        <v>55.29</v>
      </c>
      <c r="F2585">
        <v>264.05</v>
      </c>
      <c r="K2585" s="3"/>
      <c r="O2585" s="3"/>
    </row>
    <row r="2586" spans="1:15">
      <c r="A2586" s="3">
        <v>39110</v>
      </c>
      <c r="B2586" s="3">
        <v>39110</v>
      </c>
      <c r="C2586">
        <v>126.14</v>
      </c>
      <c r="D2586">
        <v>1.2916000000000001</v>
      </c>
      <c r="E2586">
        <v>55.29</v>
      </c>
      <c r="F2586">
        <v>264.05</v>
      </c>
      <c r="K2586" s="3"/>
      <c r="O2586" s="3"/>
    </row>
    <row r="2587" spans="1:15">
      <c r="A2587" s="3">
        <v>39111</v>
      </c>
      <c r="B2587" s="3">
        <v>39111</v>
      </c>
      <c r="C2587">
        <v>126.13</v>
      </c>
      <c r="D2587">
        <v>1.2957000000000001</v>
      </c>
      <c r="E2587">
        <v>53.68</v>
      </c>
      <c r="F2587">
        <v>254.2</v>
      </c>
      <c r="K2587" s="3"/>
      <c r="O2587" s="3"/>
    </row>
    <row r="2588" spans="1:15">
      <c r="A2588" s="3">
        <v>39112</v>
      </c>
      <c r="B2588" s="3">
        <v>39112</v>
      </c>
      <c r="C2588">
        <v>126.29</v>
      </c>
      <c r="D2588">
        <v>1.2969999999999999</v>
      </c>
      <c r="E2588">
        <v>56.39</v>
      </c>
      <c r="F2588">
        <v>256.14999999999998</v>
      </c>
      <c r="K2588" s="3"/>
      <c r="O2588" s="3"/>
    </row>
    <row r="2589" spans="1:15">
      <c r="A2589" s="3">
        <v>39113</v>
      </c>
      <c r="B2589" s="3">
        <v>39113</v>
      </c>
      <c r="C2589">
        <v>126.08</v>
      </c>
      <c r="D2589">
        <v>1.3031999999999999</v>
      </c>
      <c r="E2589">
        <v>57.4</v>
      </c>
      <c r="F2589">
        <v>259.45</v>
      </c>
      <c r="K2589" s="3"/>
      <c r="O2589" s="3"/>
    </row>
    <row r="2590" spans="1:15">
      <c r="A2590" s="3">
        <v>39114</v>
      </c>
      <c r="B2590" s="3">
        <v>39114</v>
      </c>
      <c r="C2590">
        <v>126.08</v>
      </c>
      <c r="D2590">
        <v>1.3022</v>
      </c>
      <c r="E2590">
        <v>56.72</v>
      </c>
      <c r="F2590">
        <v>253.05</v>
      </c>
      <c r="K2590" s="3"/>
      <c r="O2590" s="3"/>
    </row>
    <row r="2591" spans="1:15">
      <c r="A2591" s="3">
        <v>39115</v>
      </c>
      <c r="B2591" s="3">
        <v>39115</v>
      </c>
      <c r="C2591">
        <v>125.5</v>
      </c>
      <c r="D2591">
        <v>1.2961</v>
      </c>
      <c r="E2591">
        <v>58.41</v>
      </c>
      <c r="F2591">
        <v>242.3</v>
      </c>
      <c r="K2591" s="3"/>
      <c r="O2591" s="3"/>
    </row>
    <row r="2592" spans="1:15">
      <c r="A2592" s="3">
        <v>39116</v>
      </c>
      <c r="B2592" s="3">
        <v>39116</v>
      </c>
      <c r="C2592">
        <v>125.5</v>
      </c>
      <c r="D2592">
        <v>1.2961</v>
      </c>
      <c r="E2592">
        <v>58.41</v>
      </c>
      <c r="F2592">
        <v>242.3</v>
      </c>
      <c r="K2592" s="3"/>
      <c r="O2592" s="3"/>
    </row>
    <row r="2593" spans="1:15">
      <c r="A2593" s="3">
        <v>39117</v>
      </c>
      <c r="B2593" s="3">
        <v>39117</v>
      </c>
      <c r="C2593">
        <v>125.5</v>
      </c>
      <c r="D2593">
        <v>1.2961</v>
      </c>
      <c r="E2593">
        <v>58.41</v>
      </c>
      <c r="F2593">
        <v>242.3</v>
      </c>
      <c r="K2593" s="3"/>
      <c r="O2593" s="3"/>
    </row>
    <row r="2594" spans="1:15">
      <c r="A2594" s="3">
        <v>39118</v>
      </c>
      <c r="B2594" s="3">
        <v>39118</v>
      </c>
      <c r="C2594">
        <v>125.39</v>
      </c>
      <c r="D2594">
        <v>1.2928999999999999</v>
      </c>
      <c r="E2594">
        <v>58.1</v>
      </c>
      <c r="F2594">
        <v>241.65</v>
      </c>
      <c r="K2594" s="3"/>
      <c r="O2594" s="3"/>
    </row>
    <row r="2595" spans="1:15">
      <c r="A2595" s="3">
        <v>39119</v>
      </c>
      <c r="B2595" s="3">
        <v>39119</v>
      </c>
      <c r="C2595">
        <v>125.49</v>
      </c>
      <c r="D2595">
        <v>1.2985</v>
      </c>
      <c r="E2595">
        <v>58.42</v>
      </c>
      <c r="F2595">
        <v>249.65</v>
      </c>
      <c r="K2595" s="3"/>
      <c r="O2595" s="3"/>
    </row>
    <row r="2596" spans="1:15">
      <c r="A2596" s="3">
        <v>39120</v>
      </c>
      <c r="B2596" s="3">
        <v>39120</v>
      </c>
      <c r="C2596">
        <v>125.65</v>
      </c>
      <c r="D2596">
        <v>1.3011999999999999</v>
      </c>
      <c r="E2596">
        <v>57.23</v>
      </c>
      <c r="F2596">
        <v>245.5</v>
      </c>
      <c r="K2596" s="3"/>
      <c r="O2596" s="3"/>
    </row>
    <row r="2597" spans="1:15">
      <c r="A2597" s="3">
        <v>39121</v>
      </c>
      <c r="B2597" s="3">
        <v>39121</v>
      </c>
      <c r="C2597">
        <v>125.12</v>
      </c>
      <c r="D2597">
        <v>1.3042</v>
      </c>
      <c r="E2597">
        <v>59.03</v>
      </c>
      <c r="F2597">
        <v>245.05</v>
      </c>
      <c r="K2597" s="3"/>
      <c r="O2597" s="3"/>
    </row>
    <row r="2598" spans="1:15">
      <c r="A2598" s="3">
        <v>39122</v>
      </c>
      <c r="B2598" s="3">
        <v>39122</v>
      </c>
      <c r="C2598">
        <v>124.62</v>
      </c>
      <c r="D2598">
        <v>1.3008</v>
      </c>
      <c r="E2598">
        <v>59.01</v>
      </c>
      <c r="F2598">
        <v>252.05</v>
      </c>
      <c r="K2598" s="3"/>
      <c r="O2598" s="3"/>
    </row>
    <row r="2599" spans="1:15">
      <c r="A2599" s="3">
        <v>39123</v>
      </c>
      <c r="B2599" s="3">
        <v>39123</v>
      </c>
      <c r="C2599">
        <v>124.62</v>
      </c>
      <c r="D2599">
        <v>1.3008</v>
      </c>
      <c r="E2599">
        <v>59.01</v>
      </c>
      <c r="F2599">
        <v>252.05</v>
      </c>
      <c r="K2599" s="3"/>
      <c r="O2599" s="3"/>
    </row>
    <row r="2600" spans="1:15">
      <c r="A2600" s="3">
        <v>39124</v>
      </c>
      <c r="B2600" s="3">
        <v>39124</v>
      </c>
      <c r="C2600">
        <v>124.62</v>
      </c>
      <c r="D2600">
        <v>1.3008</v>
      </c>
      <c r="E2600">
        <v>59.01</v>
      </c>
      <c r="F2600">
        <v>252.05</v>
      </c>
      <c r="K2600" s="3"/>
      <c r="O2600" s="3"/>
    </row>
    <row r="2601" spans="1:15">
      <c r="A2601" s="3">
        <v>39125</v>
      </c>
      <c r="B2601" s="3">
        <v>39125</v>
      </c>
      <c r="C2601">
        <v>124.42</v>
      </c>
      <c r="D2601">
        <v>1.2966</v>
      </c>
      <c r="E2601">
        <v>56.6</v>
      </c>
      <c r="F2601">
        <v>247.75</v>
      </c>
      <c r="K2601" s="3"/>
      <c r="O2601" s="3"/>
    </row>
    <row r="2602" spans="1:15">
      <c r="A2602" s="3">
        <v>39126</v>
      </c>
      <c r="B2602" s="3">
        <v>39126</v>
      </c>
      <c r="C2602">
        <v>124.03</v>
      </c>
      <c r="D2602">
        <v>1.3039000000000001</v>
      </c>
      <c r="E2602">
        <v>57.03</v>
      </c>
      <c r="F2602">
        <v>258.45</v>
      </c>
      <c r="K2602" s="3"/>
      <c r="O2602" s="3"/>
    </row>
    <row r="2603" spans="1:15">
      <c r="A2603" s="3">
        <v>39127</v>
      </c>
      <c r="B2603" s="3">
        <v>39127</v>
      </c>
      <c r="C2603">
        <v>124.05</v>
      </c>
      <c r="D2603">
        <v>1.3130999999999999</v>
      </c>
      <c r="E2603">
        <v>57.43</v>
      </c>
      <c r="F2603">
        <v>257.7</v>
      </c>
      <c r="K2603" s="3"/>
      <c r="O2603" s="3"/>
    </row>
    <row r="2604" spans="1:15">
      <c r="A2604" s="3">
        <v>39128</v>
      </c>
      <c r="B2604" s="3">
        <v>39128</v>
      </c>
      <c r="C2604">
        <v>123.98</v>
      </c>
      <c r="D2604">
        <v>1.3141</v>
      </c>
      <c r="E2604">
        <v>57.6</v>
      </c>
      <c r="F2604">
        <v>266.39999999999998</v>
      </c>
      <c r="K2604" s="3"/>
      <c r="O2604" s="3"/>
    </row>
    <row r="2605" spans="1:15">
      <c r="A2605" s="3">
        <v>39129</v>
      </c>
      <c r="B2605" s="3">
        <v>39129</v>
      </c>
      <c r="C2605">
        <v>124.49</v>
      </c>
      <c r="D2605">
        <v>1.3138000000000001</v>
      </c>
      <c r="E2605">
        <v>58.95</v>
      </c>
      <c r="F2605">
        <v>264.39999999999998</v>
      </c>
      <c r="K2605" s="3"/>
      <c r="O2605" s="3"/>
    </row>
    <row r="2606" spans="1:15">
      <c r="A2606" s="3">
        <v>39130</v>
      </c>
      <c r="B2606" s="3">
        <v>39130</v>
      </c>
      <c r="C2606">
        <v>124.49</v>
      </c>
      <c r="D2606">
        <v>1.3138000000000001</v>
      </c>
      <c r="E2606">
        <v>58.95</v>
      </c>
      <c r="F2606">
        <v>264.39999999999998</v>
      </c>
      <c r="K2606" s="3"/>
      <c r="O2606" s="3"/>
    </row>
    <row r="2607" spans="1:15">
      <c r="A2607" s="3">
        <v>39131</v>
      </c>
      <c r="B2607" s="3">
        <v>39131</v>
      </c>
      <c r="C2607">
        <v>124.49</v>
      </c>
      <c r="D2607">
        <v>1.3138000000000001</v>
      </c>
      <c r="E2607">
        <v>58.95</v>
      </c>
      <c r="F2607">
        <v>264.39999999999998</v>
      </c>
      <c r="K2607" s="3"/>
      <c r="O2607" s="3"/>
    </row>
    <row r="2608" spans="1:15">
      <c r="A2608" s="3">
        <v>39132</v>
      </c>
      <c r="B2608" s="3">
        <v>39132</v>
      </c>
      <c r="C2608">
        <v>124.5</v>
      </c>
      <c r="D2608">
        <v>1.3156000000000001</v>
      </c>
      <c r="E2608">
        <v>58.14</v>
      </c>
      <c r="F2608">
        <v>264.39999999999998</v>
      </c>
      <c r="K2608" s="3"/>
      <c r="O2608" s="3"/>
    </row>
    <row r="2609" spans="1:15">
      <c r="A2609" s="3">
        <v>39133</v>
      </c>
      <c r="B2609" s="3">
        <v>39133</v>
      </c>
      <c r="C2609">
        <v>124.65</v>
      </c>
      <c r="D2609">
        <v>1.3138000000000001</v>
      </c>
      <c r="E2609">
        <v>57.98</v>
      </c>
      <c r="F2609">
        <v>258.60000000000002</v>
      </c>
      <c r="K2609" s="3"/>
      <c r="O2609" s="3"/>
    </row>
    <row r="2610" spans="1:15">
      <c r="A2610" s="3">
        <v>39134</v>
      </c>
      <c r="B2610" s="3">
        <v>39134</v>
      </c>
      <c r="C2610">
        <v>124.61</v>
      </c>
      <c r="D2610">
        <v>1.3139000000000001</v>
      </c>
      <c r="E2610">
        <v>59.35</v>
      </c>
      <c r="F2610">
        <v>265.45</v>
      </c>
      <c r="K2610" s="3"/>
      <c r="O2610" s="3"/>
    </row>
    <row r="2611" spans="1:15">
      <c r="A2611" s="3">
        <v>39135</v>
      </c>
      <c r="B2611" s="3">
        <v>39135</v>
      </c>
      <c r="C2611">
        <v>124.6</v>
      </c>
      <c r="D2611">
        <v>1.3126</v>
      </c>
      <c r="E2611">
        <v>60.62</v>
      </c>
      <c r="F2611">
        <v>276.60000000000002</v>
      </c>
      <c r="K2611" s="3"/>
      <c r="O2611" s="3"/>
    </row>
    <row r="2612" spans="1:15">
      <c r="A2612" s="3">
        <v>39136</v>
      </c>
      <c r="B2612" s="3">
        <v>39136</v>
      </c>
      <c r="C2612">
        <v>123.51</v>
      </c>
      <c r="D2612">
        <v>1.3166</v>
      </c>
      <c r="E2612">
        <v>60.88</v>
      </c>
      <c r="F2612">
        <v>284.05</v>
      </c>
      <c r="K2612" s="3"/>
      <c r="O2612" s="3"/>
    </row>
    <row r="2613" spans="1:15">
      <c r="A2613" s="3">
        <v>39137</v>
      </c>
      <c r="B2613" s="3">
        <v>39137</v>
      </c>
      <c r="C2613">
        <v>123.51</v>
      </c>
      <c r="D2613">
        <v>1.3166</v>
      </c>
      <c r="E2613">
        <v>60.88</v>
      </c>
      <c r="F2613">
        <v>284.05</v>
      </c>
      <c r="K2613" s="3"/>
      <c r="O2613" s="3"/>
    </row>
    <row r="2614" spans="1:15">
      <c r="A2614" s="3">
        <v>39138</v>
      </c>
      <c r="B2614" s="3">
        <v>39138</v>
      </c>
      <c r="C2614">
        <v>123.51</v>
      </c>
      <c r="D2614">
        <v>1.3166</v>
      </c>
      <c r="E2614">
        <v>60.88</v>
      </c>
      <c r="F2614">
        <v>284.05</v>
      </c>
      <c r="K2614" s="3"/>
      <c r="O2614" s="3"/>
    </row>
    <row r="2615" spans="1:15">
      <c r="A2615" s="3">
        <v>39139</v>
      </c>
      <c r="B2615" s="3">
        <v>39139</v>
      </c>
      <c r="C2615">
        <v>123.65</v>
      </c>
      <c r="D2615">
        <v>1.3188</v>
      </c>
      <c r="E2615">
        <v>61.33</v>
      </c>
      <c r="F2615">
        <v>285.55</v>
      </c>
      <c r="K2615" s="3"/>
      <c r="O2615" s="3"/>
    </row>
    <row r="2616" spans="1:15">
      <c r="A2616" s="3">
        <v>39140</v>
      </c>
      <c r="B2616" s="3">
        <v>39140</v>
      </c>
      <c r="C2616">
        <v>123.75</v>
      </c>
      <c r="D2616">
        <v>1.3242</v>
      </c>
      <c r="E2616">
        <v>61.36</v>
      </c>
      <c r="F2616">
        <v>280.5</v>
      </c>
      <c r="K2616" s="3"/>
      <c r="O2616" s="3"/>
    </row>
    <row r="2617" spans="1:15">
      <c r="A2617" s="3">
        <v>39141</v>
      </c>
      <c r="B2617" s="3">
        <v>39141</v>
      </c>
      <c r="C2617">
        <v>124.66</v>
      </c>
      <c r="D2617">
        <v>1.3229</v>
      </c>
      <c r="E2617">
        <v>61.89</v>
      </c>
      <c r="F2617">
        <v>273.3</v>
      </c>
      <c r="K2617" s="3"/>
      <c r="O2617" s="3"/>
    </row>
    <row r="2618" spans="1:15">
      <c r="A2618" s="3">
        <v>39142</v>
      </c>
      <c r="B2618" s="3">
        <v>39142</v>
      </c>
      <c r="C2618">
        <v>124.79</v>
      </c>
      <c r="D2618">
        <v>1.3186</v>
      </c>
      <c r="E2618">
        <v>62.11</v>
      </c>
      <c r="F2618">
        <v>273.64999999999998</v>
      </c>
      <c r="K2618" s="3"/>
      <c r="O2618" s="3"/>
    </row>
    <row r="2619" spans="1:15">
      <c r="A2619" s="3">
        <v>39143</v>
      </c>
      <c r="B2619" s="3">
        <v>39143</v>
      </c>
      <c r="C2619">
        <v>125.22</v>
      </c>
      <c r="D2619">
        <v>1.3191999999999999</v>
      </c>
      <c r="E2619">
        <v>62.08</v>
      </c>
      <c r="F2619">
        <v>267</v>
      </c>
      <c r="K2619" s="3"/>
      <c r="O2619" s="3"/>
    </row>
    <row r="2620" spans="1:15">
      <c r="A2620" s="3">
        <v>39144</v>
      </c>
      <c r="B2620" s="3">
        <v>39144</v>
      </c>
      <c r="C2620">
        <v>125.22</v>
      </c>
      <c r="D2620">
        <v>1.3191999999999999</v>
      </c>
      <c r="E2620">
        <v>62.08</v>
      </c>
      <c r="F2620">
        <v>267</v>
      </c>
      <c r="K2620" s="3"/>
      <c r="O2620" s="3"/>
    </row>
    <row r="2621" spans="1:15">
      <c r="A2621" s="3">
        <v>39145</v>
      </c>
      <c r="B2621" s="3">
        <v>39145</v>
      </c>
      <c r="C2621">
        <v>125.22</v>
      </c>
      <c r="D2621">
        <v>1.3191999999999999</v>
      </c>
      <c r="E2621">
        <v>62.08</v>
      </c>
      <c r="F2621">
        <v>267</v>
      </c>
      <c r="K2621" s="3"/>
      <c r="O2621" s="3"/>
    </row>
    <row r="2622" spans="1:15">
      <c r="A2622" s="3">
        <v>39146</v>
      </c>
      <c r="B2622" s="3">
        <v>39146</v>
      </c>
      <c r="C2622">
        <v>125.41</v>
      </c>
      <c r="D2622">
        <v>1.3089999999999999</v>
      </c>
      <c r="E2622">
        <v>60.54</v>
      </c>
      <c r="F2622">
        <v>265.8</v>
      </c>
      <c r="K2622" s="3"/>
      <c r="O2622" s="3"/>
    </row>
    <row r="2623" spans="1:15">
      <c r="A2623" s="3">
        <v>39147</v>
      </c>
      <c r="B2623" s="3">
        <v>39147</v>
      </c>
      <c r="C2623">
        <v>124.42</v>
      </c>
      <c r="D2623">
        <v>1.3128</v>
      </c>
      <c r="E2623">
        <v>61.39</v>
      </c>
      <c r="F2623">
        <v>270.10000000000002</v>
      </c>
      <c r="K2623" s="3"/>
      <c r="O2623" s="3"/>
    </row>
    <row r="2624" spans="1:15">
      <c r="A2624" s="3">
        <v>39148</v>
      </c>
      <c r="B2624" s="3">
        <v>39148</v>
      </c>
      <c r="C2624">
        <v>123.79</v>
      </c>
      <c r="D2624">
        <v>1.3177000000000001</v>
      </c>
      <c r="E2624">
        <v>62.5</v>
      </c>
      <c r="F2624">
        <v>277.2</v>
      </c>
      <c r="K2624" s="3"/>
      <c r="O2624" s="3"/>
    </row>
    <row r="2625" spans="1:15">
      <c r="A2625" s="3">
        <v>39149</v>
      </c>
      <c r="B2625" s="3">
        <v>39149</v>
      </c>
      <c r="C2625">
        <v>123.81</v>
      </c>
      <c r="D2625">
        <v>1.3132999999999999</v>
      </c>
      <c r="E2625">
        <v>62.33</v>
      </c>
      <c r="F2625">
        <v>282.55</v>
      </c>
      <c r="K2625" s="3"/>
      <c r="O2625" s="3"/>
    </row>
    <row r="2626" spans="1:15">
      <c r="A2626" s="3">
        <v>39150</v>
      </c>
      <c r="B2626" s="3">
        <v>39150</v>
      </c>
      <c r="C2626">
        <v>123.81</v>
      </c>
      <c r="D2626">
        <v>1.3116000000000001</v>
      </c>
      <c r="E2626">
        <v>61.13</v>
      </c>
      <c r="F2626">
        <v>278</v>
      </c>
      <c r="K2626" s="3"/>
      <c r="O2626" s="3"/>
    </row>
    <row r="2627" spans="1:15">
      <c r="A2627" s="3">
        <v>39151</v>
      </c>
      <c r="B2627" s="3">
        <v>39151</v>
      </c>
      <c r="C2627">
        <v>123.81</v>
      </c>
      <c r="D2627">
        <v>1.3116000000000001</v>
      </c>
      <c r="E2627">
        <v>61.13</v>
      </c>
      <c r="F2627">
        <v>278</v>
      </c>
      <c r="K2627" s="3"/>
      <c r="O2627" s="3"/>
    </row>
    <row r="2628" spans="1:15">
      <c r="A2628" s="3">
        <v>39152</v>
      </c>
      <c r="B2628" s="3">
        <v>39152</v>
      </c>
      <c r="C2628">
        <v>123.81</v>
      </c>
      <c r="D2628">
        <v>1.3116000000000001</v>
      </c>
      <c r="E2628">
        <v>61.13</v>
      </c>
      <c r="F2628">
        <v>278</v>
      </c>
      <c r="K2628" s="3"/>
      <c r="O2628" s="3"/>
    </row>
    <row r="2629" spans="1:15">
      <c r="A2629" s="3">
        <v>39153</v>
      </c>
      <c r="B2629" s="3">
        <v>39153</v>
      </c>
      <c r="C2629">
        <v>123.66</v>
      </c>
      <c r="D2629">
        <v>1.3189</v>
      </c>
      <c r="E2629">
        <v>60.74</v>
      </c>
      <c r="F2629">
        <v>284.39999999999998</v>
      </c>
      <c r="K2629" s="3"/>
      <c r="O2629" s="3"/>
    </row>
    <row r="2630" spans="1:15">
      <c r="A2630" s="3">
        <v>39154</v>
      </c>
      <c r="B2630" s="3">
        <v>39154</v>
      </c>
      <c r="C2630">
        <v>123.44</v>
      </c>
      <c r="D2630">
        <v>1.3197000000000001</v>
      </c>
      <c r="E2630">
        <v>60.9</v>
      </c>
      <c r="F2630">
        <v>282.45</v>
      </c>
      <c r="K2630" s="3"/>
      <c r="O2630" s="3"/>
    </row>
    <row r="2631" spans="1:15">
      <c r="A2631" s="3">
        <v>39155</v>
      </c>
      <c r="B2631" s="3">
        <v>39155</v>
      </c>
      <c r="C2631">
        <v>123.9</v>
      </c>
      <c r="D2631">
        <v>1.3223</v>
      </c>
      <c r="E2631">
        <v>61.06</v>
      </c>
      <c r="F2631">
        <v>282.2</v>
      </c>
      <c r="K2631" s="3"/>
      <c r="O2631" s="3"/>
    </row>
    <row r="2632" spans="1:15">
      <c r="A2632" s="3">
        <v>39156</v>
      </c>
      <c r="B2632" s="3">
        <v>39156</v>
      </c>
      <c r="C2632">
        <v>123.98</v>
      </c>
      <c r="D2632">
        <v>1.3238000000000001</v>
      </c>
      <c r="E2632">
        <v>60.98</v>
      </c>
      <c r="F2632">
        <v>298.5</v>
      </c>
      <c r="K2632" s="3"/>
      <c r="O2632" s="3"/>
    </row>
    <row r="2633" spans="1:15">
      <c r="A2633" s="3">
        <v>39157</v>
      </c>
      <c r="B2633" s="3">
        <v>39157</v>
      </c>
      <c r="C2633">
        <v>124.01</v>
      </c>
      <c r="D2633">
        <v>1.3318000000000001</v>
      </c>
      <c r="E2633">
        <v>60.3</v>
      </c>
      <c r="F2633">
        <v>300.85000000000002</v>
      </c>
      <c r="K2633" s="3"/>
      <c r="O2633" s="3"/>
    </row>
    <row r="2634" spans="1:15">
      <c r="A2634" s="3">
        <v>39158</v>
      </c>
      <c r="B2634" s="3">
        <v>39158</v>
      </c>
      <c r="C2634">
        <v>124.01</v>
      </c>
      <c r="D2634">
        <v>1.3318000000000001</v>
      </c>
      <c r="E2634">
        <v>60.3</v>
      </c>
      <c r="F2634">
        <v>300.85000000000002</v>
      </c>
      <c r="K2634" s="3"/>
      <c r="O2634" s="3"/>
    </row>
    <row r="2635" spans="1:15">
      <c r="A2635" s="3">
        <v>39159</v>
      </c>
      <c r="B2635" s="3">
        <v>39159</v>
      </c>
      <c r="C2635">
        <v>124.01</v>
      </c>
      <c r="D2635">
        <v>1.3318000000000001</v>
      </c>
      <c r="E2635">
        <v>60.3</v>
      </c>
      <c r="F2635">
        <v>300.85000000000002</v>
      </c>
      <c r="K2635" s="3"/>
      <c r="O2635" s="3"/>
    </row>
    <row r="2636" spans="1:15">
      <c r="A2636" s="3">
        <v>39160</v>
      </c>
      <c r="B2636" s="3">
        <v>39160</v>
      </c>
      <c r="C2636">
        <v>123.59</v>
      </c>
      <c r="D2636">
        <v>1.3302</v>
      </c>
      <c r="E2636">
        <v>60.52</v>
      </c>
      <c r="F2636">
        <v>301.75</v>
      </c>
      <c r="K2636" s="3"/>
      <c r="O2636" s="3"/>
    </row>
    <row r="2637" spans="1:15">
      <c r="A2637" s="3">
        <v>39161</v>
      </c>
      <c r="B2637" s="3">
        <v>39161</v>
      </c>
      <c r="C2637">
        <v>123.95</v>
      </c>
      <c r="D2637">
        <v>1.3318000000000001</v>
      </c>
      <c r="E2637">
        <v>60.2</v>
      </c>
      <c r="F2637">
        <v>303.10000000000002</v>
      </c>
      <c r="K2637" s="3"/>
      <c r="O2637" s="3"/>
    </row>
    <row r="2638" spans="1:15">
      <c r="A2638" s="3">
        <v>39162</v>
      </c>
      <c r="B2638" s="3">
        <v>39162</v>
      </c>
      <c r="C2638">
        <v>123.87</v>
      </c>
      <c r="D2638">
        <v>1.3386</v>
      </c>
      <c r="E2638">
        <v>60.77</v>
      </c>
      <c r="F2638">
        <v>301.89999999999998</v>
      </c>
      <c r="K2638" s="3"/>
      <c r="O2638" s="3"/>
    </row>
    <row r="2639" spans="1:15">
      <c r="A2639" s="3">
        <v>39163</v>
      </c>
      <c r="B2639" s="3">
        <v>39163</v>
      </c>
      <c r="C2639">
        <v>123.87</v>
      </c>
      <c r="D2639">
        <v>1.3331</v>
      </c>
      <c r="E2639">
        <v>62.51</v>
      </c>
      <c r="F2639">
        <v>306.75</v>
      </c>
      <c r="K2639" s="3"/>
      <c r="O2639" s="3"/>
    </row>
    <row r="2640" spans="1:15">
      <c r="A2640" s="3">
        <v>39164</v>
      </c>
      <c r="B2640" s="3">
        <v>39164</v>
      </c>
      <c r="C2640">
        <v>123.87</v>
      </c>
      <c r="D2640">
        <v>1.3283</v>
      </c>
      <c r="E2640">
        <v>63.18</v>
      </c>
      <c r="F2640">
        <v>306.89999999999998</v>
      </c>
      <c r="K2640" s="3"/>
      <c r="O2640" s="3"/>
    </row>
    <row r="2641" spans="1:15">
      <c r="A2641" s="3">
        <v>39165</v>
      </c>
      <c r="B2641" s="3">
        <v>39165</v>
      </c>
      <c r="C2641">
        <v>123.87</v>
      </c>
      <c r="D2641">
        <v>1.3283</v>
      </c>
      <c r="E2641">
        <v>63.18</v>
      </c>
      <c r="F2641">
        <v>306.89999999999998</v>
      </c>
      <c r="K2641" s="3"/>
      <c r="O2641" s="3"/>
    </row>
    <row r="2642" spans="1:15">
      <c r="A2642" s="3">
        <v>39166</v>
      </c>
      <c r="B2642" s="3">
        <v>39166</v>
      </c>
      <c r="C2642">
        <v>123.87</v>
      </c>
      <c r="D2642">
        <v>1.3283</v>
      </c>
      <c r="E2642">
        <v>63.18</v>
      </c>
      <c r="F2642">
        <v>306.89999999999998</v>
      </c>
      <c r="K2642" s="3"/>
      <c r="O2642" s="3"/>
    </row>
    <row r="2643" spans="1:15">
      <c r="A2643" s="3">
        <v>39167</v>
      </c>
      <c r="B2643" s="3">
        <v>39167</v>
      </c>
      <c r="C2643">
        <v>123.37</v>
      </c>
      <c r="D2643">
        <v>1.333</v>
      </c>
      <c r="E2643">
        <v>64.41</v>
      </c>
      <c r="F2643">
        <v>312.45</v>
      </c>
      <c r="K2643" s="3"/>
      <c r="O2643" s="3"/>
    </row>
    <row r="2644" spans="1:15">
      <c r="A2644" s="3">
        <v>39168</v>
      </c>
      <c r="B2644" s="3">
        <v>39168</v>
      </c>
      <c r="C2644">
        <v>123.64</v>
      </c>
      <c r="D2644">
        <v>1.3351999999999999</v>
      </c>
      <c r="E2644">
        <v>64.599999999999994</v>
      </c>
      <c r="F2644">
        <v>305.25</v>
      </c>
      <c r="K2644" s="3"/>
      <c r="O2644" s="3"/>
    </row>
    <row r="2645" spans="1:15">
      <c r="A2645" s="3">
        <v>39169</v>
      </c>
      <c r="B2645" s="3">
        <v>39169</v>
      </c>
      <c r="C2645">
        <v>123.89</v>
      </c>
      <c r="D2645">
        <v>1.3312999999999999</v>
      </c>
      <c r="E2645">
        <v>65.78</v>
      </c>
      <c r="F2645">
        <v>305.14999999999998</v>
      </c>
      <c r="K2645" s="3"/>
      <c r="O2645" s="3"/>
    </row>
    <row r="2646" spans="1:15">
      <c r="A2646" s="3">
        <v>39170</v>
      </c>
      <c r="B2646" s="3">
        <v>39170</v>
      </c>
      <c r="C2646">
        <v>123.73</v>
      </c>
      <c r="D2646">
        <v>1.3331</v>
      </c>
      <c r="E2646">
        <v>67.88</v>
      </c>
      <c r="F2646">
        <v>309.75</v>
      </c>
      <c r="K2646" s="3"/>
      <c r="O2646" s="3"/>
    </row>
    <row r="2647" spans="1:15">
      <c r="A2647" s="3">
        <v>39171</v>
      </c>
      <c r="B2647" s="3">
        <v>39171</v>
      </c>
      <c r="C2647">
        <v>123.81</v>
      </c>
      <c r="D2647">
        <v>1.3353999999999999</v>
      </c>
      <c r="E2647">
        <v>68.099999999999994</v>
      </c>
      <c r="F2647">
        <v>314.60000000000002</v>
      </c>
      <c r="K2647" s="3"/>
      <c r="O2647" s="3"/>
    </row>
    <row r="2648" spans="1:15">
      <c r="A2648" s="3">
        <v>39172</v>
      </c>
      <c r="B2648" s="3">
        <v>39172</v>
      </c>
      <c r="C2648">
        <v>123.81</v>
      </c>
      <c r="D2648">
        <v>1.3353999999999999</v>
      </c>
      <c r="E2648">
        <v>68.099999999999994</v>
      </c>
      <c r="F2648">
        <v>314.60000000000002</v>
      </c>
      <c r="K2648" s="3"/>
      <c r="O2648" s="3"/>
    </row>
    <row r="2649" spans="1:15">
      <c r="A2649" s="3">
        <v>39173</v>
      </c>
      <c r="B2649" s="3">
        <v>39173</v>
      </c>
      <c r="C2649">
        <v>123.81</v>
      </c>
      <c r="D2649">
        <v>1.3353999999999999</v>
      </c>
      <c r="E2649">
        <v>68.099999999999994</v>
      </c>
      <c r="F2649">
        <v>314.60000000000002</v>
      </c>
      <c r="K2649" s="3"/>
      <c r="O2649" s="3"/>
    </row>
    <row r="2650" spans="1:15">
      <c r="A2650" s="3">
        <v>39174</v>
      </c>
      <c r="B2650" s="3">
        <v>39174</v>
      </c>
      <c r="C2650">
        <v>123.41</v>
      </c>
      <c r="D2650">
        <v>1.3366</v>
      </c>
      <c r="E2650">
        <v>68.739999999999995</v>
      </c>
      <c r="F2650">
        <v>317.89999999999998</v>
      </c>
      <c r="K2650" s="3"/>
      <c r="O2650" s="3"/>
    </row>
    <row r="2651" spans="1:15">
      <c r="A2651" s="3">
        <v>39175</v>
      </c>
      <c r="B2651" s="3">
        <v>39175</v>
      </c>
      <c r="C2651">
        <v>123.58</v>
      </c>
      <c r="D2651">
        <v>1.333</v>
      </c>
      <c r="E2651">
        <v>67.81</v>
      </c>
      <c r="F2651">
        <v>331.45</v>
      </c>
      <c r="K2651" s="3"/>
      <c r="O2651" s="3"/>
    </row>
    <row r="2652" spans="1:15">
      <c r="A2652" s="3">
        <v>39176</v>
      </c>
      <c r="B2652" s="3">
        <v>39176</v>
      </c>
      <c r="C2652">
        <v>123.48</v>
      </c>
      <c r="D2652">
        <v>1.3368</v>
      </c>
      <c r="E2652">
        <v>68.400000000000006</v>
      </c>
      <c r="F2652">
        <v>338.75</v>
      </c>
      <c r="K2652" s="3"/>
      <c r="O2652" s="3"/>
    </row>
    <row r="2653" spans="1:15">
      <c r="A2653" s="3">
        <v>39177</v>
      </c>
      <c r="B2653" s="3">
        <v>39177</v>
      </c>
      <c r="C2653">
        <v>123.47</v>
      </c>
      <c r="D2653">
        <v>1.3429</v>
      </c>
      <c r="E2653">
        <v>68.239999999999995</v>
      </c>
      <c r="F2653">
        <v>337.7</v>
      </c>
      <c r="K2653" s="3"/>
      <c r="O2653" s="3"/>
    </row>
    <row r="2654" spans="1:15">
      <c r="A2654" s="3">
        <v>39178</v>
      </c>
      <c r="B2654" s="3">
        <v>39178</v>
      </c>
      <c r="C2654">
        <v>123.47</v>
      </c>
      <c r="D2654">
        <v>1.3379000000000001</v>
      </c>
      <c r="E2654">
        <v>68.239999999999995</v>
      </c>
      <c r="F2654">
        <v>337.7</v>
      </c>
      <c r="K2654" s="3"/>
      <c r="O2654" s="3"/>
    </row>
    <row r="2655" spans="1:15">
      <c r="A2655" s="3">
        <v>39179</v>
      </c>
      <c r="B2655" s="3">
        <v>39179</v>
      </c>
      <c r="C2655">
        <v>123.47</v>
      </c>
      <c r="D2655">
        <v>1.3379000000000001</v>
      </c>
      <c r="E2655">
        <v>68.239999999999995</v>
      </c>
      <c r="F2655">
        <v>337.7</v>
      </c>
      <c r="K2655" s="3"/>
      <c r="O2655" s="3"/>
    </row>
    <row r="2656" spans="1:15">
      <c r="A2656" s="3">
        <v>39180</v>
      </c>
      <c r="B2656" s="3">
        <v>39180</v>
      </c>
      <c r="C2656">
        <v>123.47</v>
      </c>
      <c r="D2656">
        <v>1.3379000000000001</v>
      </c>
      <c r="E2656">
        <v>68.239999999999995</v>
      </c>
      <c r="F2656">
        <v>337.7</v>
      </c>
      <c r="K2656" s="3"/>
      <c r="O2656" s="3"/>
    </row>
    <row r="2657" spans="1:15">
      <c r="A2657" s="3">
        <v>39181</v>
      </c>
      <c r="B2657" s="3">
        <v>39181</v>
      </c>
      <c r="C2657">
        <v>122.88</v>
      </c>
      <c r="D2657">
        <v>1.3353999999999999</v>
      </c>
      <c r="E2657">
        <v>66.59</v>
      </c>
      <c r="F2657">
        <v>350.6</v>
      </c>
      <c r="K2657" s="3"/>
      <c r="O2657" s="3"/>
    </row>
    <row r="2658" spans="1:15">
      <c r="A2658" s="3">
        <v>39182</v>
      </c>
      <c r="B2658" s="3">
        <v>39182</v>
      </c>
      <c r="C2658">
        <v>122.95</v>
      </c>
      <c r="D2658">
        <v>1.3440000000000001</v>
      </c>
      <c r="E2658">
        <v>67.42</v>
      </c>
      <c r="F2658">
        <v>352.6</v>
      </c>
      <c r="K2658" s="3"/>
      <c r="O2658" s="3"/>
    </row>
    <row r="2659" spans="1:15">
      <c r="A2659" s="3">
        <v>39183</v>
      </c>
      <c r="B2659" s="3">
        <v>39183</v>
      </c>
      <c r="C2659">
        <v>122.36</v>
      </c>
      <c r="D2659">
        <v>1.3431</v>
      </c>
      <c r="E2659">
        <v>67.84</v>
      </c>
      <c r="F2659">
        <v>358.25</v>
      </c>
      <c r="K2659" s="3"/>
      <c r="O2659" s="3"/>
    </row>
    <row r="2660" spans="1:15">
      <c r="A2660" s="3">
        <v>39184</v>
      </c>
      <c r="B2660" s="3">
        <v>39184</v>
      </c>
      <c r="C2660">
        <v>122.15</v>
      </c>
      <c r="D2660">
        <v>1.3482000000000001</v>
      </c>
      <c r="E2660">
        <v>68.72</v>
      </c>
      <c r="F2660">
        <v>350.2</v>
      </c>
      <c r="K2660" s="3"/>
      <c r="O2660" s="3"/>
    </row>
    <row r="2661" spans="1:15">
      <c r="A2661" s="3">
        <v>39185</v>
      </c>
      <c r="B2661" s="3">
        <v>39185</v>
      </c>
      <c r="C2661">
        <v>122.05</v>
      </c>
      <c r="D2661">
        <v>1.3527</v>
      </c>
      <c r="E2661">
        <v>68.97</v>
      </c>
      <c r="F2661">
        <v>353.2</v>
      </c>
      <c r="K2661" s="3"/>
      <c r="O2661" s="3"/>
    </row>
    <row r="2662" spans="1:15">
      <c r="A2662" s="3">
        <v>39186</v>
      </c>
      <c r="B2662" s="3">
        <v>39186</v>
      </c>
      <c r="C2662">
        <v>122.05</v>
      </c>
      <c r="D2662">
        <v>1.3527</v>
      </c>
      <c r="E2662">
        <v>68.97</v>
      </c>
      <c r="F2662">
        <v>353.2</v>
      </c>
      <c r="K2662" s="3"/>
      <c r="O2662" s="3"/>
    </row>
    <row r="2663" spans="1:15">
      <c r="A2663" s="3">
        <v>39187</v>
      </c>
      <c r="B2663" s="3">
        <v>39187</v>
      </c>
      <c r="C2663">
        <v>122.05</v>
      </c>
      <c r="D2663">
        <v>1.3527</v>
      </c>
      <c r="E2663">
        <v>68.97</v>
      </c>
      <c r="F2663">
        <v>353.2</v>
      </c>
      <c r="K2663" s="3"/>
      <c r="O2663" s="3"/>
    </row>
    <row r="2664" spans="1:15">
      <c r="A2664" s="3">
        <v>39188</v>
      </c>
      <c r="B2664" s="3">
        <v>39188</v>
      </c>
      <c r="C2664">
        <v>121.77</v>
      </c>
      <c r="D2664">
        <v>1.3534999999999999</v>
      </c>
      <c r="E2664">
        <v>67.25</v>
      </c>
      <c r="F2664">
        <v>353.95</v>
      </c>
      <c r="K2664" s="3"/>
      <c r="O2664" s="3"/>
    </row>
    <row r="2665" spans="1:15">
      <c r="A2665" s="3">
        <v>39189</v>
      </c>
      <c r="B2665" s="3">
        <v>39189</v>
      </c>
      <c r="C2665">
        <v>122.11</v>
      </c>
      <c r="D2665">
        <v>1.3567</v>
      </c>
      <c r="E2665">
        <v>65.930000000000007</v>
      </c>
      <c r="F2665">
        <v>367.7</v>
      </c>
      <c r="K2665" s="3"/>
      <c r="O2665" s="3"/>
    </row>
    <row r="2666" spans="1:15">
      <c r="A2666" s="3">
        <v>39190</v>
      </c>
      <c r="B2666" s="3">
        <v>39190</v>
      </c>
      <c r="C2666">
        <v>122.2</v>
      </c>
      <c r="D2666">
        <v>1.3609</v>
      </c>
      <c r="E2666">
        <v>66.040000000000006</v>
      </c>
      <c r="F2666">
        <v>361.9</v>
      </c>
      <c r="K2666" s="3"/>
      <c r="O2666" s="3"/>
    </row>
    <row r="2667" spans="1:15">
      <c r="A2667" s="3">
        <v>39191</v>
      </c>
      <c r="B2667" s="3">
        <v>39191</v>
      </c>
      <c r="C2667">
        <v>121.57</v>
      </c>
      <c r="D2667">
        <v>1.3613</v>
      </c>
      <c r="E2667">
        <v>65.94</v>
      </c>
      <c r="F2667">
        <v>358.65</v>
      </c>
      <c r="K2667" s="3"/>
      <c r="O2667" s="3"/>
    </row>
    <row r="2668" spans="1:15">
      <c r="A2668" s="3">
        <v>39192</v>
      </c>
      <c r="B2668" s="3">
        <v>39192</v>
      </c>
      <c r="C2668">
        <v>120.96</v>
      </c>
      <c r="D2668">
        <v>1.359</v>
      </c>
      <c r="E2668">
        <v>66.489999999999995</v>
      </c>
      <c r="F2668">
        <v>361.05</v>
      </c>
      <c r="K2668" s="3"/>
      <c r="O2668" s="3"/>
    </row>
    <row r="2669" spans="1:15">
      <c r="A2669" s="3">
        <v>39193</v>
      </c>
      <c r="B2669" s="3">
        <v>39193</v>
      </c>
      <c r="C2669">
        <v>120.96</v>
      </c>
      <c r="D2669">
        <v>1.359</v>
      </c>
      <c r="E2669">
        <v>66.489999999999995</v>
      </c>
      <c r="F2669">
        <v>361.05</v>
      </c>
      <c r="K2669" s="3"/>
      <c r="O2669" s="3"/>
    </row>
    <row r="2670" spans="1:15">
      <c r="A2670" s="3">
        <v>39194</v>
      </c>
      <c r="B2670" s="3">
        <v>39194</v>
      </c>
      <c r="C2670">
        <v>120.96</v>
      </c>
      <c r="D2670">
        <v>1.359</v>
      </c>
      <c r="E2670">
        <v>66.489999999999995</v>
      </c>
      <c r="F2670">
        <v>361.05</v>
      </c>
      <c r="K2670" s="3"/>
      <c r="O2670" s="3"/>
    </row>
    <row r="2671" spans="1:15">
      <c r="A2671" s="3">
        <v>39195</v>
      </c>
      <c r="B2671" s="3">
        <v>39195</v>
      </c>
      <c r="C2671">
        <v>121.11</v>
      </c>
      <c r="D2671">
        <v>1.3576999999999999</v>
      </c>
      <c r="E2671">
        <v>68.150000000000006</v>
      </c>
      <c r="F2671">
        <v>363.25</v>
      </c>
      <c r="K2671" s="3"/>
      <c r="O2671" s="3"/>
    </row>
    <row r="2672" spans="1:15">
      <c r="A2672" s="3">
        <v>39196</v>
      </c>
      <c r="B2672" s="3">
        <v>39196</v>
      </c>
      <c r="C2672">
        <v>121.06</v>
      </c>
      <c r="D2672">
        <v>1.3640000000000001</v>
      </c>
      <c r="E2672">
        <v>67.16</v>
      </c>
      <c r="F2672">
        <v>355.25</v>
      </c>
      <c r="K2672" s="3"/>
      <c r="O2672" s="3"/>
    </row>
    <row r="2673" spans="1:15">
      <c r="A2673" s="3">
        <v>39197</v>
      </c>
      <c r="B2673" s="3">
        <v>39197</v>
      </c>
      <c r="C2673">
        <v>120.94</v>
      </c>
      <c r="D2673">
        <v>1.3637999999999999</v>
      </c>
      <c r="E2673">
        <v>68.569999999999993</v>
      </c>
      <c r="F2673">
        <v>358.6</v>
      </c>
      <c r="K2673" s="3"/>
      <c r="O2673" s="3"/>
    </row>
    <row r="2674" spans="1:15">
      <c r="A2674" s="3">
        <v>39198</v>
      </c>
      <c r="B2674" s="3">
        <v>39198</v>
      </c>
      <c r="C2674">
        <v>120.43</v>
      </c>
      <c r="D2674">
        <v>1.3601000000000001</v>
      </c>
      <c r="E2674">
        <v>67.650000000000006</v>
      </c>
      <c r="F2674">
        <v>348.8</v>
      </c>
      <c r="K2674" s="3"/>
      <c r="O2674" s="3"/>
    </row>
    <row r="2675" spans="1:15">
      <c r="A2675" s="3">
        <v>39199</v>
      </c>
      <c r="B2675" s="3">
        <v>39199</v>
      </c>
      <c r="C2675">
        <v>120.08</v>
      </c>
      <c r="D2675">
        <v>1.3652</v>
      </c>
      <c r="E2675">
        <v>68.41</v>
      </c>
      <c r="F2675">
        <v>351.45</v>
      </c>
      <c r="K2675" s="3"/>
      <c r="O2675" s="3"/>
    </row>
    <row r="2676" spans="1:15">
      <c r="A2676" s="3">
        <v>39200</v>
      </c>
      <c r="B2676" s="3">
        <v>39200</v>
      </c>
      <c r="C2676">
        <v>120.08</v>
      </c>
      <c r="D2676">
        <v>1.3652</v>
      </c>
      <c r="E2676">
        <v>68.41</v>
      </c>
      <c r="F2676">
        <v>351.45</v>
      </c>
      <c r="K2676" s="3"/>
      <c r="O2676" s="3"/>
    </row>
    <row r="2677" spans="1:15">
      <c r="A2677" s="3">
        <v>39201</v>
      </c>
      <c r="B2677" s="3">
        <v>39201</v>
      </c>
      <c r="C2677">
        <v>120.08</v>
      </c>
      <c r="D2677">
        <v>1.3652</v>
      </c>
      <c r="E2677">
        <v>68.41</v>
      </c>
      <c r="F2677">
        <v>351.45</v>
      </c>
      <c r="K2677" s="3"/>
      <c r="O2677" s="3"/>
    </row>
    <row r="2678" spans="1:15">
      <c r="A2678" s="3">
        <v>39202</v>
      </c>
      <c r="B2678" s="3">
        <v>39202</v>
      </c>
      <c r="C2678">
        <v>120.16</v>
      </c>
      <c r="D2678">
        <v>1.3648</v>
      </c>
      <c r="E2678">
        <v>67.650000000000006</v>
      </c>
      <c r="F2678">
        <v>354.15</v>
      </c>
      <c r="K2678" s="3"/>
      <c r="O2678" s="3"/>
    </row>
    <row r="2679" spans="1:15">
      <c r="A2679" s="3">
        <v>39203</v>
      </c>
      <c r="B2679" s="3">
        <v>39203</v>
      </c>
      <c r="C2679">
        <v>120.16</v>
      </c>
      <c r="D2679">
        <v>1.3604000000000001</v>
      </c>
      <c r="E2679">
        <v>67</v>
      </c>
      <c r="F2679">
        <v>361.55</v>
      </c>
      <c r="K2679" s="3"/>
      <c r="O2679" s="3"/>
    </row>
    <row r="2680" spans="1:15">
      <c r="A2680" s="3">
        <v>39204</v>
      </c>
      <c r="B2680" s="3">
        <v>39204</v>
      </c>
      <c r="C2680">
        <v>120.13</v>
      </c>
      <c r="D2680">
        <v>1.3592</v>
      </c>
      <c r="E2680">
        <v>66.25</v>
      </c>
      <c r="F2680">
        <v>362.85</v>
      </c>
      <c r="K2680" s="3"/>
      <c r="O2680" s="3"/>
    </row>
    <row r="2681" spans="1:15">
      <c r="A2681" s="3">
        <v>39205</v>
      </c>
      <c r="B2681" s="3">
        <v>39205</v>
      </c>
      <c r="C2681">
        <v>119.64</v>
      </c>
      <c r="D2681">
        <v>1.3549</v>
      </c>
      <c r="E2681">
        <v>66.05</v>
      </c>
      <c r="F2681">
        <v>371.2</v>
      </c>
      <c r="K2681" s="3"/>
      <c r="O2681" s="3"/>
    </row>
    <row r="2682" spans="1:15">
      <c r="A2682" s="3">
        <v>39206</v>
      </c>
      <c r="B2682" s="3">
        <v>39206</v>
      </c>
      <c r="C2682">
        <v>119.1</v>
      </c>
      <c r="D2682">
        <v>1.3591</v>
      </c>
      <c r="E2682">
        <v>65.31</v>
      </c>
      <c r="F2682">
        <v>375.05</v>
      </c>
      <c r="K2682" s="3"/>
      <c r="O2682" s="3"/>
    </row>
    <row r="2683" spans="1:15">
      <c r="A2683" s="3">
        <v>39207</v>
      </c>
      <c r="B2683" s="3">
        <v>39207</v>
      </c>
      <c r="C2683">
        <v>119.1</v>
      </c>
      <c r="D2683">
        <v>1.3591</v>
      </c>
      <c r="E2683">
        <v>65.31</v>
      </c>
      <c r="F2683">
        <v>375.05</v>
      </c>
      <c r="K2683" s="3"/>
      <c r="O2683" s="3"/>
    </row>
    <row r="2684" spans="1:15">
      <c r="A2684" s="3">
        <v>39208</v>
      </c>
      <c r="B2684" s="3">
        <v>39208</v>
      </c>
      <c r="C2684">
        <v>119.1</v>
      </c>
      <c r="D2684">
        <v>1.3591</v>
      </c>
      <c r="E2684">
        <v>65.31</v>
      </c>
      <c r="F2684">
        <v>375.05</v>
      </c>
      <c r="K2684" s="3"/>
      <c r="O2684" s="3"/>
    </row>
    <row r="2685" spans="1:15">
      <c r="A2685" s="3">
        <v>39209</v>
      </c>
      <c r="B2685" s="3">
        <v>39209</v>
      </c>
      <c r="C2685">
        <v>118.75</v>
      </c>
      <c r="D2685">
        <v>1.3601000000000001</v>
      </c>
      <c r="E2685">
        <v>64.44</v>
      </c>
      <c r="F2685">
        <v>371.05</v>
      </c>
      <c r="K2685" s="3"/>
      <c r="O2685" s="3"/>
    </row>
    <row r="2686" spans="1:15">
      <c r="A2686" s="3">
        <v>39210</v>
      </c>
      <c r="B2686" s="3">
        <v>39210</v>
      </c>
      <c r="C2686">
        <v>119.95</v>
      </c>
      <c r="D2686">
        <v>1.3543000000000001</v>
      </c>
      <c r="E2686">
        <v>65.540000000000006</v>
      </c>
      <c r="F2686">
        <v>371.55</v>
      </c>
      <c r="K2686" s="3"/>
      <c r="O2686" s="3"/>
    </row>
    <row r="2687" spans="1:15">
      <c r="A2687" s="3">
        <v>39211</v>
      </c>
      <c r="B2687" s="3">
        <v>39211</v>
      </c>
      <c r="C2687">
        <v>120.01</v>
      </c>
      <c r="D2687">
        <v>1.3528</v>
      </c>
      <c r="E2687">
        <v>65.2</v>
      </c>
      <c r="F2687">
        <v>367.55</v>
      </c>
      <c r="K2687" s="3"/>
      <c r="O2687" s="3"/>
    </row>
    <row r="2688" spans="1:15">
      <c r="A2688" s="3">
        <v>39212</v>
      </c>
      <c r="B2688" s="3">
        <v>39212</v>
      </c>
      <c r="C2688">
        <v>120.05</v>
      </c>
      <c r="D2688">
        <v>1.3485</v>
      </c>
      <c r="E2688">
        <v>65.790000000000006</v>
      </c>
      <c r="F2688">
        <v>356.4</v>
      </c>
      <c r="K2688" s="3"/>
      <c r="O2688" s="3"/>
    </row>
    <row r="2689" spans="1:15">
      <c r="A2689" s="3">
        <v>39213</v>
      </c>
      <c r="B2689" s="3">
        <v>39213</v>
      </c>
      <c r="C2689">
        <v>120.49</v>
      </c>
      <c r="D2689">
        <v>1.3524</v>
      </c>
      <c r="E2689">
        <v>66.83</v>
      </c>
      <c r="F2689">
        <v>360.1</v>
      </c>
      <c r="K2689" s="3"/>
      <c r="O2689" s="3"/>
    </row>
    <row r="2690" spans="1:15">
      <c r="A2690" s="3">
        <v>39214</v>
      </c>
      <c r="B2690" s="3">
        <v>39214</v>
      </c>
      <c r="C2690">
        <v>120.49</v>
      </c>
      <c r="D2690">
        <v>1.3524</v>
      </c>
      <c r="E2690">
        <v>66.83</v>
      </c>
      <c r="F2690">
        <v>360.1</v>
      </c>
      <c r="K2690" s="3"/>
      <c r="O2690" s="3"/>
    </row>
    <row r="2691" spans="1:15">
      <c r="A2691" s="3">
        <v>39215</v>
      </c>
      <c r="B2691" s="3">
        <v>39215</v>
      </c>
      <c r="C2691">
        <v>120.49</v>
      </c>
      <c r="D2691">
        <v>1.3524</v>
      </c>
      <c r="E2691">
        <v>66.83</v>
      </c>
      <c r="F2691">
        <v>360.1</v>
      </c>
      <c r="K2691" s="3"/>
      <c r="O2691" s="3"/>
    </row>
    <row r="2692" spans="1:15">
      <c r="A2692" s="3">
        <v>39216</v>
      </c>
      <c r="B2692" s="3">
        <v>39216</v>
      </c>
      <c r="C2692">
        <v>119.97</v>
      </c>
      <c r="D2692">
        <v>1.3546</v>
      </c>
      <c r="E2692">
        <v>66.83</v>
      </c>
      <c r="F2692">
        <v>349.2</v>
      </c>
      <c r="K2692" s="3"/>
      <c r="O2692" s="3"/>
    </row>
    <row r="2693" spans="1:15">
      <c r="A2693" s="3">
        <v>39217</v>
      </c>
      <c r="B2693" s="3">
        <v>39217</v>
      </c>
      <c r="C2693">
        <v>119.4</v>
      </c>
      <c r="D2693">
        <v>1.3591</v>
      </c>
      <c r="E2693">
        <v>68.11</v>
      </c>
      <c r="F2693">
        <v>353.35</v>
      </c>
      <c r="K2693" s="3"/>
      <c r="O2693" s="3"/>
    </row>
    <row r="2694" spans="1:15">
      <c r="A2694" s="3">
        <v>39218</v>
      </c>
      <c r="B2694" s="3">
        <v>39218</v>
      </c>
      <c r="C2694">
        <v>119.71</v>
      </c>
      <c r="D2694">
        <v>1.3514999999999999</v>
      </c>
      <c r="E2694">
        <v>68.010000000000005</v>
      </c>
      <c r="F2694">
        <v>342.4</v>
      </c>
      <c r="K2694" s="3"/>
      <c r="O2694" s="3"/>
    </row>
    <row r="2695" spans="1:15">
      <c r="A2695" s="3">
        <v>39219</v>
      </c>
      <c r="B2695" s="3">
        <v>39219</v>
      </c>
      <c r="C2695">
        <v>120.61</v>
      </c>
      <c r="D2695">
        <v>1.3493999999999999</v>
      </c>
      <c r="E2695">
        <v>70.27</v>
      </c>
      <c r="F2695">
        <v>330.9</v>
      </c>
      <c r="K2695" s="3"/>
      <c r="O2695" s="3"/>
    </row>
    <row r="2696" spans="1:15">
      <c r="A2696" s="3">
        <v>39220</v>
      </c>
      <c r="B2696" s="3">
        <v>39220</v>
      </c>
      <c r="C2696">
        <v>120.06</v>
      </c>
      <c r="D2696">
        <v>1.3509</v>
      </c>
      <c r="E2696">
        <v>69.42</v>
      </c>
      <c r="F2696">
        <v>332.85</v>
      </c>
      <c r="K2696" s="3"/>
      <c r="O2696" s="3"/>
    </row>
    <row r="2697" spans="1:15">
      <c r="A2697" s="3">
        <v>39221</v>
      </c>
      <c r="B2697" s="3">
        <v>39221</v>
      </c>
      <c r="C2697">
        <v>120.06</v>
      </c>
      <c r="D2697">
        <v>1.3509</v>
      </c>
      <c r="E2697">
        <v>69.42</v>
      </c>
      <c r="F2697">
        <v>332.85</v>
      </c>
      <c r="K2697" s="3"/>
      <c r="O2697" s="3"/>
    </row>
    <row r="2698" spans="1:15">
      <c r="A2698" s="3">
        <v>39222</v>
      </c>
      <c r="B2698" s="3">
        <v>39222</v>
      </c>
      <c r="C2698">
        <v>120.06</v>
      </c>
      <c r="D2698">
        <v>1.3509</v>
      </c>
      <c r="E2698">
        <v>69.42</v>
      </c>
      <c r="F2698">
        <v>332.85</v>
      </c>
      <c r="K2698" s="3"/>
      <c r="O2698" s="3"/>
    </row>
    <row r="2699" spans="1:15">
      <c r="A2699" s="3">
        <v>39223</v>
      </c>
      <c r="B2699" s="3">
        <v>39223</v>
      </c>
      <c r="C2699">
        <v>120.13</v>
      </c>
      <c r="D2699">
        <v>1.3469</v>
      </c>
      <c r="E2699">
        <v>70.489999999999995</v>
      </c>
      <c r="F2699">
        <v>340.6</v>
      </c>
      <c r="K2699" s="3"/>
      <c r="O2699" s="3"/>
    </row>
    <row r="2700" spans="1:15">
      <c r="A2700" s="3">
        <v>39224</v>
      </c>
      <c r="B2700" s="3">
        <v>39224</v>
      </c>
      <c r="C2700">
        <v>120.02</v>
      </c>
      <c r="D2700">
        <v>1.3448</v>
      </c>
      <c r="E2700">
        <v>69.52</v>
      </c>
      <c r="F2700">
        <v>330.85</v>
      </c>
      <c r="K2700" s="3"/>
      <c r="O2700" s="3"/>
    </row>
    <row r="2701" spans="1:15">
      <c r="A2701" s="3">
        <v>39225</v>
      </c>
      <c r="B2701" s="3">
        <v>39225</v>
      </c>
      <c r="C2701">
        <v>120.01</v>
      </c>
      <c r="D2701">
        <v>1.3459000000000001</v>
      </c>
      <c r="E2701">
        <v>70.599999999999994</v>
      </c>
      <c r="F2701">
        <v>330.4</v>
      </c>
      <c r="K2701" s="3"/>
      <c r="O2701" s="3"/>
    </row>
    <row r="2702" spans="1:15">
      <c r="A2702" s="3">
        <v>39226</v>
      </c>
      <c r="B2702" s="3">
        <v>39226</v>
      </c>
      <c r="C2702">
        <v>120.36</v>
      </c>
      <c r="D2702">
        <v>1.3429</v>
      </c>
      <c r="E2702">
        <v>70.72</v>
      </c>
      <c r="F2702">
        <v>318.35000000000002</v>
      </c>
      <c r="K2702" s="3"/>
      <c r="O2702" s="3"/>
    </row>
    <row r="2703" spans="1:15">
      <c r="A2703" s="3">
        <v>39227</v>
      </c>
      <c r="B2703" s="3">
        <v>39227</v>
      </c>
      <c r="C2703">
        <v>121.55</v>
      </c>
      <c r="D2703">
        <v>1.3442000000000001</v>
      </c>
      <c r="E2703">
        <v>70.69</v>
      </c>
      <c r="F2703">
        <v>332.7</v>
      </c>
      <c r="K2703" s="3"/>
      <c r="O2703" s="3"/>
    </row>
    <row r="2704" spans="1:15">
      <c r="A2704" s="3">
        <v>39228</v>
      </c>
      <c r="B2704" s="3">
        <v>39228</v>
      </c>
      <c r="C2704">
        <v>121.55</v>
      </c>
      <c r="D2704">
        <v>1.3442000000000001</v>
      </c>
      <c r="E2704">
        <v>70.69</v>
      </c>
      <c r="F2704">
        <v>332.7</v>
      </c>
      <c r="K2704" s="3"/>
      <c r="O2704" s="3"/>
    </row>
    <row r="2705" spans="1:15">
      <c r="A2705" s="3">
        <v>39229</v>
      </c>
      <c r="B2705" s="3">
        <v>39229</v>
      </c>
      <c r="C2705">
        <v>121.55</v>
      </c>
      <c r="D2705">
        <v>1.3442000000000001</v>
      </c>
      <c r="E2705">
        <v>70.69</v>
      </c>
      <c r="F2705">
        <v>332.7</v>
      </c>
      <c r="K2705" s="3"/>
      <c r="O2705" s="3"/>
    </row>
    <row r="2706" spans="1:15">
      <c r="A2706" s="3">
        <v>39230</v>
      </c>
      <c r="B2706" s="3">
        <v>39230</v>
      </c>
      <c r="C2706">
        <v>121.98</v>
      </c>
      <c r="D2706">
        <v>1.3452</v>
      </c>
      <c r="E2706">
        <v>69.709999999999994</v>
      </c>
      <c r="F2706">
        <v>332.7</v>
      </c>
      <c r="K2706" s="3"/>
      <c r="O2706" s="3"/>
    </row>
    <row r="2707" spans="1:15">
      <c r="A2707" s="3">
        <v>39231</v>
      </c>
      <c r="B2707" s="3">
        <v>39231</v>
      </c>
      <c r="C2707">
        <v>121.89</v>
      </c>
      <c r="D2707">
        <v>1.3448</v>
      </c>
      <c r="E2707">
        <v>68.13</v>
      </c>
      <c r="F2707">
        <v>332.6</v>
      </c>
      <c r="K2707" s="3"/>
      <c r="O2707" s="3"/>
    </row>
    <row r="2708" spans="1:15">
      <c r="A2708" s="3">
        <v>39232</v>
      </c>
      <c r="B2708" s="3">
        <v>39232</v>
      </c>
      <c r="C2708">
        <v>122.11</v>
      </c>
      <c r="D2708">
        <v>1.3429</v>
      </c>
      <c r="E2708">
        <v>67.84</v>
      </c>
      <c r="F2708">
        <v>330.35</v>
      </c>
      <c r="K2708" s="3"/>
      <c r="O2708" s="3"/>
    </row>
    <row r="2709" spans="1:15">
      <c r="A2709" s="3">
        <v>39233</v>
      </c>
      <c r="B2709" s="3">
        <v>39233</v>
      </c>
      <c r="C2709">
        <v>122.47</v>
      </c>
      <c r="D2709">
        <v>1.3452999999999999</v>
      </c>
      <c r="E2709">
        <v>68.040000000000006</v>
      </c>
      <c r="F2709">
        <v>339.55</v>
      </c>
      <c r="K2709" s="3"/>
      <c r="O2709" s="3"/>
    </row>
    <row r="2710" spans="1:15">
      <c r="A2710" s="3">
        <v>39234</v>
      </c>
      <c r="B2710" s="3">
        <v>39234</v>
      </c>
      <c r="C2710">
        <v>122.02</v>
      </c>
      <c r="D2710">
        <v>1.3449</v>
      </c>
      <c r="E2710">
        <v>69.069999999999993</v>
      </c>
      <c r="F2710">
        <v>340.5</v>
      </c>
      <c r="K2710" s="3"/>
      <c r="O2710" s="3"/>
    </row>
    <row r="2711" spans="1:15">
      <c r="A2711" s="3">
        <v>39235</v>
      </c>
      <c r="B2711" s="3">
        <v>39235</v>
      </c>
      <c r="C2711">
        <v>122.02</v>
      </c>
      <c r="D2711">
        <v>1.3449</v>
      </c>
      <c r="E2711">
        <v>69.069999999999993</v>
      </c>
      <c r="F2711">
        <v>340.5</v>
      </c>
      <c r="K2711" s="3"/>
      <c r="O2711" s="3"/>
    </row>
    <row r="2712" spans="1:15">
      <c r="A2712" s="3">
        <v>39236</v>
      </c>
      <c r="B2712" s="3">
        <v>39236</v>
      </c>
      <c r="C2712">
        <v>122.02</v>
      </c>
      <c r="D2712">
        <v>1.3449</v>
      </c>
      <c r="E2712">
        <v>69.069999999999993</v>
      </c>
      <c r="F2712">
        <v>340.5</v>
      </c>
      <c r="K2712" s="3"/>
      <c r="O2712" s="3"/>
    </row>
    <row r="2713" spans="1:15">
      <c r="A2713" s="3">
        <v>39237</v>
      </c>
      <c r="B2713" s="3">
        <v>39237</v>
      </c>
      <c r="C2713">
        <v>121.76</v>
      </c>
      <c r="D2713">
        <v>1.349</v>
      </c>
      <c r="E2713">
        <v>70.400000000000006</v>
      </c>
      <c r="F2713">
        <v>346.8</v>
      </c>
      <c r="K2713" s="3"/>
      <c r="O2713" s="3"/>
    </row>
    <row r="2714" spans="1:15">
      <c r="A2714" s="3">
        <v>39238</v>
      </c>
      <c r="B2714" s="3">
        <v>39238</v>
      </c>
      <c r="C2714">
        <v>121.18</v>
      </c>
      <c r="D2714">
        <v>1.3524</v>
      </c>
      <c r="E2714">
        <v>70.45</v>
      </c>
      <c r="F2714">
        <v>344.15</v>
      </c>
      <c r="K2714" s="3"/>
      <c r="O2714" s="3"/>
    </row>
    <row r="2715" spans="1:15">
      <c r="A2715" s="3">
        <v>39239</v>
      </c>
      <c r="B2715" s="3">
        <v>39239</v>
      </c>
      <c r="C2715">
        <v>120.8</v>
      </c>
      <c r="D2715">
        <v>1.3504</v>
      </c>
      <c r="E2715">
        <v>71.02</v>
      </c>
      <c r="F2715">
        <v>340.4</v>
      </c>
      <c r="K2715" s="3"/>
      <c r="O2715" s="3"/>
    </row>
    <row r="2716" spans="1:15">
      <c r="A2716" s="3">
        <v>39240</v>
      </c>
      <c r="B2716" s="3">
        <v>39240</v>
      </c>
      <c r="C2716">
        <v>121.03</v>
      </c>
      <c r="D2716">
        <v>1.3432999999999999</v>
      </c>
      <c r="E2716">
        <v>71.22</v>
      </c>
      <c r="F2716">
        <v>337.7</v>
      </c>
      <c r="K2716" s="3"/>
      <c r="O2716" s="3"/>
    </row>
    <row r="2717" spans="1:15">
      <c r="A2717" s="3">
        <v>39241</v>
      </c>
      <c r="B2717" s="3">
        <v>39241</v>
      </c>
      <c r="C2717">
        <v>121.64</v>
      </c>
      <c r="D2717">
        <v>1.3372999999999999</v>
      </c>
      <c r="E2717">
        <v>68.599999999999994</v>
      </c>
      <c r="F2717">
        <v>325.75</v>
      </c>
      <c r="K2717" s="3"/>
      <c r="O2717" s="3"/>
    </row>
    <row r="2718" spans="1:15">
      <c r="A2718" s="3">
        <v>39242</v>
      </c>
      <c r="B2718" s="3">
        <v>39242</v>
      </c>
      <c r="C2718">
        <v>121.64</v>
      </c>
      <c r="D2718">
        <v>1.3372999999999999</v>
      </c>
      <c r="E2718">
        <v>68.599999999999994</v>
      </c>
      <c r="F2718">
        <v>325.75</v>
      </c>
      <c r="K2718" s="3"/>
      <c r="O2718" s="3"/>
    </row>
    <row r="2719" spans="1:15">
      <c r="A2719" s="3">
        <v>39243</v>
      </c>
      <c r="B2719" s="3">
        <v>39243</v>
      </c>
      <c r="C2719">
        <v>121.64</v>
      </c>
      <c r="D2719">
        <v>1.3372999999999999</v>
      </c>
      <c r="E2719">
        <v>68.599999999999994</v>
      </c>
      <c r="F2719">
        <v>325.75</v>
      </c>
      <c r="K2719" s="3"/>
      <c r="O2719" s="3"/>
    </row>
    <row r="2720" spans="1:15">
      <c r="A2720" s="3">
        <v>39244</v>
      </c>
      <c r="B2720" s="3">
        <v>39244</v>
      </c>
      <c r="C2720">
        <v>121.74</v>
      </c>
      <c r="D2720">
        <v>1.3357000000000001</v>
      </c>
      <c r="E2720">
        <v>69.56</v>
      </c>
      <c r="F2720">
        <v>335.6</v>
      </c>
      <c r="K2720" s="3"/>
      <c r="O2720" s="3"/>
    </row>
    <row r="2721" spans="1:15">
      <c r="A2721" s="3">
        <v>39245</v>
      </c>
      <c r="B2721" s="3">
        <v>39245</v>
      </c>
      <c r="C2721">
        <v>121.92</v>
      </c>
      <c r="D2721">
        <v>1.3302</v>
      </c>
      <c r="E2721">
        <v>68.790000000000006</v>
      </c>
      <c r="F2721">
        <v>328.7</v>
      </c>
      <c r="K2721" s="3"/>
      <c r="O2721" s="3"/>
    </row>
    <row r="2722" spans="1:15">
      <c r="A2722" s="3">
        <v>39246</v>
      </c>
      <c r="B2722" s="3">
        <v>39246</v>
      </c>
      <c r="C2722">
        <v>121.9</v>
      </c>
      <c r="D2722">
        <v>1.3310999999999999</v>
      </c>
      <c r="E2722">
        <v>69.94</v>
      </c>
      <c r="F2722">
        <v>331.3</v>
      </c>
      <c r="K2722" s="3"/>
      <c r="O2722" s="3"/>
    </row>
    <row r="2723" spans="1:15">
      <c r="A2723" s="3">
        <v>39247</v>
      </c>
      <c r="B2723" s="3">
        <v>39247</v>
      </c>
      <c r="C2723">
        <v>121.79</v>
      </c>
      <c r="D2723">
        <v>1.3311999999999999</v>
      </c>
      <c r="E2723">
        <v>70.959999999999994</v>
      </c>
      <c r="F2723">
        <v>339.25</v>
      </c>
      <c r="K2723" s="3"/>
      <c r="O2723" s="3"/>
    </row>
    <row r="2724" spans="1:15">
      <c r="A2724" s="3">
        <v>39248</v>
      </c>
      <c r="B2724" s="3">
        <v>39248</v>
      </c>
      <c r="C2724">
        <v>122.61</v>
      </c>
      <c r="D2724">
        <v>1.3388</v>
      </c>
      <c r="E2724">
        <v>71.47</v>
      </c>
      <c r="F2724">
        <v>342.2</v>
      </c>
      <c r="K2724" s="3"/>
      <c r="O2724" s="3"/>
    </row>
    <row r="2725" spans="1:15">
      <c r="A2725" s="3">
        <v>39249</v>
      </c>
      <c r="B2725" s="3">
        <v>39249</v>
      </c>
      <c r="C2725">
        <v>122.61</v>
      </c>
      <c r="D2725">
        <v>1.3388</v>
      </c>
      <c r="E2725">
        <v>71.47</v>
      </c>
      <c r="F2725">
        <v>342.2</v>
      </c>
      <c r="K2725" s="3"/>
      <c r="O2725" s="3"/>
    </row>
    <row r="2726" spans="1:15">
      <c r="A2726" s="3">
        <v>39250</v>
      </c>
      <c r="B2726" s="3">
        <v>39250</v>
      </c>
      <c r="C2726">
        <v>122.61</v>
      </c>
      <c r="D2726">
        <v>1.3388</v>
      </c>
      <c r="E2726">
        <v>71.47</v>
      </c>
      <c r="F2726">
        <v>342.2</v>
      </c>
      <c r="K2726" s="3"/>
      <c r="O2726" s="3"/>
    </row>
    <row r="2727" spans="1:15">
      <c r="A2727" s="3">
        <v>39251</v>
      </c>
      <c r="B2727" s="3">
        <v>39251</v>
      </c>
      <c r="C2727">
        <v>122.33</v>
      </c>
      <c r="D2727">
        <v>1.3413999999999999</v>
      </c>
      <c r="E2727">
        <v>72.180000000000007</v>
      </c>
      <c r="F2727">
        <v>341.8</v>
      </c>
      <c r="K2727" s="3"/>
      <c r="O2727" s="3"/>
    </row>
    <row r="2728" spans="1:15">
      <c r="A2728" s="3">
        <v>39252</v>
      </c>
      <c r="B2728" s="3">
        <v>39252</v>
      </c>
      <c r="C2728">
        <v>122.53</v>
      </c>
      <c r="D2728">
        <v>1.3427</v>
      </c>
      <c r="E2728">
        <v>71.84</v>
      </c>
      <c r="F2728">
        <v>339.45</v>
      </c>
      <c r="K2728" s="3"/>
      <c r="O2728" s="3"/>
    </row>
    <row r="2729" spans="1:15">
      <c r="A2729" s="3">
        <v>39253</v>
      </c>
      <c r="B2729" s="3">
        <v>39253</v>
      </c>
      <c r="C2729">
        <v>122.97</v>
      </c>
      <c r="D2729">
        <v>1.3404</v>
      </c>
      <c r="E2729">
        <v>70.42</v>
      </c>
      <c r="F2729">
        <v>344.25</v>
      </c>
      <c r="K2729" s="3"/>
      <c r="O2729" s="3"/>
    </row>
    <row r="2730" spans="1:15">
      <c r="A2730" s="3">
        <v>39254</v>
      </c>
      <c r="B2730" s="3">
        <v>39254</v>
      </c>
      <c r="C2730">
        <v>122.83</v>
      </c>
      <c r="D2730">
        <v>1.3389</v>
      </c>
      <c r="E2730">
        <v>70.22</v>
      </c>
      <c r="F2730">
        <v>340.3</v>
      </c>
      <c r="K2730" s="3"/>
      <c r="O2730" s="3"/>
    </row>
    <row r="2731" spans="1:15">
      <c r="A2731" s="3">
        <v>39255</v>
      </c>
      <c r="B2731" s="3">
        <v>39255</v>
      </c>
      <c r="C2731">
        <v>122.59</v>
      </c>
      <c r="D2731">
        <v>1.347</v>
      </c>
      <c r="E2731">
        <v>71.180000000000007</v>
      </c>
      <c r="F2731">
        <v>338.2</v>
      </c>
      <c r="K2731" s="3"/>
      <c r="O2731" s="3"/>
    </row>
    <row r="2732" spans="1:15">
      <c r="A2732" s="3">
        <v>39256</v>
      </c>
      <c r="B2732" s="3">
        <v>39256</v>
      </c>
      <c r="C2732">
        <v>122.59</v>
      </c>
      <c r="D2732">
        <v>1.347</v>
      </c>
      <c r="E2732">
        <v>71.180000000000007</v>
      </c>
      <c r="F2732">
        <v>338.2</v>
      </c>
      <c r="K2732" s="3"/>
      <c r="O2732" s="3"/>
    </row>
    <row r="2733" spans="1:15">
      <c r="A2733" s="3">
        <v>39257</v>
      </c>
      <c r="B2733" s="3">
        <v>39257</v>
      </c>
      <c r="C2733">
        <v>122.59</v>
      </c>
      <c r="D2733">
        <v>1.347</v>
      </c>
      <c r="E2733">
        <v>71.180000000000007</v>
      </c>
      <c r="F2733">
        <v>338.2</v>
      </c>
      <c r="K2733" s="3"/>
      <c r="O2733" s="3"/>
    </row>
    <row r="2734" spans="1:15">
      <c r="A2734" s="3">
        <v>39258</v>
      </c>
      <c r="B2734" s="3">
        <v>39258</v>
      </c>
      <c r="C2734">
        <v>121.96</v>
      </c>
      <c r="D2734">
        <v>1.3463000000000001</v>
      </c>
      <c r="E2734">
        <v>71.36</v>
      </c>
      <c r="F2734">
        <v>339.7</v>
      </c>
      <c r="K2734" s="3"/>
      <c r="O2734" s="3"/>
    </row>
    <row r="2735" spans="1:15">
      <c r="A2735" s="3">
        <v>39259</v>
      </c>
      <c r="B2735" s="3">
        <v>39259</v>
      </c>
      <c r="C2735">
        <v>121.72</v>
      </c>
      <c r="D2735">
        <v>1.3454999999999999</v>
      </c>
      <c r="E2735">
        <v>70.17</v>
      </c>
      <c r="F2735">
        <v>331.35</v>
      </c>
      <c r="K2735" s="3"/>
      <c r="O2735" s="3"/>
    </row>
    <row r="2736" spans="1:15">
      <c r="A2736" s="3">
        <v>39260</v>
      </c>
      <c r="B2736" s="3">
        <v>39260</v>
      </c>
      <c r="C2736">
        <v>121.45</v>
      </c>
      <c r="D2736">
        <v>1.3452999999999999</v>
      </c>
      <c r="E2736">
        <v>70.53</v>
      </c>
      <c r="F2736">
        <v>335.7</v>
      </c>
      <c r="K2736" s="3"/>
      <c r="O2736" s="3"/>
    </row>
    <row r="2737" spans="1:15">
      <c r="A2737" s="3">
        <v>39261</v>
      </c>
      <c r="B2737" s="3">
        <v>39261</v>
      </c>
      <c r="C2737">
        <v>122.03</v>
      </c>
      <c r="D2737">
        <v>1.3449</v>
      </c>
      <c r="E2737">
        <v>70.52</v>
      </c>
      <c r="F2737">
        <v>342.95</v>
      </c>
      <c r="K2737" s="3"/>
      <c r="O2737" s="3"/>
    </row>
    <row r="2738" spans="1:15">
      <c r="A2738" s="3">
        <v>39262</v>
      </c>
      <c r="B2738" s="3">
        <v>39262</v>
      </c>
      <c r="C2738">
        <v>122.09</v>
      </c>
      <c r="D2738">
        <v>1.3541000000000001</v>
      </c>
      <c r="E2738">
        <v>71.41</v>
      </c>
      <c r="F2738">
        <v>345.35</v>
      </c>
      <c r="K2738" s="3"/>
      <c r="O2738" s="3"/>
    </row>
    <row r="2739" spans="1:15">
      <c r="A2739" s="3">
        <v>39263</v>
      </c>
      <c r="B2739" s="3">
        <v>39263</v>
      </c>
      <c r="C2739">
        <v>122.09</v>
      </c>
      <c r="D2739">
        <v>1.3541000000000001</v>
      </c>
      <c r="E2739">
        <v>71.41</v>
      </c>
      <c r="F2739">
        <v>345.35</v>
      </c>
      <c r="K2739" s="3"/>
      <c r="O2739" s="3"/>
    </row>
    <row r="2740" spans="1:15">
      <c r="A2740" s="3">
        <v>39264</v>
      </c>
      <c r="B2740" s="3">
        <v>39264</v>
      </c>
      <c r="C2740">
        <v>122.09</v>
      </c>
      <c r="D2740">
        <v>1.3541000000000001</v>
      </c>
      <c r="E2740">
        <v>71.41</v>
      </c>
      <c r="F2740">
        <v>345.35</v>
      </c>
      <c r="K2740" s="3"/>
      <c r="O2740" s="3"/>
    </row>
    <row r="2741" spans="1:15">
      <c r="A2741" s="3">
        <v>39265</v>
      </c>
      <c r="B2741" s="3">
        <v>39265</v>
      </c>
      <c r="C2741">
        <v>121.83</v>
      </c>
      <c r="D2741">
        <v>1.3623000000000001</v>
      </c>
      <c r="E2741">
        <v>72.63</v>
      </c>
      <c r="F2741">
        <v>353.55</v>
      </c>
      <c r="K2741" s="3"/>
      <c r="O2741" s="3"/>
    </row>
    <row r="2742" spans="1:15">
      <c r="A2742" s="3">
        <v>39266</v>
      </c>
      <c r="B2742" s="3">
        <v>39266</v>
      </c>
      <c r="C2742">
        <v>121.69</v>
      </c>
      <c r="D2742">
        <v>1.3609</v>
      </c>
      <c r="E2742">
        <v>72.930000000000007</v>
      </c>
      <c r="F2742">
        <v>356.3</v>
      </c>
      <c r="K2742" s="3"/>
      <c r="O2742" s="3"/>
    </row>
    <row r="2743" spans="1:15">
      <c r="A2743" s="3">
        <v>39267</v>
      </c>
      <c r="B2743" s="3">
        <v>39267</v>
      </c>
      <c r="C2743">
        <v>121.64</v>
      </c>
      <c r="D2743">
        <v>1.3613</v>
      </c>
      <c r="E2743">
        <v>73.05</v>
      </c>
      <c r="F2743">
        <v>356.3</v>
      </c>
      <c r="K2743" s="3"/>
      <c r="O2743" s="3"/>
    </row>
    <row r="2744" spans="1:15">
      <c r="A2744" s="3">
        <v>39268</v>
      </c>
      <c r="B2744" s="3">
        <v>39268</v>
      </c>
      <c r="C2744">
        <v>121.87</v>
      </c>
      <c r="D2744">
        <v>1.3599000000000001</v>
      </c>
      <c r="E2744">
        <v>74.75</v>
      </c>
      <c r="F2744">
        <v>360.85</v>
      </c>
      <c r="K2744" s="3"/>
      <c r="O2744" s="3"/>
    </row>
    <row r="2745" spans="1:15">
      <c r="A2745" s="3">
        <v>39269</v>
      </c>
      <c r="B2745" s="3">
        <v>39269</v>
      </c>
      <c r="C2745">
        <v>121.77</v>
      </c>
      <c r="D2745">
        <v>1.3627</v>
      </c>
      <c r="E2745">
        <v>75.62</v>
      </c>
      <c r="F2745">
        <v>361.1</v>
      </c>
      <c r="K2745" s="3"/>
      <c r="O2745" s="3"/>
    </row>
    <row r="2746" spans="1:15">
      <c r="A2746" s="3">
        <v>39270</v>
      </c>
      <c r="B2746" s="3">
        <v>39270</v>
      </c>
      <c r="C2746">
        <v>121.77</v>
      </c>
      <c r="D2746">
        <v>1.3627</v>
      </c>
      <c r="E2746">
        <v>75.62</v>
      </c>
      <c r="F2746">
        <v>361.1</v>
      </c>
      <c r="K2746" s="3"/>
      <c r="O2746" s="3"/>
    </row>
    <row r="2747" spans="1:15">
      <c r="A2747" s="3">
        <v>39271</v>
      </c>
      <c r="B2747" s="3">
        <v>39271</v>
      </c>
      <c r="C2747">
        <v>121.77</v>
      </c>
      <c r="D2747">
        <v>1.3627</v>
      </c>
      <c r="E2747">
        <v>75.62</v>
      </c>
      <c r="F2747">
        <v>361.1</v>
      </c>
      <c r="K2747" s="3"/>
      <c r="O2747" s="3"/>
    </row>
    <row r="2748" spans="1:15">
      <c r="A2748" s="3">
        <v>39272</v>
      </c>
      <c r="B2748" s="3">
        <v>39272</v>
      </c>
      <c r="C2748">
        <v>121.99</v>
      </c>
      <c r="D2748">
        <v>1.3626</v>
      </c>
      <c r="E2748">
        <v>75.78</v>
      </c>
      <c r="F2748">
        <v>364.85</v>
      </c>
      <c r="K2748" s="3"/>
      <c r="O2748" s="3"/>
    </row>
    <row r="2749" spans="1:15">
      <c r="A2749" s="3">
        <v>39273</v>
      </c>
      <c r="B2749" s="3">
        <v>39273</v>
      </c>
      <c r="C2749">
        <v>121.39</v>
      </c>
      <c r="D2749">
        <v>1.3747</v>
      </c>
      <c r="E2749">
        <v>76.400000000000006</v>
      </c>
      <c r="F2749">
        <v>362.85</v>
      </c>
      <c r="K2749" s="3"/>
      <c r="O2749" s="3"/>
    </row>
    <row r="2750" spans="1:15">
      <c r="A2750" s="3">
        <v>39274</v>
      </c>
      <c r="B2750" s="3">
        <v>39274</v>
      </c>
      <c r="C2750">
        <v>121.4</v>
      </c>
      <c r="D2750">
        <v>1.3745000000000001</v>
      </c>
      <c r="E2750">
        <v>75.44</v>
      </c>
      <c r="F2750">
        <v>364.15</v>
      </c>
      <c r="K2750" s="3"/>
      <c r="O2750" s="3"/>
    </row>
    <row r="2751" spans="1:15">
      <c r="A2751" s="3">
        <v>39275</v>
      </c>
      <c r="B2751" s="3">
        <v>39275</v>
      </c>
      <c r="C2751">
        <v>121.87</v>
      </c>
      <c r="D2751">
        <v>1.3789</v>
      </c>
      <c r="E2751">
        <v>76.400000000000006</v>
      </c>
      <c r="F2751">
        <v>360.2</v>
      </c>
      <c r="K2751" s="3"/>
      <c r="O2751" s="3"/>
    </row>
    <row r="2752" spans="1:15">
      <c r="A2752" s="3">
        <v>39276</v>
      </c>
      <c r="B2752" s="3">
        <v>39276</v>
      </c>
      <c r="C2752">
        <v>121.78</v>
      </c>
      <c r="D2752">
        <v>1.3782000000000001</v>
      </c>
      <c r="E2752">
        <v>77.569999999999993</v>
      </c>
      <c r="F2752">
        <v>361.55</v>
      </c>
      <c r="K2752" s="3"/>
      <c r="O2752" s="3"/>
    </row>
    <row r="2753" spans="1:15">
      <c r="A2753" s="3">
        <v>39277</v>
      </c>
      <c r="B2753" s="3">
        <v>39277</v>
      </c>
      <c r="C2753">
        <v>121.78</v>
      </c>
      <c r="D2753">
        <v>1.3782000000000001</v>
      </c>
      <c r="E2753">
        <v>77.569999999999993</v>
      </c>
      <c r="F2753">
        <v>361.55</v>
      </c>
      <c r="K2753" s="3"/>
      <c r="O2753" s="3"/>
    </row>
    <row r="2754" spans="1:15">
      <c r="A2754" s="3">
        <v>39278</v>
      </c>
      <c r="B2754" s="3">
        <v>39278</v>
      </c>
      <c r="C2754">
        <v>121.78</v>
      </c>
      <c r="D2754">
        <v>1.3782000000000001</v>
      </c>
      <c r="E2754">
        <v>77.569999999999993</v>
      </c>
      <c r="F2754">
        <v>361.55</v>
      </c>
      <c r="K2754" s="3"/>
      <c r="O2754" s="3"/>
    </row>
    <row r="2755" spans="1:15">
      <c r="A2755" s="3">
        <v>39279</v>
      </c>
      <c r="B2755" s="3">
        <v>39279</v>
      </c>
      <c r="C2755">
        <v>121.96</v>
      </c>
      <c r="D2755">
        <v>1.3772</v>
      </c>
      <c r="E2755">
        <v>77.33</v>
      </c>
      <c r="F2755">
        <v>358.85</v>
      </c>
      <c r="K2755" s="3"/>
      <c r="O2755" s="3"/>
    </row>
    <row r="2756" spans="1:15">
      <c r="A2756" s="3">
        <v>39280</v>
      </c>
      <c r="B2756" s="3">
        <v>39280</v>
      </c>
      <c r="C2756">
        <v>121.66</v>
      </c>
      <c r="D2756">
        <v>1.3781000000000001</v>
      </c>
      <c r="E2756">
        <v>75.53</v>
      </c>
      <c r="F2756">
        <v>358.5</v>
      </c>
      <c r="K2756" s="3"/>
      <c r="O2756" s="3"/>
    </row>
    <row r="2757" spans="1:15">
      <c r="A2757" s="3">
        <v>39281</v>
      </c>
      <c r="B2757" s="3">
        <v>39281</v>
      </c>
      <c r="C2757">
        <v>122.16</v>
      </c>
      <c r="D2757">
        <v>1.3803000000000001</v>
      </c>
      <c r="E2757">
        <v>76.760000000000005</v>
      </c>
      <c r="F2757">
        <v>361</v>
      </c>
      <c r="K2757" s="3"/>
      <c r="O2757" s="3"/>
    </row>
    <row r="2758" spans="1:15">
      <c r="A2758" s="3">
        <v>39282</v>
      </c>
      <c r="B2758" s="3">
        <v>39282</v>
      </c>
      <c r="C2758">
        <v>121.93</v>
      </c>
      <c r="D2758">
        <v>1.3804000000000001</v>
      </c>
      <c r="E2758">
        <v>77.67</v>
      </c>
      <c r="F2758">
        <v>370.95</v>
      </c>
      <c r="K2758" s="3"/>
      <c r="O2758" s="3"/>
    </row>
    <row r="2759" spans="1:15">
      <c r="A2759" s="3">
        <v>39283</v>
      </c>
      <c r="B2759" s="3">
        <v>39283</v>
      </c>
      <c r="C2759">
        <v>121.97</v>
      </c>
      <c r="D2759">
        <v>1.3827</v>
      </c>
      <c r="E2759">
        <v>77.64</v>
      </c>
      <c r="F2759">
        <v>375.4</v>
      </c>
      <c r="K2759" s="3"/>
      <c r="O2759" s="3"/>
    </row>
    <row r="2760" spans="1:15">
      <c r="A2760" s="3">
        <v>39284</v>
      </c>
      <c r="B2760" s="3">
        <v>39284</v>
      </c>
      <c r="C2760">
        <v>121.97</v>
      </c>
      <c r="D2760">
        <v>1.3827</v>
      </c>
      <c r="E2760">
        <v>77.64</v>
      </c>
      <c r="F2760">
        <v>375.4</v>
      </c>
      <c r="K2760" s="3"/>
      <c r="O2760" s="3"/>
    </row>
    <row r="2761" spans="1:15">
      <c r="A2761" s="3">
        <v>39285</v>
      </c>
      <c r="B2761" s="3">
        <v>39285</v>
      </c>
      <c r="C2761">
        <v>121.97</v>
      </c>
      <c r="D2761">
        <v>1.3827</v>
      </c>
      <c r="E2761">
        <v>77.64</v>
      </c>
      <c r="F2761">
        <v>375.4</v>
      </c>
      <c r="K2761" s="3"/>
      <c r="O2761" s="3"/>
    </row>
    <row r="2762" spans="1:15">
      <c r="A2762" s="3">
        <v>39286</v>
      </c>
      <c r="B2762" s="3">
        <v>39286</v>
      </c>
      <c r="C2762">
        <v>122.05</v>
      </c>
      <c r="D2762">
        <v>1.3807</v>
      </c>
      <c r="E2762">
        <v>76.86</v>
      </c>
      <c r="F2762">
        <v>369</v>
      </c>
      <c r="K2762" s="3"/>
      <c r="O2762" s="3"/>
    </row>
    <row r="2763" spans="1:15">
      <c r="A2763" s="3">
        <v>39287</v>
      </c>
      <c r="B2763" s="3">
        <v>39287</v>
      </c>
      <c r="C2763">
        <v>122.27</v>
      </c>
      <c r="D2763">
        <v>1.3823000000000001</v>
      </c>
      <c r="E2763">
        <v>75.08</v>
      </c>
      <c r="F2763">
        <v>364.85</v>
      </c>
      <c r="K2763" s="3"/>
      <c r="O2763" s="3"/>
    </row>
    <row r="2764" spans="1:15">
      <c r="A2764" s="3">
        <v>39288</v>
      </c>
      <c r="B2764" s="3">
        <v>39288</v>
      </c>
      <c r="C2764">
        <v>122.63</v>
      </c>
      <c r="D2764">
        <v>1.3722000000000001</v>
      </c>
      <c r="E2764">
        <v>76.319999999999993</v>
      </c>
      <c r="F2764">
        <v>357.05</v>
      </c>
      <c r="K2764" s="3"/>
      <c r="O2764" s="3"/>
    </row>
    <row r="2765" spans="1:15">
      <c r="A2765" s="3">
        <v>39289</v>
      </c>
      <c r="B2765" s="3">
        <v>39289</v>
      </c>
      <c r="C2765">
        <v>122.87</v>
      </c>
      <c r="D2765">
        <v>1.3747</v>
      </c>
      <c r="E2765">
        <v>75.180000000000007</v>
      </c>
      <c r="F2765">
        <v>352.85</v>
      </c>
      <c r="K2765" s="3"/>
      <c r="O2765" s="3"/>
    </row>
    <row r="2766" spans="1:15">
      <c r="A2766" s="3">
        <v>39290</v>
      </c>
      <c r="B2766" s="3">
        <v>39290</v>
      </c>
      <c r="C2766">
        <v>123.84</v>
      </c>
      <c r="D2766">
        <v>1.3635999999999999</v>
      </c>
      <c r="E2766">
        <v>76.260000000000005</v>
      </c>
      <c r="F2766">
        <v>355.1</v>
      </c>
      <c r="K2766" s="3"/>
      <c r="O2766" s="3"/>
    </row>
    <row r="2767" spans="1:15">
      <c r="A2767" s="3">
        <v>39291</v>
      </c>
      <c r="B2767" s="3">
        <v>39291</v>
      </c>
      <c r="C2767">
        <v>123.84</v>
      </c>
      <c r="D2767">
        <v>1.3635999999999999</v>
      </c>
      <c r="E2767">
        <v>76.260000000000005</v>
      </c>
      <c r="F2767">
        <v>355.1</v>
      </c>
      <c r="K2767" s="3"/>
      <c r="O2767" s="3"/>
    </row>
    <row r="2768" spans="1:15">
      <c r="A2768" s="3">
        <v>39292</v>
      </c>
      <c r="B2768" s="3">
        <v>39292</v>
      </c>
      <c r="C2768">
        <v>123.84</v>
      </c>
      <c r="D2768">
        <v>1.3635999999999999</v>
      </c>
      <c r="E2768">
        <v>76.260000000000005</v>
      </c>
      <c r="F2768">
        <v>355.1</v>
      </c>
      <c r="K2768" s="3"/>
      <c r="O2768" s="3"/>
    </row>
    <row r="2769" spans="1:15">
      <c r="A2769" s="3">
        <v>39293</v>
      </c>
      <c r="B2769" s="3">
        <v>39293</v>
      </c>
      <c r="C2769">
        <v>123.8</v>
      </c>
      <c r="D2769">
        <v>1.3696999999999999</v>
      </c>
      <c r="E2769">
        <v>75.739999999999995</v>
      </c>
      <c r="F2769">
        <v>358.85</v>
      </c>
      <c r="K2769" s="3"/>
      <c r="O2769" s="3"/>
    </row>
    <row r="2770" spans="1:15">
      <c r="A2770" s="3">
        <v>39294</v>
      </c>
      <c r="B2770" s="3">
        <v>39294</v>
      </c>
      <c r="C2770">
        <v>123.57</v>
      </c>
      <c r="D2770">
        <v>1.3684000000000001</v>
      </c>
      <c r="E2770">
        <v>77.05</v>
      </c>
      <c r="F2770">
        <v>364.85</v>
      </c>
      <c r="K2770" s="3"/>
      <c r="O2770" s="3"/>
    </row>
    <row r="2771" spans="1:15">
      <c r="A2771" s="3">
        <v>39295</v>
      </c>
      <c r="B2771" s="3">
        <v>39295</v>
      </c>
      <c r="C2771">
        <v>123.51</v>
      </c>
      <c r="D2771">
        <v>1.3667</v>
      </c>
      <c r="E2771">
        <v>75.349999999999994</v>
      </c>
      <c r="F2771">
        <v>358.5</v>
      </c>
      <c r="K2771" s="3"/>
      <c r="O2771" s="3"/>
    </row>
    <row r="2772" spans="1:15">
      <c r="A2772" s="3">
        <v>39296</v>
      </c>
      <c r="B2772" s="3">
        <v>39296</v>
      </c>
      <c r="C2772">
        <v>123.71</v>
      </c>
      <c r="D2772">
        <v>1.3703000000000001</v>
      </c>
      <c r="E2772">
        <v>75.760000000000005</v>
      </c>
      <c r="F2772">
        <v>357.3</v>
      </c>
      <c r="K2772" s="3"/>
      <c r="O2772" s="3"/>
    </row>
    <row r="2773" spans="1:15">
      <c r="A2773" s="3">
        <v>39297</v>
      </c>
      <c r="B2773" s="3">
        <v>39297</v>
      </c>
      <c r="C2773">
        <v>124.11</v>
      </c>
      <c r="D2773">
        <v>1.3773</v>
      </c>
      <c r="E2773">
        <v>74.75</v>
      </c>
      <c r="F2773">
        <v>347.9</v>
      </c>
      <c r="K2773" s="3"/>
      <c r="O2773" s="3"/>
    </row>
    <row r="2774" spans="1:15">
      <c r="A2774" s="3">
        <v>39298</v>
      </c>
      <c r="B2774" s="3">
        <v>39298</v>
      </c>
      <c r="C2774">
        <v>124.11</v>
      </c>
      <c r="D2774">
        <v>1.3773</v>
      </c>
      <c r="E2774">
        <v>74.75</v>
      </c>
      <c r="F2774">
        <v>347.9</v>
      </c>
      <c r="K2774" s="3"/>
      <c r="O2774" s="3"/>
    </row>
    <row r="2775" spans="1:15">
      <c r="A2775" s="3">
        <v>39299</v>
      </c>
      <c r="B2775" s="3">
        <v>39299</v>
      </c>
      <c r="C2775">
        <v>124.11</v>
      </c>
      <c r="D2775">
        <v>1.3773</v>
      </c>
      <c r="E2775">
        <v>74.75</v>
      </c>
      <c r="F2775">
        <v>347.9</v>
      </c>
      <c r="K2775" s="3"/>
      <c r="O2775" s="3"/>
    </row>
    <row r="2776" spans="1:15">
      <c r="A2776" s="3">
        <v>39300</v>
      </c>
      <c r="B2776" s="3">
        <v>39300</v>
      </c>
      <c r="C2776">
        <v>124.56</v>
      </c>
      <c r="D2776">
        <v>1.3793</v>
      </c>
      <c r="E2776">
        <v>71.17</v>
      </c>
      <c r="F2776">
        <v>347.35</v>
      </c>
      <c r="K2776" s="3"/>
      <c r="O2776" s="3"/>
    </row>
    <row r="2777" spans="1:15">
      <c r="A2777" s="3">
        <v>39301</v>
      </c>
      <c r="B2777" s="3">
        <v>39301</v>
      </c>
      <c r="C2777">
        <v>124.47</v>
      </c>
      <c r="D2777">
        <v>1.3735999999999999</v>
      </c>
      <c r="E2777">
        <v>71.8</v>
      </c>
      <c r="F2777">
        <v>350.65</v>
      </c>
      <c r="K2777" s="3"/>
      <c r="O2777" s="3"/>
    </row>
    <row r="2778" spans="1:15">
      <c r="A2778" s="3">
        <v>39302</v>
      </c>
      <c r="B2778" s="3">
        <v>39302</v>
      </c>
      <c r="C2778">
        <v>124.6</v>
      </c>
      <c r="D2778">
        <v>1.3797999999999999</v>
      </c>
      <c r="E2778">
        <v>70.989999999999995</v>
      </c>
      <c r="F2778">
        <v>343.9</v>
      </c>
      <c r="K2778" s="3"/>
      <c r="O2778" s="3"/>
    </row>
    <row r="2779" spans="1:15">
      <c r="A2779" s="3">
        <v>39303</v>
      </c>
      <c r="B2779" s="3">
        <v>39303</v>
      </c>
      <c r="C2779">
        <v>124.93</v>
      </c>
      <c r="D2779">
        <v>1.3677999999999999</v>
      </c>
      <c r="E2779">
        <v>70.209999999999994</v>
      </c>
      <c r="F2779">
        <v>336.1</v>
      </c>
      <c r="K2779" s="3"/>
      <c r="O2779" s="3"/>
    </row>
    <row r="2780" spans="1:15">
      <c r="A2780" s="3">
        <v>39304</v>
      </c>
      <c r="B2780" s="3">
        <v>39304</v>
      </c>
      <c r="C2780">
        <v>125</v>
      </c>
      <c r="D2780">
        <v>1.3693</v>
      </c>
      <c r="E2780">
        <v>70.39</v>
      </c>
      <c r="F2780">
        <v>335.95</v>
      </c>
      <c r="K2780" s="3"/>
      <c r="O2780" s="3"/>
    </row>
    <row r="2781" spans="1:15">
      <c r="A2781" s="3">
        <v>39305</v>
      </c>
      <c r="B2781" s="3">
        <v>39305</v>
      </c>
      <c r="C2781">
        <v>125</v>
      </c>
      <c r="D2781">
        <v>1.3693</v>
      </c>
      <c r="E2781">
        <v>70.39</v>
      </c>
      <c r="F2781">
        <v>335.95</v>
      </c>
      <c r="K2781" s="3"/>
      <c r="O2781" s="3"/>
    </row>
    <row r="2782" spans="1:15">
      <c r="A2782" s="3">
        <v>39306</v>
      </c>
      <c r="B2782" s="3">
        <v>39306</v>
      </c>
      <c r="C2782">
        <v>125</v>
      </c>
      <c r="D2782">
        <v>1.3693</v>
      </c>
      <c r="E2782">
        <v>70.39</v>
      </c>
      <c r="F2782">
        <v>335.95</v>
      </c>
      <c r="K2782" s="3"/>
      <c r="O2782" s="3"/>
    </row>
    <row r="2783" spans="1:15">
      <c r="A2783" s="3">
        <v>39307</v>
      </c>
      <c r="B2783" s="3">
        <v>39307</v>
      </c>
      <c r="C2783">
        <v>125.32</v>
      </c>
      <c r="D2783">
        <v>1.3613</v>
      </c>
      <c r="E2783">
        <v>70.23</v>
      </c>
      <c r="F2783">
        <v>344.1</v>
      </c>
      <c r="K2783" s="3"/>
      <c r="O2783" s="3"/>
    </row>
    <row r="2784" spans="1:15">
      <c r="A2784" s="3">
        <v>39308</v>
      </c>
      <c r="B2784" s="3">
        <v>39308</v>
      </c>
      <c r="C2784">
        <v>125.3</v>
      </c>
      <c r="D2784">
        <v>1.3532999999999999</v>
      </c>
      <c r="E2784">
        <v>70.510000000000005</v>
      </c>
      <c r="F2784">
        <v>337</v>
      </c>
      <c r="K2784" s="3"/>
      <c r="O2784" s="3"/>
    </row>
    <row r="2785" spans="1:15">
      <c r="A2785" s="3">
        <v>39309</v>
      </c>
      <c r="B2785" s="3">
        <v>39309</v>
      </c>
      <c r="C2785">
        <v>125.38</v>
      </c>
      <c r="D2785">
        <v>1.3442000000000001</v>
      </c>
      <c r="E2785">
        <v>71.64</v>
      </c>
      <c r="F2785">
        <v>333.2</v>
      </c>
      <c r="K2785" s="3"/>
      <c r="O2785" s="3"/>
    </row>
    <row r="2786" spans="1:15">
      <c r="A2786" s="3">
        <v>39310</v>
      </c>
      <c r="B2786" s="3">
        <v>39310</v>
      </c>
      <c r="C2786">
        <v>125.11</v>
      </c>
      <c r="D2786">
        <v>1.3426</v>
      </c>
      <c r="E2786">
        <v>69.42</v>
      </c>
      <c r="F2786">
        <v>309</v>
      </c>
      <c r="K2786" s="3"/>
      <c r="O2786" s="3"/>
    </row>
    <row r="2787" spans="1:15">
      <c r="A2787" s="3">
        <v>39311</v>
      </c>
      <c r="B2787" s="3">
        <v>39311</v>
      </c>
      <c r="C2787">
        <v>125.05</v>
      </c>
      <c r="D2787">
        <v>1.3474999999999999</v>
      </c>
      <c r="E2787">
        <v>70.44</v>
      </c>
      <c r="F2787">
        <v>314.64999999999998</v>
      </c>
      <c r="K2787" s="3"/>
      <c r="O2787" s="3"/>
    </row>
    <row r="2788" spans="1:15">
      <c r="A2788" s="3">
        <v>39312</v>
      </c>
      <c r="B2788" s="3">
        <v>39312</v>
      </c>
      <c r="C2788">
        <v>125.05</v>
      </c>
      <c r="D2788">
        <v>1.3474999999999999</v>
      </c>
      <c r="E2788">
        <v>70.44</v>
      </c>
      <c r="F2788">
        <v>314.64999999999998</v>
      </c>
      <c r="K2788" s="3"/>
      <c r="O2788" s="3"/>
    </row>
    <row r="2789" spans="1:15">
      <c r="A2789" s="3">
        <v>39313</v>
      </c>
      <c r="B2789" s="3">
        <v>39313</v>
      </c>
      <c r="C2789">
        <v>125.05</v>
      </c>
      <c r="D2789">
        <v>1.3474999999999999</v>
      </c>
      <c r="E2789">
        <v>70.44</v>
      </c>
      <c r="F2789">
        <v>314.64999999999998</v>
      </c>
      <c r="K2789" s="3"/>
      <c r="O2789" s="3"/>
    </row>
    <row r="2790" spans="1:15">
      <c r="A2790" s="3">
        <v>39314</v>
      </c>
      <c r="B2790" s="3">
        <v>39314</v>
      </c>
      <c r="C2790">
        <v>125.13</v>
      </c>
      <c r="D2790">
        <v>1.3473999999999999</v>
      </c>
      <c r="E2790">
        <v>69.849999999999994</v>
      </c>
      <c r="F2790">
        <v>315.95</v>
      </c>
      <c r="K2790" s="3"/>
      <c r="O2790" s="3"/>
    </row>
    <row r="2791" spans="1:15">
      <c r="A2791" s="3">
        <v>39315</v>
      </c>
      <c r="B2791" s="3">
        <v>39315</v>
      </c>
      <c r="C2791">
        <v>125.12</v>
      </c>
      <c r="D2791">
        <v>1.3466</v>
      </c>
      <c r="E2791">
        <v>68.69</v>
      </c>
      <c r="F2791">
        <v>315</v>
      </c>
      <c r="K2791" s="3"/>
      <c r="O2791" s="3"/>
    </row>
    <row r="2792" spans="1:15">
      <c r="A2792" s="3">
        <v>39316</v>
      </c>
      <c r="B2792" s="3">
        <v>39316</v>
      </c>
      <c r="C2792">
        <v>125.44</v>
      </c>
      <c r="D2792">
        <v>1.3543000000000001</v>
      </c>
      <c r="E2792">
        <v>68.7</v>
      </c>
      <c r="F2792">
        <v>321.2</v>
      </c>
      <c r="K2792" s="3"/>
      <c r="O2792" s="3"/>
    </row>
    <row r="2793" spans="1:15">
      <c r="A2793" s="3">
        <v>39317</v>
      </c>
      <c r="B2793" s="3">
        <v>39317</v>
      </c>
      <c r="C2793">
        <v>125.61</v>
      </c>
      <c r="D2793">
        <v>1.3565</v>
      </c>
      <c r="E2793">
        <v>69.86</v>
      </c>
      <c r="F2793">
        <v>326.3</v>
      </c>
      <c r="K2793" s="3"/>
      <c r="O2793" s="3"/>
    </row>
    <row r="2794" spans="1:15">
      <c r="A2794" s="3">
        <v>39318</v>
      </c>
      <c r="B2794" s="3">
        <v>39318</v>
      </c>
      <c r="C2794">
        <v>126.05</v>
      </c>
      <c r="D2794">
        <v>1.3674999999999999</v>
      </c>
      <c r="E2794">
        <v>70.62</v>
      </c>
      <c r="F2794">
        <v>333.75</v>
      </c>
      <c r="K2794" s="3"/>
      <c r="O2794" s="3"/>
    </row>
    <row r="2795" spans="1:15">
      <c r="A2795" s="3">
        <v>39319</v>
      </c>
      <c r="B2795" s="3">
        <v>39319</v>
      </c>
      <c r="C2795">
        <v>126.05</v>
      </c>
      <c r="D2795">
        <v>1.3674999999999999</v>
      </c>
      <c r="E2795">
        <v>70.62</v>
      </c>
      <c r="F2795">
        <v>333.75</v>
      </c>
      <c r="K2795" s="3"/>
      <c r="O2795" s="3"/>
    </row>
    <row r="2796" spans="1:15">
      <c r="A2796" s="3">
        <v>39320</v>
      </c>
      <c r="B2796" s="3">
        <v>39320</v>
      </c>
      <c r="C2796">
        <v>126.05</v>
      </c>
      <c r="D2796">
        <v>1.3674999999999999</v>
      </c>
      <c r="E2796">
        <v>70.62</v>
      </c>
      <c r="F2796">
        <v>333.75</v>
      </c>
      <c r="K2796" s="3"/>
      <c r="O2796" s="3"/>
    </row>
    <row r="2797" spans="1:15">
      <c r="A2797" s="3">
        <v>39321</v>
      </c>
      <c r="B2797" s="3">
        <v>39321</v>
      </c>
      <c r="C2797">
        <v>126.33</v>
      </c>
      <c r="D2797">
        <v>1.3647</v>
      </c>
      <c r="E2797">
        <v>70.95</v>
      </c>
      <c r="F2797">
        <v>334.95</v>
      </c>
      <c r="K2797" s="3"/>
      <c r="O2797" s="3"/>
    </row>
    <row r="2798" spans="1:15">
      <c r="A2798" s="3">
        <v>39322</v>
      </c>
      <c r="B2798" s="3">
        <v>39322</v>
      </c>
      <c r="C2798">
        <v>126.19</v>
      </c>
      <c r="D2798">
        <v>1.3603000000000001</v>
      </c>
      <c r="E2798">
        <v>70.55</v>
      </c>
      <c r="F2798">
        <v>331.15</v>
      </c>
      <c r="K2798" s="3"/>
      <c r="O2798" s="3"/>
    </row>
    <row r="2799" spans="1:15">
      <c r="A2799" s="3">
        <v>39323</v>
      </c>
      <c r="B2799" s="3">
        <v>39323</v>
      </c>
      <c r="C2799">
        <v>126.39</v>
      </c>
      <c r="D2799">
        <v>1.3676999999999999</v>
      </c>
      <c r="E2799">
        <v>72.13</v>
      </c>
      <c r="F2799">
        <v>335</v>
      </c>
      <c r="K2799" s="3"/>
      <c r="O2799" s="3"/>
    </row>
    <row r="2800" spans="1:15">
      <c r="A2800" s="3">
        <v>39324</v>
      </c>
      <c r="B2800" s="3">
        <v>39324</v>
      </c>
      <c r="C2800">
        <v>126.39</v>
      </c>
      <c r="D2800">
        <v>1.3625</v>
      </c>
      <c r="E2800">
        <v>71.900000000000006</v>
      </c>
      <c r="F2800">
        <v>335.35</v>
      </c>
      <c r="K2800" s="3"/>
      <c r="O2800" s="3"/>
    </row>
    <row r="2801" spans="1:15">
      <c r="A2801" s="3">
        <v>39325</v>
      </c>
      <c r="B2801" s="3">
        <v>39325</v>
      </c>
      <c r="C2801">
        <v>126.39</v>
      </c>
      <c r="D2801">
        <v>1.363</v>
      </c>
      <c r="E2801">
        <v>72.69</v>
      </c>
      <c r="F2801">
        <v>341.1</v>
      </c>
      <c r="K2801" s="3"/>
      <c r="O2801" s="3"/>
    </row>
    <row r="2802" spans="1:15">
      <c r="A2802" s="3">
        <v>39326</v>
      </c>
      <c r="B2802" s="3">
        <v>39326</v>
      </c>
      <c r="C2802">
        <v>126.39</v>
      </c>
      <c r="D2802">
        <v>1.363</v>
      </c>
      <c r="E2802">
        <v>72.69</v>
      </c>
      <c r="F2802">
        <v>341.1</v>
      </c>
      <c r="K2802" s="3"/>
      <c r="O2802" s="3"/>
    </row>
    <row r="2803" spans="1:15">
      <c r="A2803" s="3">
        <v>39327</v>
      </c>
      <c r="B2803" s="3">
        <v>39327</v>
      </c>
      <c r="C2803">
        <v>126.39</v>
      </c>
      <c r="D2803">
        <v>1.363</v>
      </c>
      <c r="E2803">
        <v>72.69</v>
      </c>
      <c r="F2803">
        <v>341.1</v>
      </c>
      <c r="K2803" s="3"/>
      <c r="O2803" s="3"/>
    </row>
    <row r="2804" spans="1:15">
      <c r="A2804" s="3">
        <v>39328</v>
      </c>
      <c r="B2804" s="3">
        <v>39328</v>
      </c>
      <c r="C2804">
        <v>124.7</v>
      </c>
      <c r="D2804">
        <v>1.3624000000000001</v>
      </c>
      <c r="E2804">
        <v>73.41</v>
      </c>
      <c r="F2804">
        <v>341.1</v>
      </c>
      <c r="K2804" s="3"/>
      <c r="O2804" s="3"/>
    </row>
    <row r="2805" spans="1:15">
      <c r="A2805" s="3">
        <v>39329</v>
      </c>
      <c r="B2805" s="3">
        <v>39329</v>
      </c>
      <c r="C2805">
        <v>123.74</v>
      </c>
      <c r="D2805">
        <v>1.3605</v>
      </c>
      <c r="E2805">
        <v>73.92</v>
      </c>
      <c r="F2805">
        <v>332.25</v>
      </c>
      <c r="K2805" s="3"/>
      <c r="O2805" s="3"/>
    </row>
    <row r="2806" spans="1:15">
      <c r="A2806" s="3">
        <v>39330</v>
      </c>
      <c r="B2806" s="3">
        <v>39330</v>
      </c>
      <c r="C2806">
        <v>123.18</v>
      </c>
      <c r="D2806">
        <v>1.3646</v>
      </c>
      <c r="E2806">
        <v>74.34</v>
      </c>
      <c r="F2806">
        <v>327.9</v>
      </c>
      <c r="K2806" s="3"/>
      <c r="O2806" s="3"/>
    </row>
    <row r="2807" spans="1:15">
      <c r="A2807" s="3">
        <v>39331</v>
      </c>
      <c r="B2807" s="3">
        <v>39331</v>
      </c>
      <c r="C2807">
        <v>122.29</v>
      </c>
      <c r="D2807">
        <v>1.3691</v>
      </c>
      <c r="E2807">
        <v>74.77</v>
      </c>
      <c r="F2807">
        <v>331.55</v>
      </c>
      <c r="K2807" s="3"/>
      <c r="O2807" s="3"/>
    </row>
    <row r="2808" spans="1:15">
      <c r="A2808" s="3">
        <v>39332</v>
      </c>
      <c r="B2808" s="3">
        <v>39332</v>
      </c>
      <c r="C2808">
        <v>122.53</v>
      </c>
      <c r="D2808">
        <v>1.3768</v>
      </c>
      <c r="E2808">
        <v>75.069999999999993</v>
      </c>
      <c r="F2808">
        <v>325.95</v>
      </c>
      <c r="K2808" s="3"/>
      <c r="O2808" s="3"/>
    </row>
    <row r="2809" spans="1:15">
      <c r="A2809" s="3">
        <v>39333</v>
      </c>
      <c r="B2809" s="3">
        <v>39333</v>
      </c>
      <c r="C2809">
        <v>122.53</v>
      </c>
      <c r="D2809">
        <v>1.3768</v>
      </c>
      <c r="E2809">
        <v>75.069999999999993</v>
      </c>
      <c r="F2809">
        <v>325.95</v>
      </c>
      <c r="K2809" s="3"/>
      <c r="O2809" s="3"/>
    </row>
    <row r="2810" spans="1:15">
      <c r="A2810" s="3">
        <v>39334</v>
      </c>
      <c r="B2810" s="3">
        <v>39334</v>
      </c>
      <c r="C2810">
        <v>122.53</v>
      </c>
      <c r="D2810">
        <v>1.3768</v>
      </c>
      <c r="E2810">
        <v>75.069999999999993</v>
      </c>
      <c r="F2810">
        <v>325.95</v>
      </c>
      <c r="K2810" s="3"/>
      <c r="O2810" s="3"/>
    </row>
    <row r="2811" spans="1:15">
      <c r="A2811" s="3">
        <v>39335</v>
      </c>
      <c r="B2811" s="3">
        <v>39335</v>
      </c>
      <c r="C2811">
        <v>122.3</v>
      </c>
      <c r="D2811">
        <v>1.3802000000000001</v>
      </c>
      <c r="E2811">
        <v>75.48</v>
      </c>
      <c r="F2811">
        <v>326.39999999999998</v>
      </c>
      <c r="K2811" s="3"/>
      <c r="O2811" s="3"/>
    </row>
    <row r="2812" spans="1:15">
      <c r="A2812" s="3">
        <v>39336</v>
      </c>
      <c r="B2812" s="3">
        <v>39336</v>
      </c>
      <c r="C2812">
        <v>122.23</v>
      </c>
      <c r="D2812">
        <v>1.3838999999999999</v>
      </c>
      <c r="E2812">
        <v>76.38</v>
      </c>
      <c r="F2812">
        <v>338.9</v>
      </c>
      <c r="K2812" s="3"/>
      <c r="O2812" s="3"/>
    </row>
    <row r="2813" spans="1:15">
      <c r="A2813" s="3">
        <v>39337</v>
      </c>
      <c r="B2813" s="3">
        <v>39337</v>
      </c>
      <c r="C2813">
        <v>122.11</v>
      </c>
      <c r="D2813">
        <v>1.3904000000000001</v>
      </c>
      <c r="E2813">
        <v>77.680000000000007</v>
      </c>
      <c r="F2813">
        <v>335.95</v>
      </c>
      <c r="K2813" s="3"/>
      <c r="O2813" s="3"/>
    </row>
    <row r="2814" spans="1:15">
      <c r="A2814" s="3">
        <v>39338</v>
      </c>
      <c r="B2814" s="3">
        <v>39338</v>
      </c>
      <c r="C2814">
        <v>121.79</v>
      </c>
      <c r="D2814">
        <v>1.3885000000000001</v>
      </c>
      <c r="E2814">
        <v>77.400000000000006</v>
      </c>
      <c r="F2814">
        <v>339.5</v>
      </c>
      <c r="K2814" s="3"/>
      <c r="O2814" s="3"/>
    </row>
    <row r="2815" spans="1:15">
      <c r="A2815" s="3">
        <v>39339</v>
      </c>
      <c r="B2815" s="3">
        <v>39339</v>
      </c>
      <c r="C2815">
        <v>121.84</v>
      </c>
      <c r="D2815">
        <v>1.3875</v>
      </c>
      <c r="E2815">
        <v>76.22</v>
      </c>
      <c r="F2815">
        <v>339.1</v>
      </c>
      <c r="K2815" s="3"/>
      <c r="O2815" s="3"/>
    </row>
    <row r="2816" spans="1:15">
      <c r="A2816" s="3">
        <v>39340</v>
      </c>
      <c r="B2816" s="3">
        <v>39340</v>
      </c>
      <c r="C2816">
        <v>121.84</v>
      </c>
      <c r="D2816">
        <v>1.3875</v>
      </c>
      <c r="E2816">
        <v>76.22</v>
      </c>
      <c r="F2816">
        <v>339.1</v>
      </c>
      <c r="K2816" s="3"/>
      <c r="O2816" s="3"/>
    </row>
    <row r="2817" spans="1:15">
      <c r="A2817" s="3">
        <v>39341</v>
      </c>
      <c r="B2817" s="3">
        <v>39341</v>
      </c>
      <c r="C2817">
        <v>121.84</v>
      </c>
      <c r="D2817">
        <v>1.3875</v>
      </c>
      <c r="E2817">
        <v>76.22</v>
      </c>
      <c r="F2817">
        <v>339.1</v>
      </c>
      <c r="K2817" s="3"/>
      <c r="O2817" s="3"/>
    </row>
    <row r="2818" spans="1:15">
      <c r="A2818" s="3">
        <v>39342</v>
      </c>
      <c r="B2818" s="3">
        <v>39342</v>
      </c>
      <c r="C2818">
        <v>121.61</v>
      </c>
      <c r="D2818">
        <v>1.3867</v>
      </c>
      <c r="E2818">
        <v>76.98</v>
      </c>
      <c r="F2818">
        <v>341.75</v>
      </c>
      <c r="K2818" s="3"/>
      <c r="O2818" s="3"/>
    </row>
    <row r="2819" spans="1:15">
      <c r="A2819" s="3">
        <v>39343</v>
      </c>
      <c r="B2819" s="3">
        <v>39343</v>
      </c>
      <c r="C2819">
        <v>121.5</v>
      </c>
      <c r="D2819">
        <v>1.3984000000000001</v>
      </c>
      <c r="E2819">
        <v>77.59</v>
      </c>
      <c r="F2819">
        <v>344.25</v>
      </c>
      <c r="K2819" s="3"/>
      <c r="O2819" s="3"/>
    </row>
    <row r="2820" spans="1:15">
      <c r="A2820" s="3">
        <v>39344</v>
      </c>
      <c r="B2820" s="3">
        <v>39344</v>
      </c>
      <c r="C2820">
        <v>121.29</v>
      </c>
      <c r="D2820">
        <v>1.3956999999999999</v>
      </c>
      <c r="E2820">
        <v>78.47</v>
      </c>
      <c r="F2820">
        <v>356.75</v>
      </c>
      <c r="K2820" s="3"/>
      <c r="O2820" s="3"/>
    </row>
    <row r="2821" spans="1:15">
      <c r="A2821" s="3">
        <v>39345</v>
      </c>
      <c r="B2821" s="3">
        <v>39345</v>
      </c>
      <c r="C2821">
        <v>121.35</v>
      </c>
      <c r="D2821">
        <v>1.4064000000000001</v>
      </c>
      <c r="E2821">
        <v>79.09</v>
      </c>
      <c r="F2821">
        <v>357.4</v>
      </c>
      <c r="K2821" s="3"/>
      <c r="O2821" s="3"/>
    </row>
    <row r="2822" spans="1:15">
      <c r="A2822" s="3">
        <v>39346</v>
      </c>
      <c r="B2822" s="3">
        <v>39346</v>
      </c>
      <c r="C2822">
        <v>121.78</v>
      </c>
      <c r="D2822">
        <v>1.4091</v>
      </c>
      <c r="E2822">
        <v>79.3</v>
      </c>
      <c r="F2822">
        <v>357.25</v>
      </c>
      <c r="K2822" s="3"/>
      <c r="O2822" s="3"/>
    </row>
    <row r="2823" spans="1:15">
      <c r="A2823" s="3">
        <v>39347</v>
      </c>
      <c r="B2823" s="3">
        <v>39347</v>
      </c>
      <c r="C2823">
        <v>121.78</v>
      </c>
      <c r="D2823">
        <v>1.4091</v>
      </c>
      <c r="E2823">
        <v>79.3</v>
      </c>
      <c r="F2823">
        <v>357.25</v>
      </c>
      <c r="K2823" s="3"/>
      <c r="O2823" s="3"/>
    </row>
    <row r="2824" spans="1:15">
      <c r="A2824" s="3">
        <v>39348</v>
      </c>
      <c r="B2824" s="3">
        <v>39348</v>
      </c>
      <c r="C2824">
        <v>121.78</v>
      </c>
      <c r="D2824">
        <v>1.4091</v>
      </c>
      <c r="E2824">
        <v>79.3</v>
      </c>
      <c r="F2824">
        <v>357.25</v>
      </c>
      <c r="K2824" s="3"/>
      <c r="O2824" s="3"/>
    </row>
    <row r="2825" spans="1:15">
      <c r="A2825" s="3">
        <v>39349</v>
      </c>
      <c r="B2825" s="3">
        <v>39349</v>
      </c>
      <c r="C2825">
        <v>121.29</v>
      </c>
      <c r="D2825">
        <v>1.4087000000000001</v>
      </c>
      <c r="E2825">
        <v>78.91</v>
      </c>
      <c r="F2825">
        <v>362.7</v>
      </c>
      <c r="K2825" s="3"/>
      <c r="O2825" s="3"/>
    </row>
    <row r="2826" spans="1:15">
      <c r="A2826" s="3">
        <v>39350</v>
      </c>
      <c r="B2826" s="3">
        <v>39350</v>
      </c>
      <c r="C2826">
        <v>121.33</v>
      </c>
      <c r="D2826">
        <v>1.4137999999999999</v>
      </c>
      <c r="E2826">
        <v>77.62</v>
      </c>
      <c r="F2826">
        <v>361.15</v>
      </c>
      <c r="K2826" s="3"/>
      <c r="O2826" s="3"/>
    </row>
    <row r="2827" spans="1:15">
      <c r="A2827" s="3">
        <v>39351</v>
      </c>
      <c r="B2827" s="3">
        <v>39351</v>
      </c>
      <c r="C2827">
        <v>121.31</v>
      </c>
      <c r="D2827">
        <v>1.4128000000000001</v>
      </c>
      <c r="E2827">
        <v>77.430000000000007</v>
      </c>
      <c r="F2827">
        <v>361.3</v>
      </c>
      <c r="K2827" s="3"/>
      <c r="O2827" s="3"/>
    </row>
    <row r="2828" spans="1:15">
      <c r="A2828" s="3">
        <v>39352</v>
      </c>
      <c r="B2828" s="3">
        <v>39352</v>
      </c>
      <c r="C2828">
        <v>121.13</v>
      </c>
      <c r="D2828">
        <v>1.4153</v>
      </c>
      <c r="E2828">
        <v>80.03</v>
      </c>
      <c r="F2828">
        <v>364.8</v>
      </c>
      <c r="K2828" s="3"/>
      <c r="O2828" s="3"/>
    </row>
    <row r="2829" spans="1:15">
      <c r="A2829" s="3">
        <v>39353</v>
      </c>
      <c r="B2829" s="3">
        <v>39353</v>
      </c>
      <c r="C2829">
        <v>120.86</v>
      </c>
      <c r="D2829">
        <v>1.4267000000000001</v>
      </c>
      <c r="E2829">
        <v>79.17</v>
      </c>
      <c r="F2829">
        <v>364</v>
      </c>
      <c r="K2829" s="3"/>
      <c r="O2829" s="3"/>
    </row>
    <row r="2830" spans="1:15">
      <c r="A2830" s="3">
        <v>39354</v>
      </c>
      <c r="B2830" s="3">
        <v>39354</v>
      </c>
      <c r="C2830">
        <v>120.86</v>
      </c>
      <c r="D2830">
        <v>1.4267000000000001</v>
      </c>
      <c r="E2830">
        <v>79.17</v>
      </c>
      <c r="F2830">
        <v>364</v>
      </c>
      <c r="K2830" s="3"/>
      <c r="O2830" s="3"/>
    </row>
    <row r="2831" spans="1:15">
      <c r="A2831" s="3">
        <v>39355</v>
      </c>
      <c r="B2831" s="3">
        <v>39355</v>
      </c>
      <c r="C2831">
        <v>120.86</v>
      </c>
      <c r="D2831">
        <v>1.4267000000000001</v>
      </c>
      <c r="E2831">
        <v>79.17</v>
      </c>
      <c r="F2831">
        <v>364</v>
      </c>
      <c r="K2831" s="3"/>
      <c r="O2831" s="3"/>
    </row>
    <row r="2832" spans="1:15">
      <c r="A2832" s="3">
        <v>39356</v>
      </c>
      <c r="B2832" s="3">
        <v>39356</v>
      </c>
      <c r="C2832">
        <v>121.01</v>
      </c>
      <c r="D2832">
        <v>1.4231</v>
      </c>
      <c r="E2832">
        <v>77.64</v>
      </c>
      <c r="F2832">
        <v>369.15</v>
      </c>
      <c r="K2832" s="3"/>
      <c r="O2832" s="3"/>
    </row>
    <row r="2833" spans="1:15">
      <c r="A2833" s="3">
        <v>39357</v>
      </c>
      <c r="B2833" s="3">
        <v>39357</v>
      </c>
      <c r="C2833">
        <v>120.99</v>
      </c>
      <c r="D2833">
        <v>1.4154</v>
      </c>
      <c r="E2833">
        <v>77.38</v>
      </c>
      <c r="F2833">
        <v>371.1</v>
      </c>
      <c r="K2833" s="3"/>
      <c r="O2833" s="3"/>
    </row>
    <row r="2834" spans="1:15">
      <c r="A2834" s="3">
        <v>39358</v>
      </c>
      <c r="B2834" s="3">
        <v>39358</v>
      </c>
      <c r="C2834">
        <v>121.01</v>
      </c>
      <c r="D2834">
        <v>1.409</v>
      </c>
      <c r="E2834">
        <v>77.19</v>
      </c>
      <c r="F2834">
        <v>376.35</v>
      </c>
      <c r="K2834" s="3"/>
      <c r="O2834" s="3"/>
    </row>
    <row r="2835" spans="1:15">
      <c r="A2835" s="3">
        <v>39359</v>
      </c>
      <c r="B2835" s="3">
        <v>39359</v>
      </c>
      <c r="C2835">
        <v>121.04</v>
      </c>
      <c r="D2835">
        <v>1.4137999999999999</v>
      </c>
      <c r="E2835">
        <v>78.97</v>
      </c>
      <c r="F2835">
        <v>373.8</v>
      </c>
      <c r="K2835" s="3"/>
      <c r="O2835" s="3"/>
    </row>
    <row r="2836" spans="1:15">
      <c r="A2836" s="3">
        <v>39360</v>
      </c>
      <c r="B2836" s="3">
        <v>39360</v>
      </c>
      <c r="C2836">
        <v>120.94</v>
      </c>
      <c r="D2836">
        <v>1.4136</v>
      </c>
      <c r="E2836">
        <v>78.900000000000006</v>
      </c>
      <c r="F2836">
        <v>372.55</v>
      </c>
      <c r="K2836" s="3"/>
      <c r="O2836" s="3"/>
    </row>
    <row r="2837" spans="1:15">
      <c r="A2837" s="3">
        <v>39361</v>
      </c>
      <c r="B2837" s="3">
        <v>39361</v>
      </c>
      <c r="C2837">
        <v>120.94</v>
      </c>
      <c r="D2837">
        <v>1.4136</v>
      </c>
      <c r="E2837">
        <v>78.900000000000006</v>
      </c>
      <c r="F2837">
        <v>372.55</v>
      </c>
      <c r="K2837" s="3"/>
      <c r="O2837" s="3"/>
    </row>
    <row r="2838" spans="1:15">
      <c r="A2838" s="3">
        <v>39362</v>
      </c>
      <c r="B2838" s="3">
        <v>39362</v>
      </c>
      <c r="C2838">
        <v>120.94</v>
      </c>
      <c r="D2838">
        <v>1.4136</v>
      </c>
      <c r="E2838">
        <v>78.900000000000006</v>
      </c>
      <c r="F2838">
        <v>372.55</v>
      </c>
      <c r="K2838" s="3"/>
      <c r="O2838" s="3"/>
    </row>
    <row r="2839" spans="1:15">
      <c r="A2839" s="3">
        <v>39363</v>
      </c>
      <c r="B2839" s="3">
        <v>39363</v>
      </c>
      <c r="C2839">
        <v>120.95</v>
      </c>
      <c r="D2839">
        <v>1.4048</v>
      </c>
      <c r="E2839">
        <v>76.58</v>
      </c>
      <c r="F2839">
        <v>361.3</v>
      </c>
      <c r="K2839" s="3"/>
      <c r="O2839" s="3"/>
    </row>
    <row r="2840" spans="1:15">
      <c r="A2840" s="3">
        <v>39364</v>
      </c>
      <c r="B2840" s="3">
        <v>39364</v>
      </c>
      <c r="C2840">
        <v>121.02</v>
      </c>
      <c r="D2840">
        <v>1.4106000000000001</v>
      </c>
      <c r="E2840">
        <v>77.489999999999995</v>
      </c>
      <c r="F2840">
        <v>361.75</v>
      </c>
      <c r="K2840" s="3"/>
      <c r="O2840" s="3"/>
    </row>
    <row r="2841" spans="1:15">
      <c r="A2841" s="3">
        <v>39365</v>
      </c>
      <c r="B2841" s="3">
        <v>39365</v>
      </c>
      <c r="C2841">
        <v>120.97</v>
      </c>
      <c r="D2841">
        <v>1.4145000000000001</v>
      </c>
      <c r="E2841">
        <v>78.599999999999994</v>
      </c>
      <c r="F2841">
        <v>369.4</v>
      </c>
      <c r="K2841" s="3"/>
      <c r="O2841" s="3"/>
    </row>
    <row r="2842" spans="1:15">
      <c r="A2842" s="3">
        <v>39366</v>
      </c>
      <c r="B2842" s="3">
        <v>39366</v>
      </c>
      <c r="C2842">
        <v>120.92</v>
      </c>
      <c r="D2842">
        <v>1.4196</v>
      </c>
      <c r="E2842">
        <v>80.150000000000006</v>
      </c>
      <c r="F2842">
        <v>366.9</v>
      </c>
      <c r="K2842" s="3"/>
      <c r="O2842" s="3"/>
    </row>
    <row r="2843" spans="1:15">
      <c r="A2843" s="3">
        <v>39367</v>
      </c>
      <c r="B2843" s="3">
        <v>39367</v>
      </c>
      <c r="C2843">
        <v>120.78</v>
      </c>
      <c r="D2843">
        <v>1.4177999999999999</v>
      </c>
      <c r="E2843">
        <v>80.55</v>
      </c>
      <c r="F2843">
        <v>365.25</v>
      </c>
      <c r="K2843" s="3"/>
      <c r="O2843" s="3"/>
    </row>
    <row r="2844" spans="1:15">
      <c r="A2844" s="3">
        <v>39368</v>
      </c>
      <c r="B2844" s="3">
        <v>39368</v>
      </c>
      <c r="C2844">
        <v>120.78</v>
      </c>
      <c r="D2844">
        <v>1.4177999999999999</v>
      </c>
      <c r="E2844">
        <v>80.55</v>
      </c>
      <c r="F2844">
        <v>365.25</v>
      </c>
      <c r="K2844" s="3"/>
      <c r="O2844" s="3"/>
    </row>
    <row r="2845" spans="1:15">
      <c r="A2845" s="3">
        <v>39369</v>
      </c>
      <c r="B2845" s="3">
        <v>39369</v>
      </c>
      <c r="C2845">
        <v>120.78</v>
      </c>
      <c r="D2845">
        <v>1.4177999999999999</v>
      </c>
      <c r="E2845">
        <v>80.55</v>
      </c>
      <c r="F2845">
        <v>365.25</v>
      </c>
      <c r="K2845" s="3"/>
      <c r="O2845" s="3"/>
    </row>
    <row r="2846" spans="1:15">
      <c r="A2846" s="3">
        <v>39370</v>
      </c>
      <c r="B2846" s="3">
        <v>39370</v>
      </c>
      <c r="C2846">
        <v>120.65</v>
      </c>
      <c r="D2846">
        <v>1.4205000000000001</v>
      </c>
      <c r="E2846">
        <v>82.75</v>
      </c>
      <c r="F2846">
        <v>368.2</v>
      </c>
      <c r="K2846" s="3"/>
      <c r="O2846" s="3"/>
    </row>
    <row r="2847" spans="1:15">
      <c r="A2847" s="3">
        <v>39371</v>
      </c>
      <c r="B2847" s="3">
        <v>39371</v>
      </c>
      <c r="C2847">
        <v>120.79</v>
      </c>
      <c r="D2847">
        <v>1.4173</v>
      </c>
      <c r="E2847">
        <v>84.16</v>
      </c>
      <c r="F2847">
        <v>364.45</v>
      </c>
      <c r="K2847" s="3"/>
      <c r="O2847" s="3"/>
    </row>
    <row r="2848" spans="1:15">
      <c r="A2848" s="3">
        <v>39372</v>
      </c>
      <c r="B2848" s="3">
        <v>39372</v>
      </c>
      <c r="C2848">
        <v>120.81</v>
      </c>
      <c r="D2848">
        <v>1.4208000000000001</v>
      </c>
      <c r="E2848">
        <v>83.13</v>
      </c>
      <c r="F2848">
        <v>359.6</v>
      </c>
      <c r="K2848" s="3"/>
      <c r="O2848" s="3"/>
    </row>
    <row r="2849" spans="1:15">
      <c r="A2849" s="3">
        <v>39373</v>
      </c>
      <c r="B2849" s="3">
        <v>39373</v>
      </c>
      <c r="C2849">
        <v>120.67</v>
      </c>
      <c r="D2849">
        <v>1.4295</v>
      </c>
      <c r="E2849">
        <v>84.6</v>
      </c>
      <c r="F2849">
        <v>354.15</v>
      </c>
      <c r="K2849" s="3"/>
      <c r="O2849" s="3"/>
    </row>
    <row r="2850" spans="1:15">
      <c r="A2850" s="3">
        <v>39374</v>
      </c>
      <c r="B2850" s="3">
        <v>39374</v>
      </c>
      <c r="C2850">
        <v>120.64</v>
      </c>
      <c r="D2850">
        <v>1.4300999999999999</v>
      </c>
      <c r="E2850">
        <v>83.79</v>
      </c>
      <c r="F2850">
        <v>355.15</v>
      </c>
      <c r="K2850" s="3"/>
      <c r="O2850" s="3"/>
    </row>
    <row r="2851" spans="1:15">
      <c r="A2851" s="3">
        <v>39375</v>
      </c>
      <c r="B2851" s="3">
        <v>39375</v>
      </c>
      <c r="C2851">
        <v>120.64</v>
      </c>
      <c r="D2851">
        <v>1.4300999999999999</v>
      </c>
      <c r="E2851">
        <v>83.79</v>
      </c>
      <c r="F2851">
        <v>355.15</v>
      </c>
      <c r="K2851" s="3"/>
      <c r="O2851" s="3"/>
    </row>
    <row r="2852" spans="1:15">
      <c r="A2852" s="3">
        <v>39376</v>
      </c>
      <c r="B2852" s="3">
        <v>39376</v>
      </c>
      <c r="C2852">
        <v>120.64</v>
      </c>
      <c r="D2852">
        <v>1.4300999999999999</v>
      </c>
      <c r="E2852">
        <v>83.79</v>
      </c>
      <c r="F2852">
        <v>355.15</v>
      </c>
      <c r="K2852" s="3"/>
      <c r="O2852" s="3"/>
    </row>
    <row r="2853" spans="1:15">
      <c r="A2853" s="3">
        <v>39377</v>
      </c>
      <c r="B2853" s="3">
        <v>39377</v>
      </c>
      <c r="C2853">
        <v>120.78</v>
      </c>
      <c r="D2853">
        <v>1.4180999999999999</v>
      </c>
      <c r="E2853">
        <v>83.27</v>
      </c>
      <c r="F2853">
        <v>348.65</v>
      </c>
      <c r="K2853" s="3"/>
      <c r="O2853" s="3"/>
    </row>
    <row r="2854" spans="1:15">
      <c r="A2854" s="3">
        <v>39378</v>
      </c>
      <c r="B2854" s="3">
        <v>39378</v>
      </c>
      <c r="C2854">
        <v>120.82</v>
      </c>
      <c r="D2854">
        <v>1.4262999999999999</v>
      </c>
      <c r="E2854">
        <v>82.85</v>
      </c>
      <c r="F2854">
        <v>351.35</v>
      </c>
      <c r="K2854" s="3"/>
      <c r="O2854" s="3"/>
    </row>
    <row r="2855" spans="1:15">
      <c r="A2855" s="3">
        <v>39379</v>
      </c>
      <c r="B2855" s="3">
        <v>39379</v>
      </c>
      <c r="C2855">
        <v>120.88</v>
      </c>
      <c r="D2855">
        <v>1.4266000000000001</v>
      </c>
      <c r="E2855">
        <v>84.37</v>
      </c>
      <c r="F2855">
        <v>345.25</v>
      </c>
      <c r="K2855" s="3"/>
      <c r="O2855" s="3"/>
    </row>
    <row r="2856" spans="1:15">
      <c r="A2856" s="3">
        <v>39380</v>
      </c>
      <c r="B2856" s="3">
        <v>39380</v>
      </c>
      <c r="C2856">
        <v>120.84</v>
      </c>
      <c r="D2856">
        <v>1.4323999999999999</v>
      </c>
      <c r="E2856">
        <v>87.48</v>
      </c>
      <c r="F2856">
        <v>348.6</v>
      </c>
      <c r="K2856" s="3"/>
      <c r="O2856" s="3"/>
    </row>
    <row r="2857" spans="1:15">
      <c r="A2857" s="3">
        <v>39381</v>
      </c>
      <c r="B2857" s="3">
        <v>39381</v>
      </c>
      <c r="C2857">
        <v>120.86</v>
      </c>
      <c r="D2857">
        <v>1.4393</v>
      </c>
      <c r="E2857">
        <v>88.69</v>
      </c>
      <c r="F2857">
        <v>353.75</v>
      </c>
      <c r="K2857" s="3"/>
      <c r="O2857" s="3"/>
    </row>
    <row r="2858" spans="1:15">
      <c r="A2858" s="3">
        <v>39382</v>
      </c>
      <c r="B2858" s="3">
        <v>39382</v>
      </c>
      <c r="C2858">
        <v>120.86</v>
      </c>
      <c r="D2858">
        <v>1.4393</v>
      </c>
      <c r="E2858">
        <v>88.69</v>
      </c>
      <c r="F2858">
        <v>353.75</v>
      </c>
      <c r="K2858" s="3"/>
      <c r="O2858" s="3"/>
    </row>
    <row r="2859" spans="1:15">
      <c r="A2859" s="3">
        <v>39383</v>
      </c>
      <c r="B2859" s="3">
        <v>39383</v>
      </c>
      <c r="C2859">
        <v>120.86</v>
      </c>
      <c r="D2859">
        <v>1.4393</v>
      </c>
      <c r="E2859">
        <v>88.69</v>
      </c>
      <c r="F2859">
        <v>353.75</v>
      </c>
      <c r="K2859" s="3"/>
      <c r="O2859" s="3"/>
    </row>
    <row r="2860" spans="1:15">
      <c r="A2860" s="3">
        <v>39384</v>
      </c>
      <c r="B2860" s="3">
        <v>39384</v>
      </c>
      <c r="C2860">
        <v>120.78</v>
      </c>
      <c r="D2860">
        <v>1.4424999999999999</v>
      </c>
      <c r="E2860">
        <v>90.32</v>
      </c>
      <c r="F2860">
        <v>352.1</v>
      </c>
      <c r="K2860" s="3"/>
      <c r="O2860" s="3"/>
    </row>
    <row r="2861" spans="1:15">
      <c r="A2861" s="3">
        <v>39385</v>
      </c>
      <c r="B2861" s="3">
        <v>39385</v>
      </c>
      <c r="C2861">
        <v>120.85</v>
      </c>
      <c r="D2861">
        <v>1.4432</v>
      </c>
      <c r="E2861">
        <v>87.44</v>
      </c>
      <c r="F2861">
        <v>348.15</v>
      </c>
      <c r="K2861" s="3"/>
      <c r="O2861" s="3"/>
    </row>
    <row r="2862" spans="1:15">
      <c r="A2862" s="3">
        <v>39386</v>
      </c>
      <c r="B2862" s="3">
        <v>39386</v>
      </c>
      <c r="C2862">
        <v>120.99</v>
      </c>
      <c r="D2862">
        <v>1.4487000000000001</v>
      </c>
      <c r="E2862">
        <v>90.63</v>
      </c>
      <c r="F2862">
        <v>347.3</v>
      </c>
      <c r="K2862" s="3"/>
      <c r="O2862" s="3"/>
    </row>
    <row r="2863" spans="1:15">
      <c r="A2863" s="3">
        <v>39387</v>
      </c>
      <c r="B2863" s="3">
        <v>39387</v>
      </c>
      <c r="C2863">
        <v>121.04</v>
      </c>
      <c r="D2863">
        <v>1.4424999999999999</v>
      </c>
      <c r="E2863">
        <v>89.72</v>
      </c>
      <c r="F2863">
        <v>336.25</v>
      </c>
      <c r="K2863" s="3"/>
      <c r="O2863" s="3"/>
    </row>
    <row r="2864" spans="1:15">
      <c r="A2864" s="3">
        <v>39388</v>
      </c>
      <c r="B2864" s="3">
        <v>39388</v>
      </c>
      <c r="C2864">
        <v>121.05</v>
      </c>
      <c r="D2864">
        <v>1.4503999999999999</v>
      </c>
      <c r="E2864">
        <v>92.08</v>
      </c>
      <c r="F2864">
        <v>332.5</v>
      </c>
      <c r="K2864" s="3"/>
      <c r="O2864" s="3"/>
    </row>
    <row r="2865" spans="1:15">
      <c r="A2865" s="3">
        <v>39389</v>
      </c>
      <c r="B2865" s="3">
        <v>39389</v>
      </c>
      <c r="C2865">
        <v>121.05</v>
      </c>
      <c r="D2865">
        <v>1.4503999999999999</v>
      </c>
      <c r="E2865">
        <v>92.08</v>
      </c>
      <c r="F2865">
        <v>332.5</v>
      </c>
      <c r="K2865" s="3"/>
      <c r="O2865" s="3"/>
    </row>
    <row r="2866" spans="1:15">
      <c r="A2866" s="3">
        <v>39390</v>
      </c>
      <c r="B2866" s="3">
        <v>39390</v>
      </c>
      <c r="C2866">
        <v>121.05</v>
      </c>
      <c r="D2866">
        <v>1.4503999999999999</v>
      </c>
      <c r="E2866">
        <v>92.08</v>
      </c>
      <c r="F2866">
        <v>332.5</v>
      </c>
      <c r="K2866" s="3"/>
      <c r="O2866" s="3"/>
    </row>
    <row r="2867" spans="1:15">
      <c r="A2867" s="3">
        <v>39391</v>
      </c>
      <c r="B2867" s="3">
        <v>39391</v>
      </c>
      <c r="C2867">
        <v>121.01</v>
      </c>
      <c r="D2867">
        <v>1.4469000000000001</v>
      </c>
      <c r="E2867">
        <v>90.49</v>
      </c>
      <c r="F2867">
        <v>330.2</v>
      </c>
      <c r="K2867" s="3"/>
      <c r="O2867" s="3"/>
    </row>
    <row r="2868" spans="1:15">
      <c r="A2868" s="3">
        <v>39392</v>
      </c>
      <c r="B2868" s="3">
        <v>39392</v>
      </c>
      <c r="C2868">
        <v>120.87</v>
      </c>
      <c r="D2868">
        <v>1.4557</v>
      </c>
      <c r="E2868">
        <v>93.26</v>
      </c>
      <c r="F2868">
        <v>334.15</v>
      </c>
      <c r="K2868" s="3"/>
      <c r="O2868" s="3"/>
    </row>
    <row r="2869" spans="1:15">
      <c r="A2869" s="3">
        <v>39393</v>
      </c>
      <c r="B2869" s="3">
        <v>39393</v>
      </c>
      <c r="C2869">
        <v>120.69</v>
      </c>
      <c r="D2869">
        <v>1.4637</v>
      </c>
      <c r="E2869">
        <v>93.24</v>
      </c>
      <c r="F2869">
        <v>325.89999999999998</v>
      </c>
      <c r="K2869" s="3"/>
      <c r="O2869" s="3"/>
    </row>
    <row r="2870" spans="1:15">
      <c r="A2870" s="3">
        <v>39394</v>
      </c>
      <c r="B2870" s="3">
        <v>39394</v>
      </c>
      <c r="C2870">
        <v>120.7</v>
      </c>
      <c r="D2870">
        <v>1.4676</v>
      </c>
      <c r="E2870">
        <v>92.79</v>
      </c>
      <c r="F2870">
        <v>320.39999999999998</v>
      </c>
      <c r="K2870" s="3"/>
      <c r="O2870" s="3"/>
    </row>
    <row r="2871" spans="1:15">
      <c r="A2871" s="3">
        <v>39395</v>
      </c>
      <c r="B2871" s="3">
        <v>39395</v>
      </c>
      <c r="C2871">
        <v>120.75</v>
      </c>
      <c r="D2871">
        <v>1.4678</v>
      </c>
      <c r="E2871">
        <v>93.18</v>
      </c>
      <c r="F2871">
        <v>314.55</v>
      </c>
      <c r="K2871" s="3"/>
      <c r="O2871" s="3"/>
    </row>
    <row r="2872" spans="1:15">
      <c r="A2872" s="3">
        <v>39396</v>
      </c>
      <c r="B2872" s="3">
        <v>39396</v>
      </c>
      <c r="C2872">
        <v>120.75</v>
      </c>
      <c r="D2872">
        <v>1.4678</v>
      </c>
      <c r="E2872">
        <v>93.18</v>
      </c>
      <c r="F2872">
        <v>314.55</v>
      </c>
      <c r="K2872" s="3"/>
      <c r="O2872" s="3"/>
    </row>
    <row r="2873" spans="1:15">
      <c r="A2873" s="3">
        <v>39397</v>
      </c>
      <c r="B2873" s="3">
        <v>39397</v>
      </c>
      <c r="C2873">
        <v>120.75</v>
      </c>
      <c r="D2873">
        <v>1.4678</v>
      </c>
      <c r="E2873">
        <v>93.18</v>
      </c>
      <c r="F2873">
        <v>314.55</v>
      </c>
      <c r="K2873" s="3"/>
      <c r="O2873" s="3"/>
    </row>
    <row r="2874" spans="1:15">
      <c r="A2874" s="3">
        <v>39398</v>
      </c>
      <c r="B2874" s="3">
        <v>39398</v>
      </c>
      <c r="C2874">
        <v>120.64</v>
      </c>
      <c r="D2874">
        <v>1.4531000000000001</v>
      </c>
      <c r="E2874">
        <v>91.98</v>
      </c>
      <c r="F2874">
        <v>310.89999999999998</v>
      </c>
      <c r="K2874" s="3"/>
      <c r="O2874" s="3"/>
    </row>
    <row r="2875" spans="1:15">
      <c r="A2875" s="3">
        <v>39399</v>
      </c>
      <c r="B2875" s="3">
        <v>39399</v>
      </c>
      <c r="C2875">
        <v>120.62</v>
      </c>
      <c r="D2875">
        <v>1.4601999999999999</v>
      </c>
      <c r="E2875">
        <v>88.83</v>
      </c>
      <c r="F2875">
        <v>310.7</v>
      </c>
      <c r="K2875" s="3"/>
      <c r="O2875" s="3"/>
    </row>
    <row r="2876" spans="1:15">
      <c r="A2876" s="3">
        <v>39400</v>
      </c>
      <c r="B2876" s="3">
        <v>39400</v>
      </c>
      <c r="C2876">
        <v>120.58</v>
      </c>
      <c r="D2876">
        <v>1.4651000000000001</v>
      </c>
      <c r="E2876">
        <v>91.36</v>
      </c>
      <c r="F2876">
        <v>329.65</v>
      </c>
      <c r="K2876" s="3"/>
      <c r="O2876" s="3"/>
    </row>
    <row r="2877" spans="1:15">
      <c r="A2877" s="3">
        <v>39401</v>
      </c>
      <c r="B2877" s="3">
        <v>39401</v>
      </c>
      <c r="C2877">
        <v>120.78</v>
      </c>
      <c r="D2877">
        <v>1.4612000000000001</v>
      </c>
      <c r="E2877">
        <v>90.94</v>
      </c>
      <c r="F2877">
        <v>307.3</v>
      </c>
      <c r="K2877" s="3"/>
      <c r="O2877" s="3"/>
    </row>
    <row r="2878" spans="1:15">
      <c r="A2878" s="3">
        <v>39402</v>
      </c>
      <c r="B2878" s="3">
        <v>39402</v>
      </c>
      <c r="C2878">
        <v>120.59</v>
      </c>
      <c r="D2878">
        <v>1.4661999999999999</v>
      </c>
      <c r="E2878">
        <v>91.62</v>
      </c>
      <c r="F2878">
        <v>316.14999999999998</v>
      </c>
      <c r="K2878" s="3"/>
      <c r="O2878" s="3"/>
    </row>
    <row r="2879" spans="1:15">
      <c r="A2879" s="3">
        <v>39403</v>
      </c>
      <c r="B2879" s="3">
        <v>39403</v>
      </c>
      <c r="C2879">
        <v>120.59</v>
      </c>
      <c r="D2879">
        <v>1.4661999999999999</v>
      </c>
      <c r="E2879">
        <v>91.62</v>
      </c>
      <c r="F2879">
        <v>316.14999999999998</v>
      </c>
      <c r="K2879" s="3"/>
      <c r="O2879" s="3"/>
    </row>
    <row r="2880" spans="1:15">
      <c r="A2880" s="3">
        <v>39404</v>
      </c>
      <c r="B2880" s="3">
        <v>39404</v>
      </c>
      <c r="C2880">
        <v>120.59</v>
      </c>
      <c r="D2880">
        <v>1.4661999999999999</v>
      </c>
      <c r="E2880">
        <v>91.62</v>
      </c>
      <c r="F2880">
        <v>316.14999999999998</v>
      </c>
      <c r="K2880" s="3"/>
      <c r="O2880" s="3"/>
    </row>
    <row r="2881" spans="1:15">
      <c r="A2881" s="3">
        <v>39405</v>
      </c>
      <c r="B2881" s="3">
        <v>39405</v>
      </c>
      <c r="C2881">
        <v>120.69</v>
      </c>
      <c r="D2881">
        <v>1.4664999999999999</v>
      </c>
      <c r="E2881">
        <v>92.28</v>
      </c>
      <c r="F2881">
        <v>298.35000000000002</v>
      </c>
      <c r="K2881" s="3"/>
      <c r="O2881" s="3"/>
    </row>
    <row r="2882" spans="1:15">
      <c r="A2882" s="3">
        <v>39406</v>
      </c>
      <c r="B2882" s="3">
        <v>39406</v>
      </c>
      <c r="C2882">
        <v>120.65</v>
      </c>
      <c r="D2882">
        <v>1.4841</v>
      </c>
      <c r="E2882">
        <v>95.49</v>
      </c>
      <c r="F2882">
        <v>302.7</v>
      </c>
      <c r="K2882" s="3"/>
      <c r="O2882" s="3"/>
    </row>
    <row r="2883" spans="1:15">
      <c r="A2883" s="3">
        <v>39407</v>
      </c>
      <c r="B2883" s="3">
        <v>39407</v>
      </c>
      <c r="C2883">
        <v>120.49</v>
      </c>
      <c r="D2883">
        <v>1.4858</v>
      </c>
      <c r="E2883">
        <v>94.84</v>
      </c>
      <c r="F2883">
        <v>288.8</v>
      </c>
      <c r="K2883" s="3"/>
      <c r="O2883" s="3"/>
    </row>
    <row r="2884" spans="1:15">
      <c r="A2884" s="3">
        <v>39408</v>
      </c>
      <c r="B2884" s="3">
        <v>39408</v>
      </c>
      <c r="C2884">
        <v>120.43</v>
      </c>
      <c r="D2884">
        <v>1.4849000000000001</v>
      </c>
      <c r="E2884">
        <v>94.5</v>
      </c>
      <c r="F2884">
        <v>288.8</v>
      </c>
      <c r="K2884" s="3"/>
      <c r="O2884" s="3"/>
    </row>
    <row r="2885" spans="1:15">
      <c r="A2885" s="3">
        <v>39409</v>
      </c>
      <c r="B2885" s="3">
        <v>39409</v>
      </c>
      <c r="C2885">
        <v>120.51</v>
      </c>
      <c r="D2885">
        <v>1.4837</v>
      </c>
      <c r="E2885">
        <v>95.76</v>
      </c>
      <c r="F2885">
        <v>299.10000000000002</v>
      </c>
      <c r="K2885" s="3"/>
      <c r="O2885" s="3"/>
    </row>
    <row r="2886" spans="1:15">
      <c r="A2886" s="3">
        <v>39410</v>
      </c>
      <c r="B2886" s="3">
        <v>39410</v>
      </c>
      <c r="C2886">
        <v>120.51</v>
      </c>
      <c r="D2886">
        <v>1.4837</v>
      </c>
      <c r="E2886">
        <v>95.76</v>
      </c>
      <c r="F2886">
        <v>299.10000000000002</v>
      </c>
      <c r="K2886" s="3"/>
      <c r="O2886" s="3"/>
    </row>
    <row r="2887" spans="1:15">
      <c r="A2887" s="3">
        <v>39411</v>
      </c>
      <c r="B2887" s="3">
        <v>39411</v>
      </c>
      <c r="C2887">
        <v>120.51</v>
      </c>
      <c r="D2887">
        <v>1.4837</v>
      </c>
      <c r="E2887">
        <v>95.76</v>
      </c>
      <c r="F2887">
        <v>299.10000000000002</v>
      </c>
      <c r="K2887" s="3"/>
      <c r="O2887" s="3"/>
    </row>
    <row r="2888" spans="1:15">
      <c r="A2888" s="3">
        <v>39412</v>
      </c>
      <c r="B2888" s="3">
        <v>39412</v>
      </c>
      <c r="C2888">
        <v>120.48</v>
      </c>
      <c r="D2888">
        <v>1.4872000000000001</v>
      </c>
      <c r="E2888">
        <v>95.32</v>
      </c>
      <c r="F2888">
        <v>302.3</v>
      </c>
      <c r="K2888" s="3"/>
      <c r="O2888" s="3"/>
    </row>
    <row r="2889" spans="1:15">
      <c r="A2889" s="3">
        <v>39413</v>
      </c>
      <c r="B2889" s="3">
        <v>39413</v>
      </c>
      <c r="C2889">
        <v>120.79</v>
      </c>
      <c r="D2889">
        <v>1.4829000000000001</v>
      </c>
      <c r="E2889">
        <v>92.52</v>
      </c>
      <c r="F2889">
        <v>296.25</v>
      </c>
      <c r="K2889" s="3"/>
      <c r="O2889" s="3"/>
    </row>
    <row r="2890" spans="1:15">
      <c r="A2890" s="3">
        <v>39414</v>
      </c>
      <c r="B2890" s="3">
        <v>39414</v>
      </c>
      <c r="C2890">
        <v>120.84</v>
      </c>
      <c r="D2890">
        <v>1.4841</v>
      </c>
      <c r="E2890">
        <v>89.81</v>
      </c>
      <c r="F2890">
        <v>300.60000000000002</v>
      </c>
      <c r="K2890" s="3"/>
      <c r="O2890" s="3"/>
    </row>
    <row r="2891" spans="1:15">
      <c r="A2891" s="3">
        <v>39415</v>
      </c>
      <c r="B2891" s="3">
        <v>39415</v>
      </c>
      <c r="C2891">
        <v>120.92</v>
      </c>
      <c r="D2891">
        <v>1.4743999999999999</v>
      </c>
      <c r="E2891">
        <v>90.22</v>
      </c>
      <c r="F2891">
        <v>306.35000000000002</v>
      </c>
      <c r="K2891" s="3"/>
      <c r="O2891" s="3"/>
    </row>
    <row r="2892" spans="1:15">
      <c r="A2892" s="3">
        <v>39416</v>
      </c>
      <c r="B2892" s="3">
        <v>39416</v>
      </c>
      <c r="C2892">
        <v>120.85</v>
      </c>
      <c r="D2892">
        <v>1.4633</v>
      </c>
      <c r="E2892">
        <v>88.26</v>
      </c>
      <c r="F2892">
        <v>315.7</v>
      </c>
      <c r="K2892" s="3"/>
      <c r="O2892" s="3"/>
    </row>
    <row r="2893" spans="1:15">
      <c r="A2893" s="3">
        <v>39417</v>
      </c>
      <c r="B2893" s="3">
        <v>39417</v>
      </c>
      <c r="C2893">
        <v>120.85</v>
      </c>
      <c r="D2893">
        <v>1.4633</v>
      </c>
      <c r="E2893">
        <v>88.26</v>
      </c>
      <c r="F2893">
        <v>315.7</v>
      </c>
      <c r="K2893" s="3"/>
      <c r="O2893" s="3"/>
    </row>
    <row r="2894" spans="1:15">
      <c r="A2894" s="3">
        <v>39418</v>
      </c>
      <c r="B2894" s="3">
        <v>39418</v>
      </c>
      <c r="C2894">
        <v>120.85</v>
      </c>
      <c r="D2894">
        <v>1.4633</v>
      </c>
      <c r="E2894">
        <v>88.26</v>
      </c>
      <c r="F2894">
        <v>315.7</v>
      </c>
      <c r="K2894" s="3"/>
      <c r="O2894" s="3"/>
    </row>
    <row r="2895" spans="1:15">
      <c r="A2895" s="3">
        <v>39419</v>
      </c>
      <c r="B2895" s="3">
        <v>39419</v>
      </c>
      <c r="C2895">
        <v>120.87</v>
      </c>
      <c r="D2895">
        <v>1.4666999999999999</v>
      </c>
      <c r="E2895">
        <v>89.8</v>
      </c>
      <c r="F2895">
        <v>306.10000000000002</v>
      </c>
      <c r="K2895" s="3"/>
      <c r="O2895" s="3"/>
    </row>
    <row r="2896" spans="1:15">
      <c r="A2896" s="3">
        <v>39420</v>
      </c>
      <c r="B2896" s="3">
        <v>39420</v>
      </c>
      <c r="C2896">
        <v>120.88</v>
      </c>
      <c r="D2896">
        <v>1.4758</v>
      </c>
      <c r="E2896">
        <v>89.53</v>
      </c>
      <c r="F2896">
        <v>299.8</v>
      </c>
      <c r="K2896" s="3"/>
      <c r="O2896" s="3"/>
    </row>
    <row r="2897" spans="1:15">
      <c r="A2897" s="3">
        <v>39421</v>
      </c>
      <c r="B2897" s="3">
        <v>39421</v>
      </c>
      <c r="C2897">
        <v>120.83</v>
      </c>
      <c r="D2897">
        <v>1.4610000000000001</v>
      </c>
      <c r="E2897">
        <v>88.49</v>
      </c>
      <c r="F2897">
        <v>301.60000000000002</v>
      </c>
      <c r="K2897" s="3"/>
      <c r="O2897" s="3"/>
    </row>
    <row r="2898" spans="1:15">
      <c r="A2898" s="3">
        <v>39422</v>
      </c>
      <c r="B2898" s="3">
        <v>39422</v>
      </c>
      <c r="C2898">
        <v>120.73</v>
      </c>
      <c r="D2898">
        <v>1.4638</v>
      </c>
      <c r="E2898">
        <v>90.18</v>
      </c>
      <c r="F2898">
        <v>301.85000000000002</v>
      </c>
      <c r="K2898" s="3"/>
      <c r="O2898" s="3"/>
    </row>
    <row r="2899" spans="1:15">
      <c r="A2899" s="3">
        <v>39423</v>
      </c>
      <c r="B2899" s="3">
        <v>39423</v>
      </c>
      <c r="C2899">
        <v>120.86</v>
      </c>
      <c r="D2899">
        <v>1.4658</v>
      </c>
      <c r="E2899">
        <v>88.64</v>
      </c>
      <c r="F2899">
        <v>309.45</v>
      </c>
      <c r="K2899" s="3"/>
      <c r="O2899" s="3"/>
    </row>
    <row r="2900" spans="1:15">
      <c r="A2900" s="3">
        <v>39424</v>
      </c>
      <c r="B2900" s="3">
        <v>39424</v>
      </c>
      <c r="C2900">
        <v>120.86</v>
      </c>
      <c r="D2900">
        <v>1.4658</v>
      </c>
      <c r="E2900">
        <v>88.64</v>
      </c>
      <c r="F2900">
        <v>309.45</v>
      </c>
      <c r="K2900" s="3"/>
      <c r="O2900" s="3"/>
    </row>
    <row r="2901" spans="1:15">
      <c r="A2901" s="3">
        <v>39425</v>
      </c>
      <c r="B2901" s="3">
        <v>39425</v>
      </c>
      <c r="C2901">
        <v>120.86</v>
      </c>
      <c r="D2901">
        <v>1.4658</v>
      </c>
      <c r="E2901">
        <v>88.64</v>
      </c>
      <c r="F2901">
        <v>309.45</v>
      </c>
      <c r="K2901" s="3"/>
      <c r="O2901" s="3"/>
    </row>
    <row r="2902" spans="1:15">
      <c r="A2902" s="3">
        <v>39426</v>
      </c>
      <c r="B2902" s="3">
        <v>39426</v>
      </c>
      <c r="C2902">
        <v>120.79</v>
      </c>
      <c r="D2902">
        <v>1.4712000000000001</v>
      </c>
      <c r="E2902">
        <v>88.04</v>
      </c>
      <c r="F2902">
        <v>306.10000000000002</v>
      </c>
      <c r="K2902" s="3"/>
      <c r="O2902" s="3"/>
    </row>
    <row r="2903" spans="1:15">
      <c r="A2903" s="3">
        <v>39427</v>
      </c>
      <c r="B2903" s="3">
        <v>39427</v>
      </c>
      <c r="C2903">
        <v>120.69</v>
      </c>
      <c r="D2903">
        <v>1.4655</v>
      </c>
      <c r="E2903">
        <v>89.99</v>
      </c>
      <c r="F2903">
        <v>305.75</v>
      </c>
      <c r="K2903" s="3"/>
      <c r="O2903" s="3"/>
    </row>
    <row r="2904" spans="1:15">
      <c r="A2904" s="3">
        <v>39428</v>
      </c>
      <c r="B2904" s="3">
        <v>39428</v>
      </c>
      <c r="C2904">
        <v>120.73</v>
      </c>
      <c r="D2904">
        <v>1.4705999999999999</v>
      </c>
      <c r="E2904">
        <v>94.02</v>
      </c>
      <c r="F2904">
        <v>301.60000000000002</v>
      </c>
      <c r="K2904" s="3"/>
      <c r="O2904" s="3"/>
    </row>
    <row r="2905" spans="1:15">
      <c r="A2905" s="3">
        <v>39429</v>
      </c>
      <c r="B2905" s="3">
        <v>39429</v>
      </c>
      <c r="C2905">
        <v>120.76</v>
      </c>
      <c r="D2905">
        <v>1.4633</v>
      </c>
      <c r="E2905">
        <v>92.12</v>
      </c>
      <c r="F2905">
        <v>293.95</v>
      </c>
      <c r="K2905" s="3"/>
      <c r="O2905" s="3"/>
    </row>
    <row r="2906" spans="1:15">
      <c r="A2906" s="3">
        <v>39430</v>
      </c>
      <c r="B2906" s="3">
        <v>39430</v>
      </c>
      <c r="C2906">
        <v>120.75</v>
      </c>
      <c r="D2906">
        <v>1.4429000000000001</v>
      </c>
      <c r="E2906">
        <v>92.67</v>
      </c>
      <c r="F2906">
        <v>293.64999999999998</v>
      </c>
      <c r="K2906" s="3"/>
      <c r="O2906" s="3"/>
    </row>
    <row r="2907" spans="1:15">
      <c r="A2907" s="3">
        <v>39431</v>
      </c>
      <c r="B2907" s="3">
        <v>39431</v>
      </c>
      <c r="C2907">
        <v>120.75</v>
      </c>
      <c r="D2907">
        <v>1.4429000000000001</v>
      </c>
      <c r="E2907">
        <v>92.67</v>
      </c>
      <c r="F2907">
        <v>293.64999999999998</v>
      </c>
      <c r="K2907" s="3"/>
      <c r="O2907" s="3"/>
    </row>
    <row r="2908" spans="1:15">
      <c r="A2908" s="3">
        <v>39432</v>
      </c>
      <c r="B2908" s="3">
        <v>39432</v>
      </c>
      <c r="C2908">
        <v>120.75</v>
      </c>
      <c r="D2908">
        <v>1.4429000000000001</v>
      </c>
      <c r="E2908">
        <v>92.67</v>
      </c>
      <c r="F2908">
        <v>293.64999999999998</v>
      </c>
      <c r="K2908" s="3"/>
      <c r="O2908" s="3"/>
    </row>
    <row r="2909" spans="1:15">
      <c r="A2909" s="3">
        <v>39433</v>
      </c>
      <c r="B2909" s="3">
        <v>39433</v>
      </c>
      <c r="C2909">
        <v>120.75</v>
      </c>
      <c r="D2909">
        <v>1.44</v>
      </c>
      <c r="E2909">
        <v>91.29</v>
      </c>
      <c r="F2909">
        <v>287.3</v>
      </c>
      <c r="K2909" s="3"/>
      <c r="O2909" s="3"/>
    </row>
    <row r="2910" spans="1:15">
      <c r="A2910" s="3">
        <v>39434</v>
      </c>
      <c r="B2910" s="3">
        <v>39434</v>
      </c>
      <c r="C2910">
        <v>120.75</v>
      </c>
      <c r="D2910">
        <v>1.4414</v>
      </c>
      <c r="E2910">
        <v>90.12</v>
      </c>
      <c r="F2910">
        <v>287</v>
      </c>
      <c r="K2910" s="3"/>
      <c r="O2910" s="3"/>
    </row>
    <row r="2911" spans="1:15">
      <c r="A2911" s="3">
        <v>39435</v>
      </c>
      <c r="B2911" s="3">
        <v>39435</v>
      </c>
      <c r="C2911">
        <v>120.66</v>
      </c>
      <c r="D2911">
        <v>1.4382999999999999</v>
      </c>
      <c r="E2911">
        <v>91.48</v>
      </c>
      <c r="F2911">
        <v>294.55</v>
      </c>
      <c r="K2911" s="3"/>
      <c r="O2911" s="3"/>
    </row>
    <row r="2912" spans="1:15">
      <c r="A2912" s="3">
        <v>39436</v>
      </c>
      <c r="B2912" s="3">
        <v>39436</v>
      </c>
      <c r="C2912">
        <v>120.62</v>
      </c>
      <c r="D2912">
        <v>1.4329000000000001</v>
      </c>
      <c r="E2912">
        <v>90.88</v>
      </c>
      <c r="F2912">
        <v>295.85000000000002</v>
      </c>
      <c r="K2912" s="3"/>
      <c r="O2912" s="3"/>
    </row>
    <row r="2913" spans="1:15">
      <c r="A2913" s="3">
        <v>39437</v>
      </c>
      <c r="B2913" s="3">
        <v>39437</v>
      </c>
      <c r="C2913">
        <v>120.8</v>
      </c>
      <c r="D2913">
        <v>1.4381999999999999</v>
      </c>
      <c r="E2913">
        <v>92.46</v>
      </c>
      <c r="F2913">
        <v>309.35000000000002</v>
      </c>
      <c r="K2913" s="3"/>
      <c r="O2913" s="3"/>
    </row>
    <row r="2914" spans="1:15">
      <c r="A2914" s="3">
        <v>39438</v>
      </c>
      <c r="B2914" s="3">
        <v>39438</v>
      </c>
      <c r="C2914">
        <v>120.8</v>
      </c>
      <c r="D2914">
        <v>1.4381999999999999</v>
      </c>
      <c r="E2914">
        <v>92.46</v>
      </c>
      <c r="F2914">
        <v>309.35000000000002</v>
      </c>
      <c r="K2914" s="3"/>
      <c r="O2914" s="3"/>
    </row>
    <row r="2915" spans="1:15">
      <c r="A2915" s="3">
        <v>39439</v>
      </c>
      <c r="B2915" s="3">
        <v>39439</v>
      </c>
      <c r="C2915">
        <v>120.8</v>
      </c>
      <c r="D2915">
        <v>1.4381999999999999</v>
      </c>
      <c r="E2915">
        <v>92.46</v>
      </c>
      <c r="F2915">
        <v>309.35000000000002</v>
      </c>
      <c r="K2915" s="3"/>
      <c r="O2915" s="3"/>
    </row>
    <row r="2916" spans="1:15">
      <c r="A2916" s="3">
        <v>39440</v>
      </c>
      <c r="B2916" s="3">
        <v>39440</v>
      </c>
      <c r="C2916">
        <v>120.8</v>
      </c>
      <c r="D2916">
        <v>1.4395</v>
      </c>
      <c r="E2916">
        <v>92.7</v>
      </c>
      <c r="F2916">
        <v>314.7</v>
      </c>
      <c r="K2916" s="3"/>
      <c r="O2916" s="3"/>
    </row>
    <row r="2917" spans="1:15">
      <c r="A2917" s="3">
        <v>39441</v>
      </c>
      <c r="B2917" s="3">
        <v>39441</v>
      </c>
      <c r="C2917">
        <v>120.93</v>
      </c>
      <c r="D2917">
        <v>1.4401999999999999</v>
      </c>
      <c r="E2917">
        <v>92.7</v>
      </c>
      <c r="F2917">
        <v>314.7</v>
      </c>
      <c r="K2917" s="3"/>
      <c r="O2917" s="3"/>
    </row>
    <row r="2918" spans="1:15">
      <c r="A2918" s="3">
        <v>39442</v>
      </c>
      <c r="B2918" s="3">
        <v>39442</v>
      </c>
      <c r="C2918">
        <v>121</v>
      </c>
      <c r="D2918">
        <v>1.4489000000000001</v>
      </c>
      <c r="E2918">
        <v>93.94</v>
      </c>
      <c r="F2918">
        <v>315.5</v>
      </c>
      <c r="K2918" s="3"/>
      <c r="O2918" s="3"/>
    </row>
    <row r="2919" spans="1:15">
      <c r="A2919" s="3">
        <v>39443</v>
      </c>
      <c r="B2919" s="3">
        <v>39443</v>
      </c>
      <c r="C2919">
        <v>121.08</v>
      </c>
      <c r="D2919">
        <v>1.4625999999999999</v>
      </c>
      <c r="E2919">
        <v>94.78</v>
      </c>
      <c r="F2919">
        <v>310.5</v>
      </c>
      <c r="K2919" s="3"/>
      <c r="O2919" s="3"/>
    </row>
    <row r="2920" spans="1:15">
      <c r="A2920" s="3">
        <v>39444</v>
      </c>
      <c r="B2920" s="3">
        <v>39444</v>
      </c>
      <c r="C2920">
        <v>120.54</v>
      </c>
      <c r="D2920">
        <v>1.4722999999999999</v>
      </c>
      <c r="E2920">
        <v>93.88</v>
      </c>
      <c r="F2920">
        <v>307.2</v>
      </c>
      <c r="K2920" s="3"/>
      <c r="O2920" s="3"/>
    </row>
    <row r="2921" spans="1:15">
      <c r="A2921" s="3">
        <v>39445</v>
      </c>
      <c r="B2921" s="3">
        <v>39445</v>
      </c>
      <c r="C2921">
        <v>120.54</v>
      </c>
      <c r="D2921">
        <v>1.4722999999999999</v>
      </c>
      <c r="E2921">
        <v>93.88</v>
      </c>
      <c r="F2921">
        <v>307.2</v>
      </c>
      <c r="K2921" s="3"/>
      <c r="O2921" s="3"/>
    </row>
    <row r="2922" spans="1:15">
      <c r="A2922" s="3">
        <v>39446</v>
      </c>
      <c r="B2922" s="3">
        <v>39446</v>
      </c>
      <c r="C2922">
        <v>120.54</v>
      </c>
      <c r="D2922">
        <v>1.4722999999999999</v>
      </c>
      <c r="E2922">
        <v>93.88</v>
      </c>
      <c r="F2922">
        <v>307.2</v>
      </c>
      <c r="K2922" s="3"/>
      <c r="O2922" s="3"/>
    </row>
    <row r="2923" spans="1:15">
      <c r="A2923" s="3">
        <v>39447</v>
      </c>
      <c r="B2923" s="3">
        <v>39447</v>
      </c>
      <c r="C2923">
        <v>120.68</v>
      </c>
      <c r="D2923">
        <v>1.4589000000000001</v>
      </c>
      <c r="E2923">
        <v>93.85</v>
      </c>
      <c r="F2923">
        <v>304.10000000000002</v>
      </c>
      <c r="K2923" s="3"/>
      <c r="O2923" s="3"/>
    </row>
    <row r="2924" spans="1:15">
      <c r="A2924" s="3">
        <v>39448</v>
      </c>
      <c r="B2924" s="3">
        <v>39448</v>
      </c>
      <c r="C2924">
        <v>120.68</v>
      </c>
      <c r="D2924">
        <v>1.4592000000000001</v>
      </c>
      <c r="E2924">
        <v>93.85</v>
      </c>
      <c r="F2924">
        <v>304.10000000000002</v>
      </c>
      <c r="K2924" s="3"/>
      <c r="O2924" s="3"/>
    </row>
    <row r="2925" spans="1:15">
      <c r="A2925" s="3">
        <v>39449</v>
      </c>
      <c r="B2925" s="3">
        <v>39449</v>
      </c>
      <c r="C2925">
        <v>120.32</v>
      </c>
      <c r="D2925">
        <v>1.4715</v>
      </c>
      <c r="E2925">
        <v>97.84</v>
      </c>
      <c r="F2925">
        <v>306.39999999999998</v>
      </c>
      <c r="K2925" s="3"/>
      <c r="O2925" s="3"/>
    </row>
    <row r="2926" spans="1:15">
      <c r="A2926" s="3">
        <v>39450</v>
      </c>
      <c r="B2926" s="3">
        <v>39450</v>
      </c>
      <c r="C2926">
        <v>120.57</v>
      </c>
      <c r="D2926">
        <v>1.4750000000000001</v>
      </c>
      <c r="E2926">
        <v>97.6</v>
      </c>
      <c r="F2926">
        <v>318.8</v>
      </c>
      <c r="K2926" s="3"/>
      <c r="O2926" s="3"/>
    </row>
    <row r="2927" spans="1:15">
      <c r="A2927" s="3">
        <v>39451</v>
      </c>
      <c r="B2927" s="3">
        <v>39451</v>
      </c>
      <c r="C2927">
        <v>120.64</v>
      </c>
      <c r="D2927">
        <v>1.4742999999999999</v>
      </c>
      <c r="E2927">
        <v>96.79</v>
      </c>
      <c r="F2927">
        <v>315.75</v>
      </c>
      <c r="K2927" s="3"/>
      <c r="O2927" s="3"/>
    </row>
    <row r="2928" spans="1:15">
      <c r="A2928" s="3">
        <v>39452</v>
      </c>
      <c r="B2928" s="3">
        <v>39452</v>
      </c>
      <c r="C2928">
        <v>120.64</v>
      </c>
      <c r="D2928">
        <v>1.4742999999999999</v>
      </c>
      <c r="E2928">
        <v>96.79</v>
      </c>
      <c r="F2928">
        <v>315.75</v>
      </c>
      <c r="K2928" s="3"/>
      <c r="O2928" s="3"/>
    </row>
    <row r="2929" spans="1:15">
      <c r="A2929" s="3">
        <v>39453</v>
      </c>
      <c r="B2929" s="3">
        <v>39453</v>
      </c>
      <c r="C2929">
        <v>120.64</v>
      </c>
      <c r="D2929">
        <v>1.4742999999999999</v>
      </c>
      <c r="E2929">
        <v>96.79</v>
      </c>
      <c r="F2929">
        <v>315.75</v>
      </c>
      <c r="K2929" s="3"/>
      <c r="O2929" s="3"/>
    </row>
    <row r="2930" spans="1:15">
      <c r="A2930" s="3">
        <v>39454</v>
      </c>
      <c r="B2930" s="3">
        <v>39454</v>
      </c>
      <c r="C2930">
        <v>120.67</v>
      </c>
      <c r="D2930">
        <v>1.4696</v>
      </c>
      <c r="E2930">
        <v>94.39</v>
      </c>
      <c r="F2930">
        <v>314.10000000000002</v>
      </c>
      <c r="K2930" s="3"/>
      <c r="O2930" s="3"/>
    </row>
    <row r="2931" spans="1:15">
      <c r="A2931" s="3">
        <v>39455</v>
      </c>
      <c r="B2931" s="3">
        <v>39455</v>
      </c>
      <c r="C2931">
        <v>120.72</v>
      </c>
      <c r="D2931">
        <v>1.4706999999999999</v>
      </c>
      <c r="E2931">
        <v>95.54</v>
      </c>
      <c r="F2931">
        <v>329.85</v>
      </c>
      <c r="K2931" s="3"/>
      <c r="O2931" s="3"/>
    </row>
    <row r="2932" spans="1:15">
      <c r="A2932" s="3">
        <v>39456</v>
      </c>
      <c r="B2932" s="3">
        <v>39456</v>
      </c>
      <c r="C2932">
        <v>120.72</v>
      </c>
      <c r="D2932">
        <v>1.4659</v>
      </c>
      <c r="E2932">
        <v>94.37</v>
      </c>
      <c r="F2932">
        <v>328.35</v>
      </c>
      <c r="K2932" s="3"/>
      <c r="O2932" s="3"/>
    </row>
    <row r="2933" spans="1:15">
      <c r="A2933" s="3">
        <v>39457</v>
      </c>
      <c r="B2933" s="3">
        <v>39457</v>
      </c>
      <c r="C2933">
        <v>120.57</v>
      </c>
      <c r="D2933">
        <v>1.4803999999999999</v>
      </c>
      <c r="E2933">
        <v>92.22</v>
      </c>
      <c r="F2933">
        <v>328.15</v>
      </c>
      <c r="K2933" s="3"/>
      <c r="O2933" s="3"/>
    </row>
    <row r="2934" spans="1:15">
      <c r="A2934" s="3">
        <v>39458</v>
      </c>
      <c r="B2934" s="3">
        <v>39458</v>
      </c>
      <c r="C2934">
        <v>120.56</v>
      </c>
      <c r="D2934">
        <v>1.4776</v>
      </c>
      <c r="E2934">
        <v>91.07</v>
      </c>
      <c r="F2934">
        <v>330.4</v>
      </c>
      <c r="K2934" s="3"/>
      <c r="O2934" s="3"/>
    </row>
    <row r="2935" spans="1:15">
      <c r="A2935" s="3">
        <v>39459</v>
      </c>
      <c r="B2935" s="3">
        <v>39459</v>
      </c>
      <c r="C2935">
        <v>120.56</v>
      </c>
      <c r="D2935">
        <v>1.4776</v>
      </c>
      <c r="E2935">
        <v>91.07</v>
      </c>
      <c r="F2935">
        <v>330.4</v>
      </c>
      <c r="K2935" s="3"/>
      <c r="O2935" s="3"/>
    </row>
    <row r="2936" spans="1:15">
      <c r="A2936" s="3">
        <v>39460</v>
      </c>
      <c r="B2936" s="3">
        <v>39460</v>
      </c>
      <c r="C2936">
        <v>120.56</v>
      </c>
      <c r="D2936">
        <v>1.4776</v>
      </c>
      <c r="E2936">
        <v>91.07</v>
      </c>
      <c r="F2936">
        <v>330.4</v>
      </c>
      <c r="K2936" s="3"/>
      <c r="O2936" s="3"/>
    </row>
    <row r="2937" spans="1:15">
      <c r="A2937" s="3">
        <v>39461</v>
      </c>
      <c r="B2937" s="3">
        <v>39461</v>
      </c>
      <c r="C2937">
        <v>120.42</v>
      </c>
      <c r="D2937">
        <v>1.4869000000000001</v>
      </c>
      <c r="E2937">
        <v>92.92</v>
      </c>
      <c r="F2937">
        <v>333.9</v>
      </c>
      <c r="K2937" s="3"/>
      <c r="O2937" s="3"/>
    </row>
    <row r="2938" spans="1:15">
      <c r="A2938" s="3">
        <v>39462</v>
      </c>
      <c r="B2938" s="3">
        <v>39462</v>
      </c>
      <c r="C2938">
        <v>120.31</v>
      </c>
      <c r="D2938">
        <v>1.4803999999999999</v>
      </c>
      <c r="E2938">
        <v>90.98</v>
      </c>
      <c r="F2938">
        <v>324.14999999999998</v>
      </c>
      <c r="K2938" s="3"/>
      <c r="O2938" s="3"/>
    </row>
    <row r="2939" spans="1:15">
      <c r="A2939" s="3">
        <v>39463</v>
      </c>
      <c r="B2939" s="3">
        <v>39463</v>
      </c>
      <c r="C2939">
        <v>120.23</v>
      </c>
      <c r="D2939">
        <v>1.4652000000000001</v>
      </c>
      <c r="E2939">
        <v>89.75</v>
      </c>
      <c r="F2939">
        <v>317.25</v>
      </c>
      <c r="K2939" s="3"/>
      <c r="O2939" s="3"/>
    </row>
    <row r="2940" spans="1:15">
      <c r="A2940" s="3">
        <v>39464</v>
      </c>
      <c r="B2940" s="3">
        <v>39464</v>
      </c>
      <c r="C2940">
        <v>120.18</v>
      </c>
      <c r="D2940">
        <v>1.4641999999999999</v>
      </c>
      <c r="E2940">
        <v>88.75</v>
      </c>
      <c r="F2940">
        <v>318.2</v>
      </c>
      <c r="K2940" s="3"/>
      <c r="O2940" s="3"/>
    </row>
    <row r="2941" spans="1:15">
      <c r="A2941" s="3">
        <v>39465</v>
      </c>
      <c r="B2941" s="3">
        <v>39465</v>
      </c>
      <c r="C2941">
        <v>120.34</v>
      </c>
      <c r="D2941">
        <v>1.4621</v>
      </c>
      <c r="E2941">
        <v>89.23</v>
      </c>
      <c r="F2941">
        <v>323.45</v>
      </c>
      <c r="K2941" s="3"/>
      <c r="O2941" s="3"/>
    </row>
    <row r="2942" spans="1:15">
      <c r="A2942" s="3">
        <v>39466</v>
      </c>
      <c r="B2942" s="3">
        <v>39466</v>
      </c>
      <c r="C2942">
        <v>120.34</v>
      </c>
      <c r="D2942">
        <v>1.4621</v>
      </c>
      <c r="E2942">
        <v>89.23</v>
      </c>
      <c r="F2942">
        <v>323.45</v>
      </c>
      <c r="K2942" s="3"/>
      <c r="O2942" s="3"/>
    </row>
    <row r="2943" spans="1:15">
      <c r="A2943" s="3">
        <v>39467</v>
      </c>
      <c r="B2943" s="3">
        <v>39467</v>
      </c>
      <c r="C2943">
        <v>120.34</v>
      </c>
      <c r="D2943">
        <v>1.4621</v>
      </c>
      <c r="E2943">
        <v>89.23</v>
      </c>
      <c r="F2943">
        <v>323.45</v>
      </c>
      <c r="K2943" s="3"/>
      <c r="O2943" s="3"/>
    </row>
    <row r="2944" spans="1:15">
      <c r="A2944" s="3">
        <v>39468</v>
      </c>
      <c r="B2944" s="3">
        <v>39468</v>
      </c>
      <c r="C2944">
        <v>120.53</v>
      </c>
      <c r="D2944">
        <v>1.4454</v>
      </c>
      <c r="E2944">
        <v>87.51</v>
      </c>
      <c r="F2944">
        <v>323.45</v>
      </c>
      <c r="K2944" s="3"/>
      <c r="O2944" s="3"/>
    </row>
    <row r="2945" spans="1:15">
      <c r="A2945" s="3">
        <v>39469</v>
      </c>
      <c r="B2945" s="3">
        <v>39469</v>
      </c>
      <c r="C2945">
        <v>120.45</v>
      </c>
      <c r="D2945">
        <v>1.4629000000000001</v>
      </c>
      <c r="E2945">
        <v>88.45</v>
      </c>
      <c r="F2945">
        <v>319.64999999999998</v>
      </c>
      <c r="K2945" s="3"/>
      <c r="O2945" s="3"/>
    </row>
    <row r="2946" spans="1:15">
      <c r="A2946" s="3">
        <v>39470</v>
      </c>
      <c r="B2946" s="3">
        <v>39470</v>
      </c>
      <c r="C2946">
        <v>120.24</v>
      </c>
      <c r="D2946">
        <v>1.4629000000000001</v>
      </c>
      <c r="E2946">
        <v>86.62</v>
      </c>
      <c r="F2946">
        <v>307.2</v>
      </c>
      <c r="K2946" s="3"/>
      <c r="O2946" s="3"/>
    </row>
    <row r="2947" spans="1:15">
      <c r="A2947" s="3">
        <v>39471</v>
      </c>
      <c r="B2947" s="3">
        <v>39471</v>
      </c>
      <c r="C2947">
        <v>120.22</v>
      </c>
      <c r="D2947">
        <v>1.4755</v>
      </c>
      <c r="E2947">
        <v>89.07</v>
      </c>
      <c r="F2947">
        <v>317.14999999999998</v>
      </c>
      <c r="K2947" s="3"/>
      <c r="O2947" s="3"/>
    </row>
    <row r="2948" spans="1:15">
      <c r="A2948" s="3">
        <v>39472</v>
      </c>
      <c r="B2948" s="3">
        <v>39472</v>
      </c>
      <c r="C2948">
        <v>120.16</v>
      </c>
      <c r="D2948">
        <v>1.4681</v>
      </c>
      <c r="E2948">
        <v>90.9</v>
      </c>
      <c r="F2948">
        <v>318.39999999999998</v>
      </c>
      <c r="K2948" s="3"/>
      <c r="O2948" s="3"/>
    </row>
    <row r="2949" spans="1:15">
      <c r="A2949" s="3">
        <v>39473</v>
      </c>
      <c r="B2949" s="3">
        <v>39473</v>
      </c>
      <c r="C2949">
        <v>120.16</v>
      </c>
      <c r="D2949">
        <v>1.4681</v>
      </c>
      <c r="E2949">
        <v>90.9</v>
      </c>
      <c r="F2949">
        <v>318.39999999999998</v>
      </c>
      <c r="K2949" s="3"/>
      <c r="O2949" s="3"/>
    </row>
    <row r="2950" spans="1:15">
      <c r="A2950" s="3">
        <v>39474</v>
      </c>
      <c r="B2950" s="3">
        <v>39474</v>
      </c>
      <c r="C2950">
        <v>120.16</v>
      </c>
      <c r="D2950">
        <v>1.4681</v>
      </c>
      <c r="E2950">
        <v>90.9</v>
      </c>
      <c r="F2950">
        <v>318.39999999999998</v>
      </c>
      <c r="K2950" s="3"/>
      <c r="O2950" s="3"/>
    </row>
    <row r="2951" spans="1:15">
      <c r="A2951" s="3">
        <v>39475</v>
      </c>
      <c r="B2951" s="3">
        <v>39475</v>
      </c>
      <c r="C2951">
        <v>120.2</v>
      </c>
      <c r="D2951">
        <v>1.4781</v>
      </c>
      <c r="E2951">
        <v>91.38</v>
      </c>
      <c r="F2951">
        <v>318.95</v>
      </c>
      <c r="K2951" s="3"/>
      <c r="O2951" s="3"/>
    </row>
    <row r="2952" spans="1:15">
      <c r="A2952" s="3">
        <v>39476</v>
      </c>
      <c r="B2952" s="3">
        <v>39476</v>
      </c>
      <c r="C2952">
        <v>120.19</v>
      </c>
      <c r="D2952">
        <v>1.4776</v>
      </c>
      <c r="E2952">
        <v>92</v>
      </c>
      <c r="F2952">
        <v>329.9</v>
      </c>
      <c r="K2952" s="3"/>
      <c r="O2952" s="3"/>
    </row>
    <row r="2953" spans="1:15">
      <c r="A2953" s="3">
        <v>39477</v>
      </c>
      <c r="B2953" s="3">
        <v>39477</v>
      </c>
      <c r="C2953">
        <v>120.22</v>
      </c>
      <c r="D2953">
        <v>1.4862</v>
      </c>
      <c r="E2953">
        <v>92.53</v>
      </c>
      <c r="F2953">
        <v>322.64999999999998</v>
      </c>
      <c r="K2953" s="3"/>
      <c r="O2953" s="3"/>
    </row>
    <row r="2954" spans="1:15">
      <c r="A2954" s="3">
        <v>39478</v>
      </c>
      <c r="B2954" s="3">
        <v>39478</v>
      </c>
      <c r="C2954">
        <v>120.23</v>
      </c>
      <c r="D2954">
        <v>1.4861</v>
      </c>
      <c r="E2954">
        <v>92.21</v>
      </c>
      <c r="F2954">
        <v>329.8</v>
      </c>
      <c r="K2954" s="3"/>
      <c r="O2954" s="3"/>
    </row>
    <row r="2955" spans="1:15">
      <c r="A2955" s="3">
        <v>39479</v>
      </c>
      <c r="B2955" s="3">
        <v>39479</v>
      </c>
      <c r="C2955">
        <v>120.13</v>
      </c>
      <c r="D2955">
        <v>1.4802</v>
      </c>
      <c r="E2955">
        <v>89.44</v>
      </c>
      <c r="F2955">
        <v>327.3</v>
      </c>
      <c r="K2955" s="3"/>
      <c r="O2955" s="3"/>
    </row>
    <row r="2956" spans="1:15">
      <c r="A2956" s="3">
        <v>39480</v>
      </c>
      <c r="B2956" s="3">
        <v>39480</v>
      </c>
      <c r="C2956">
        <v>120.13</v>
      </c>
      <c r="D2956">
        <v>1.4802</v>
      </c>
      <c r="E2956">
        <v>89.44</v>
      </c>
      <c r="F2956">
        <v>327.3</v>
      </c>
      <c r="K2956" s="3"/>
      <c r="O2956" s="3"/>
    </row>
    <row r="2957" spans="1:15">
      <c r="A2957" s="3">
        <v>39481</v>
      </c>
      <c r="B2957" s="3">
        <v>39481</v>
      </c>
      <c r="C2957">
        <v>120.13</v>
      </c>
      <c r="D2957">
        <v>1.4802</v>
      </c>
      <c r="E2957">
        <v>89.44</v>
      </c>
      <c r="F2957">
        <v>327.3</v>
      </c>
      <c r="K2957" s="3"/>
      <c r="O2957" s="3"/>
    </row>
    <row r="2958" spans="1:15">
      <c r="A2958" s="3">
        <v>39482</v>
      </c>
      <c r="B2958" s="3">
        <v>39482</v>
      </c>
      <c r="C2958">
        <v>120.33</v>
      </c>
      <c r="D2958">
        <v>1.4830000000000001</v>
      </c>
      <c r="E2958">
        <v>90.47</v>
      </c>
      <c r="F2958">
        <v>329.85</v>
      </c>
      <c r="K2958" s="3"/>
      <c r="O2958" s="3"/>
    </row>
    <row r="2959" spans="1:15">
      <c r="A2959" s="3">
        <v>39483</v>
      </c>
      <c r="B2959" s="3">
        <v>39483</v>
      </c>
      <c r="C2959">
        <v>120.42</v>
      </c>
      <c r="D2959">
        <v>1.4646999999999999</v>
      </c>
      <c r="E2959">
        <v>88.82</v>
      </c>
      <c r="F2959">
        <v>321.2</v>
      </c>
      <c r="K2959" s="3"/>
      <c r="O2959" s="3"/>
    </row>
    <row r="2960" spans="1:15">
      <c r="A2960" s="3">
        <v>39484</v>
      </c>
      <c r="B2960" s="3">
        <v>39484</v>
      </c>
      <c r="C2960">
        <v>120.33</v>
      </c>
      <c r="D2960">
        <v>1.4632000000000001</v>
      </c>
      <c r="E2960">
        <v>87.78</v>
      </c>
      <c r="F2960">
        <v>330.9</v>
      </c>
      <c r="K2960" s="3"/>
      <c r="O2960" s="3"/>
    </row>
    <row r="2961" spans="1:15">
      <c r="A2961" s="3">
        <v>39485</v>
      </c>
      <c r="B2961" s="3">
        <v>39485</v>
      </c>
      <c r="C2961">
        <v>120.35</v>
      </c>
      <c r="D2961">
        <v>1.4484999999999999</v>
      </c>
      <c r="E2961">
        <v>88.51</v>
      </c>
      <c r="F2961">
        <v>345.4</v>
      </c>
      <c r="K2961" s="3"/>
      <c r="O2961" s="3"/>
    </row>
    <row r="2962" spans="1:15">
      <c r="A2962" s="3">
        <v>39486</v>
      </c>
      <c r="B2962" s="3">
        <v>39486</v>
      </c>
      <c r="C2962">
        <v>120.36</v>
      </c>
      <c r="D2962">
        <v>1.4503999999999999</v>
      </c>
      <c r="E2962">
        <v>91.94</v>
      </c>
      <c r="F2962">
        <v>353.95</v>
      </c>
      <c r="K2962" s="3"/>
      <c r="O2962" s="3"/>
    </row>
    <row r="2963" spans="1:15">
      <c r="A2963" s="3">
        <v>39487</v>
      </c>
      <c r="B2963" s="3">
        <v>39487</v>
      </c>
      <c r="C2963">
        <v>120.36</v>
      </c>
      <c r="D2963">
        <v>1.4503999999999999</v>
      </c>
      <c r="E2963">
        <v>91.94</v>
      </c>
      <c r="F2963">
        <v>353.95</v>
      </c>
      <c r="K2963" s="3"/>
      <c r="O2963" s="3"/>
    </row>
    <row r="2964" spans="1:15">
      <c r="A2964" s="3">
        <v>39488</v>
      </c>
      <c r="B2964" s="3">
        <v>39488</v>
      </c>
      <c r="C2964">
        <v>120.36</v>
      </c>
      <c r="D2964">
        <v>1.4503999999999999</v>
      </c>
      <c r="E2964">
        <v>91.94</v>
      </c>
      <c r="F2964">
        <v>353.95</v>
      </c>
      <c r="K2964" s="3"/>
      <c r="O2964" s="3"/>
    </row>
    <row r="2965" spans="1:15">
      <c r="A2965" s="3">
        <v>39489</v>
      </c>
      <c r="B2965" s="3">
        <v>39489</v>
      </c>
      <c r="C2965">
        <v>120.37</v>
      </c>
      <c r="D2965">
        <v>1.4519</v>
      </c>
      <c r="E2965">
        <v>93.53</v>
      </c>
      <c r="F2965">
        <v>355.85</v>
      </c>
      <c r="K2965" s="3"/>
      <c r="O2965" s="3"/>
    </row>
    <row r="2966" spans="1:15">
      <c r="A2966" s="3">
        <v>39490</v>
      </c>
      <c r="B2966" s="3">
        <v>39490</v>
      </c>
      <c r="C2966">
        <v>120.44</v>
      </c>
      <c r="D2966">
        <v>1.4583999999999999</v>
      </c>
      <c r="E2966">
        <v>92.86</v>
      </c>
      <c r="F2966">
        <v>356</v>
      </c>
      <c r="K2966" s="3"/>
      <c r="O2966" s="3"/>
    </row>
    <row r="2967" spans="1:15">
      <c r="A2967" s="3">
        <v>39491</v>
      </c>
      <c r="B2967" s="3">
        <v>39491</v>
      </c>
      <c r="C2967">
        <v>120.24</v>
      </c>
      <c r="D2967">
        <v>1.4573</v>
      </c>
      <c r="E2967">
        <v>93.32</v>
      </c>
      <c r="F2967">
        <v>353.05</v>
      </c>
      <c r="K2967" s="3"/>
      <c r="O2967" s="3"/>
    </row>
    <row r="2968" spans="1:15">
      <c r="A2968" s="3">
        <v>39492</v>
      </c>
      <c r="B2968" s="3">
        <v>39492</v>
      </c>
      <c r="C2968">
        <v>120.2</v>
      </c>
      <c r="D2968">
        <v>1.4642999999999999</v>
      </c>
      <c r="E2968">
        <v>95.09</v>
      </c>
      <c r="F2968">
        <v>348.8</v>
      </c>
      <c r="K2968" s="3"/>
      <c r="O2968" s="3"/>
    </row>
    <row r="2969" spans="1:15">
      <c r="A2969" s="3">
        <v>39493</v>
      </c>
      <c r="B2969" s="3">
        <v>39493</v>
      </c>
      <c r="C2969">
        <v>120.14</v>
      </c>
      <c r="D2969">
        <v>1.4681999999999999</v>
      </c>
      <c r="E2969">
        <v>94.63</v>
      </c>
      <c r="F2969">
        <v>352.3</v>
      </c>
      <c r="K2969" s="3"/>
      <c r="O2969" s="3"/>
    </row>
    <row r="2970" spans="1:15">
      <c r="A2970" s="3">
        <v>39494</v>
      </c>
      <c r="B2970" s="3">
        <v>39494</v>
      </c>
      <c r="C2970">
        <v>120.14</v>
      </c>
      <c r="D2970">
        <v>1.4681999999999999</v>
      </c>
      <c r="E2970">
        <v>94.63</v>
      </c>
      <c r="F2970">
        <v>352.3</v>
      </c>
      <c r="K2970" s="3"/>
      <c r="O2970" s="3"/>
    </row>
    <row r="2971" spans="1:15">
      <c r="A2971" s="3">
        <v>39495</v>
      </c>
      <c r="B2971" s="3">
        <v>39495</v>
      </c>
      <c r="C2971">
        <v>120.14</v>
      </c>
      <c r="D2971">
        <v>1.4681999999999999</v>
      </c>
      <c r="E2971">
        <v>94.63</v>
      </c>
      <c r="F2971">
        <v>352.3</v>
      </c>
      <c r="K2971" s="3"/>
      <c r="O2971" s="3"/>
    </row>
    <row r="2972" spans="1:15">
      <c r="A2972" s="3">
        <v>39496</v>
      </c>
      <c r="B2972" s="3">
        <v>39496</v>
      </c>
      <c r="C2972">
        <v>120.15</v>
      </c>
      <c r="D2972">
        <v>1.4658</v>
      </c>
      <c r="E2972">
        <v>94.91</v>
      </c>
      <c r="F2972">
        <v>352.3</v>
      </c>
      <c r="K2972" s="3"/>
      <c r="O2972" s="3"/>
    </row>
    <row r="2973" spans="1:15">
      <c r="A2973" s="3">
        <v>39497</v>
      </c>
      <c r="B2973" s="3">
        <v>39497</v>
      </c>
      <c r="C2973">
        <v>120.17</v>
      </c>
      <c r="D2973">
        <v>1.4725999999999999</v>
      </c>
      <c r="E2973">
        <v>98.56</v>
      </c>
      <c r="F2973">
        <v>372.35</v>
      </c>
      <c r="K2973" s="3"/>
      <c r="O2973" s="3"/>
    </row>
    <row r="2974" spans="1:15">
      <c r="A2974" s="3">
        <v>39498</v>
      </c>
      <c r="B2974" s="3">
        <v>39498</v>
      </c>
      <c r="C2974">
        <v>120.12</v>
      </c>
      <c r="D2974">
        <v>1.4715</v>
      </c>
      <c r="E2974">
        <v>98.42</v>
      </c>
      <c r="F2974">
        <v>370.85</v>
      </c>
      <c r="K2974" s="3"/>
      <c r="O2974" s="3"/>
    </row>
    <row r="2975" spans="1:15">
      <c r="A2975" s="3">
        <v>39499</v>
      </c>
      <c r="B2975" s="3">
        <v>39499</v>
      </c>
      <c r="C2975">
        <v>120.32</v>
      </c>
      <c r="D2975">
        <v>1.4814000000000001</v>
      </c>
      <c r="E2975">
        <v>96.24</v>
      </c>
      <c r="F2975">
        <v>381.05</v>
      </c>
      <c r="K2975" s="3"/>
      <c r="O2975" s="3"/>
    </row>
    <row r="2976" spans="1:15">
      <c r="A2976" s="3">
        <v>39500</v>
      </c>
      <c r="B2976" s="3">
        <v>39500</v>
      </c>
      <c r="C2976">
        <v>120.43</v>
      </c>
      <c r="D2976">
        <v>1.4826999999999999</v>
      </c>
      <c r="E2976">
        <v>97.01</v>
      </c>
      <c r="F2976">
        <v>378.95</v>
      </c>
      <c r="K2976" s="3"/>
      <c r="O2976" s="3"/>
    </row>
    <row r="2977" spans="1:15">
      <c r="A2977" s="3">
        <v>39501</v>
      </c>
      <c r="B2977" s="3">
        <v>39501</v>
      </c>
      <c r="C2977">
        <v>120.43</v>
      </c>
      <c r="D2977">
        <v>1.4826999999999999</v>
      </c>
      <c r="E2977">
        <v>97.01</v>
      </c>
      <c r="F2977">
        <v>378.95</v>
      </c>
      <c r="K2977" s="3"/>
      <c r="O2977" s="3"/>
    </row>
    <row r="2978" spans="1:15">
      <c r="A2978" s="3">
        <v>39502</v>
      </c>
      <c r="B2978" s="3">
        <v>39502</v>
      </c>
      <c r="C2978">
        <v>120.43</v>
      </c>
      <c r="D2978">
        <v>1.4826999999999999</v>
      </c>
      <c r="E2978">
        <v>97.01</v>
      </c>
      <c r="F2978">
        <v>378.95</v>
      </c>
      <c r="K2978" s="3"/>
      <c r="O2978" s="3"/>
    </row>
    <row r="2979" spans="1:15">
      <c r="A2979" s="3">
        <v>39503</v>
      </c>
      <c r="B2979" s="3">
        <v>39503</v>
      </c>
      <c r="C2979">
        <v>120.73</v>
      </c>
      <c r="D2979">
        <v>1.4830000000000001</v>
      </c>
      <c r="E2979">
        <v>97.69</v>
      </c>
      <c r="F2979">
        <v>373.95</v>
      </c>
      <c r="K2979" s="3"/>
      <c r="O2979" s="3"/>
    </row>
    <row r="2980" spans="1:15">
      <c r="A2980" s="3">
        <v>39504</v>
      </c>
      <c r="B2980" s="3">
        <v>39504</v>
      </c>
      <c r="C2980">
        <v>120.8</v>
      </c>
      <c r="D2980">
        <v>1.4974000000000001</v>
      </c>
      <c r="E2980">
        <v>99.47</v>
      </c>
      <c r="F2980">
        <v>377.9</v>
      </c>
      <c r="K2980" s="3"/>
      <c r="O2980" s="3"/>
    </row>
    <row r="2981" spans="1:15">
      <c r="A2981" s="3">
        <v>39505</v>
      </c>
      <c r="B2981" s="3">
        <v>39505</v>
      </c>
      <c r="C2981">
        <v>120.82</v>
      </c>
      <c r="D2981">
        <v>1.512</v>
      </c>
      <c r="E2981">
        <v>98.27</v>
      </c>
      <c r="F2981">
        <v>383.8</v>
      </c>
      <c r="K2981" s="3"/>
      <c r="O2981" s="3"/>
    </row>
    <row r="2982" spans="1:15">
      <c r="A2982" s="3">
        <v>39506</v>
      </c>
      <c r="B2982" s="3">
        <v>39506</v>
      </c>
      <c r="C2982">
        <v>120.73</v>
      </c>
      <c r="D2982">
        <v>1.5193000000000001</v>
      </c>
      <c r="E2982">
        <v>100.9</v>
      </c>
      <c r="F2982">
        <v>386.35</v>
      </c>
      <c r="K2982" s="3"/>
      <c r="O2982" s="3"/>
    </row>
    <row r="2983" spans="1:15">
      <c r="A2983" s="3">
        <v>39507</v>
      </c>
      <c r="B2983" s="3">
        <v>39507</v>
      </c>
      <c r="C2983">
        <v>120.7</v>
      </c>
      <c r="D2983">
        <v>1.5179</v>
      </c>
      <c r="E2983">
        <v>100.1</v>
      </c>
      <c r="F2983">
        <v>385.2</v>
      </c>
      <c r="K2983" s="3"/>
      <c r="O2983" s="3"/>
    </row>
    <row r="2984" spans="1:15">
      <c r="A2984" s="3">
        <v>39508</v>
      </c>
      <c r="B2984" s="3">
        <v>39508</v>
      </c>
      <c r="C2984">
        <v>120.7</v>
      </c>
      <c r="D2984">
        <v>1.5179</v>
      </c>
      <c r="E2984">
        <v>100.1</v>
      </c>
      <c r="F2984">
        <v>385.2</v>
      </c>
      <c r="K2984" s="3"/>
      <c r="O2984" s="3"/>
    </row>
    <row r="2985" spans="1:15">
      <c r="A2985" s="3">
        <v>39509</v>
      </c>
      <c r="B2985" s="3">
        <v>39509</v>
      </c>
      <c r="C2985">
        <v>120.7</v>
      </c>
      <c r="D2985">
        <v>1.5179</v>
      </c>
      <c r="E2985">
        <v>100.1</v>
      </c>
      <c r="F2985">
        <v>385.2</v>
      </c>
      <c r="K2985" s="3"/>
      <c r="O2985" s="3"/>
    </row>
    <row r="2986" spans="1:15">
      <c r="A2986" s="3">
        <v>39510</v>
      </c>
      <c r="B2986" s="3">
        <v>39510</v>
      </c>
      <c r="C2986">
        <v>120.71</v>
      </c>
      <c r="D2986">
        <v>1.5204</v>
      </c>
      <c r="E2986">
        <v>100.48</v>
      </c>
      <c r="F2986">
        <v>393.1</v>
      </c>
      <c r="K2986" s="3"/>
      <c r="O2986" s="3"/>
    </row>
    <row r="2987" spans="1:15">
      <c r="A2987" s="3">
        <v>39511</v>
      </c>
      <c r="B2987" s="3">
        <v>39511</v>
      </c>
      <c r="C2987">
        <v>120.79</v>
      </c>
      <c r="D2987">
        <v>1.5217000000000001</v>
      </c>
      <c r="E2987">
        <v>97.52</v>
      </c>
      <c r="F2987">
        <v>382.7</v>
      </c>
      <c r="K2987" s="3"/>
      <c r="O2987" s="3"/>
    </row>
    <row r="2988" spans="1:15">
      <c r="A2988" s="3">
        <v>39512</v>
      </c>
      <c r="B2988" s="3">
        <v>39512</v>
      </c>
      <c r="C2988">
        <v>120.74</v>
      </c>
      <c r="D2988">
        <v>1.5265</v>
      </c>
      <c r="E2988">
        <v>101.64</v>
      </c>
      <c r="F2988">
        <v>398.95</v>
      </c>
      <c r="K2988" s="3"/>
      <c r="O2988" s="3"/>
    </row>
    <row r="2989" spans="1:15">
      <c r="A2989" s="3">
        <v>39513</v>
      </c>
      <c r="B2989" s="3">
        <v>39513</v>
      </c>
      <c r="C2989">
        <v>120.71</v>
      </c>
      <c r="D2989">
        <v>1.538</v>
      </c>
      <c r="E2989">
        <v>102.61</v>
      </c>
      <c r="F2989">
        <v>391.45</v>
      </c>
      <c r="K2989" s="3"/>
      <c r="O2989" s="3"/>
    </row>
    <row r="2990" spans="1:15">
      <c r="A2990" s="3">
        <v>39514</v>
      </c>
      <c r="B2990" s="3">
        <v>39514</v>
      </c>
      <c r="C2990">
        <v>120.64</v>
      </c>
      <c r="D2990">
        <v>1.5355000000000001</v>
      </c>
      <c r="E2990">
        <v>102.38</v>
      </c>
      <c r="F2990">
        <v>393.2</v>
      </c>
      <c r="K2990" s="3"/>
      <c r="O2990" s="3"/>
    </row>
    <row r="2991" spans="1:15">
      <c r="A2991" s="3">
        <v>39515</v>
      </c>
      <c r="B2991" s="3">
        <v>39515</v>
      </c>
      <c r="C2991">
        <v>120.64</v>
      </c>
      <c r="D2991">
        <v>1.5355000000000001</v>
      </c>
      <c r="E2991">
        <v>102.38</v>
      </c>
      <c r="F2991">
        <v>393.2</v>
      </c>
      <c r="K2991" s="3"/>
      <c r="O2991" s="3"/>
    </row>
    <row r="2992" spans="1:15">
      <c r="A2992" s="3">
        <v>39516</v>
      </c>
      <c r="B2992" s="3">
        <v>39516</v>
      </c>
      <c r="C2992">
        <v>120.64</v>
      </c>
      <c r="D2992">
        <v>1.5355000000000001</v>
      </c>
      <c r="E2992">
        <v>102.38</v>
      </c>
      <c r="F2992">
        <v>393.2</v>
      </c>
      <c r="K2992" s="3"/>
      <c r="O2992" s="3"/>
    </row>
    <row r="2993" spans="1:15">
      <c r="A2993" s="3">
        <v>39517</v>
      </c>
      <c r="B2993" s="3">
        <v>39517</v>
      </c>
      <c r="C2993">
        <v>120.63</v>
      </c>
      <c r="D2993">
        <v>1.5344</v>
      </c>
      <c r="E2993">
        <v>104.16</v>
      </c>
      <c r="F2993">
        <v>380.85</v>
      </c>
      <c r="K2993" s="3"/>
      <c r="O2993" s="3"/>
    </row>
    <row r="2994" spans="1:15">
      <c r="A2994" s="3">
        <v>39518</v>
      </c>
      <c r="B2994" s="3">
        <v>39518</v>
      </c>
      <c r="C2994">
        <v>120.67</v>
      </c>
      <c r="D2994">
        <v>1.5338000000000001</v>
      </c>
      <c r="E2994">
        <v>105.25</v>
      </c>
      <c r="F2994">
        <v>379.9</v>
      </c>
      <c r="K2994" s="3"/>
      <c r="O2994" s="3"/>
    </row>
    <row r="2995" spans="1:15">
      <c r="A2995" s="3">
        <v>39519</v>
      </c>
      <c r="B2995" s="3">
        <v>39519</v>
      </c>
      <c r="C2995">
        <v>120.72</v>
      </c>
      <c r="D2995">
        <v>1.5550999999999999</v>
      </c>
      <c r="E2995">
        <v>106.27</v>
      </c>
      <c r="F2995">
        <v>385.15</v>
      </c>
      <c r="K2995" s="3"/>
      <c r="O2995" s="3"/>
    </row>
    <row r="2996" spans="1:15">
      <c r="A2996" s="3">
        <v>39520</v>
      </c>
      <c r="B2996" s="3">
        <v>39520</v>
      </c>
      <c r="C2996">
        <v>120.48</v>
      </c>
      <c r="D2996">
        <v>1.5634999999999999</v>
      </c>
      <c r="E2996">
        <v>107.54</v>
      </c>
      <c r="F2996">
        <v>384</v>
      </c>
      <c r="K2996" s="3"/>
      <c r="O2996" s="3"/>
    </row>
    <row r="2997" spans="1:15">
      <c r="A2997" s="3">
        <v>39521</v>
      </c>
      <c r="B2997" s="3">
        <v>39521</v>
      </c>
      <c r="C2997">
        <v>120.66</v>
      </c>
      <c r="D2997">
        <v>1.5673999999999999</v>
      </c>
      <c r="E2997">
        <v>107.55</v>
      </c>
      <c r="F2997">
        <v>384.7</v>
      </c>
      <c r="K2997" s="3"/>
      <c r="O2997" s="3"/>
    </row>
    <row r="2998" spans="1:15">
      <c r="A2998" s="3">
        <v>39522</v>
      </c>
      <c r="B2998" s="3">
        <v>39522</v>
      </c>
      <c r="C2998">
        <v>120.66</v>
      </c>
      <c r="D2998">
        <v>1.5673999999999999</v>
      </c>
      <c r="E2998">
        <v>107.55</v>
      </c>
      <c r="F2998">
        <v>384.7</v>
      </c>
      <c r="K2998" s="3"/>
      <c r="O2998" s="3"/>
    </row>
    <row r="2999" spans="1:15">
      <c r="A2999" s="3">
        <v>39523</v>
      </c>
      <c r="B2999" s="3">
        <v>39523</v>
      </c>
      <c r="C2999">
        <v>120.66</v>
      </c>
      <c r="D2999">
        <v>1.5673999999999999</v>
      </c>
      <c r="E2999">
        <v>107.55</v>
      </c>
      <c r="F2999">
        <v>384.7</v>
      </c>
      <c r="K2999" s="3"/>
      <c r="O2999" s="3"/>
    </row>
    <row r="3000" spans="1:15">
      <c r="A3000" s="3">
        <v>39524</v>
      </c>
      <c r="B3000" s="3">
        <v>39524</v>
      </c>
      <c r="C3000">
        <v>120.66</v>
      </c>
      <c r="D3000">
        <v>1.573</v>
      </c>
      <c r="E3000">
        <v>101.75</v>
      </c>
      <c r="F3000">
        <v>371.2</v>
      </c>
      <c r="K3000" s="3"/>
      <c r="O3000" s="3"/>
    </row>
    <row r="3001" spans="1:15">
      <c r="A3001" s="3">
        <v>39525</v>
      </c>
      <c r="B3001" s="3">
        <v>39525</v>
      </c>
      <c r="C3001">
        <v>120.79</v>
      </c>
      <c r="D3001">
        <v>1.5625</v>
      </c>
      <c r="E3001">
        <v>105.56</v>
      </c>
      <c r="F3001">
        <v>377.05</v>
      </c>
      <c r="K3001" s="3"/>
      <c r="O3001" s="3"/>
    </row>
    <row r="3002" spans="1:15">
      <c r="A3002" s="3">
        <v>39526</v>
      </c>
      <c r="B3002" s="3">
        <v>39526</v>
      </c>
      <c r="C3002">
        <v>120.6</v>
      </c>
      <c r="D3002">
        <v>1.5626</v>
      </c>
      <c r="E3002">
        <v>100.72</v>
      </c>
      <c r="F3002">
        <v>365.95</v>
      </c>
      <c r="K3002" s="3"/>
      <c r="O3002" s="3"/>
    </row>
    <row r="3003" spans="1:15">
      <c r="A3003" s="3">
        <v>39527</v>
      </c>
      <c r="B3003" s="3">
        <v>39527</v>
      </c>
      <c r="C3003">
        <v>120.48</v>
      </c>
      <c r="D3003">
        <v>1.5427999999999999</v>
      </c>
      <c r="E3003">
        <v>100.38</v>
      </c>
      <c r="F3003">
        <v>361.1</v>
      </c>
      <c r="K3003" s="3"/>
      <c r="O3003" s="3"/>
    </row>
    <row r="3004" spans="1:15">
      <c r="A3004" s="3">
        <v>39528</v>
      </c>
      <c r="B3004" s="3">
        <v>39528</v>
      </c>
      <c r="C3004">
        <v>120.53</v>
      </c>
      <c r="D3004">
        <v>1.5431999999999999</v>
      </c>
      <c r="E3004">
        <v>100.38</v>
      </c>
      <c r="F3004">
        <v>361.1</v>
      </c>
      <c r="K3004" s="3"/>
      <c r="O3004" s="3"/>
    </row>
    <row r="3005" spans="1:15">
      <c r="A3005" s="3">
        <v>39529</v>
      </c>
      <c r="B3005" s="3">
        <v>39529</v>
      </c>
      <c r="C3005">
        <v>120.53</v>
      </c>
      <c r="D3005">
        <v>1.5431999999999999</v>
      </c>
      <c r="E3005">
        <v>100.38</v>
      </c>
      <c r="F3005">
        <v>361.1</v>
      </c>
      <c r="K3005" s="3"/>
      <c r="O3005" s="3"/>
    </row>
    <row r="3006" spans="1:15">
      <c r="A3006" s="3">
        <v>39530</v>
      </c>
      <c r="B3006" s="3">
        <v>39530</v>
      </c>
      <c r="C3006">
        <v>120.53</v>
      </c>
      <c r="D3006">
        <v>1.5431999999999999</v>
      </c>
      <c r="E3006">
        <v>100.38</v>
      </c>
      <c r="F3006">
        <v>361.1</v>
      </c>
      <c r="K3006" s="3"/>
      <c r="O3006" s="3"/>
    </row>
    <row r="3007" spans="1:15">
      <c r="A3007" s="3">
        <v>39531</v>
      </c>
      <c r="B3007" s="3">
        <v>39531</v>
      </c>
      <c r="C3007">
        <v>120.52</v>
      </c>
      <c r="D3007">
        <v>1.5423</v>
      </c>
      <c r="E3007">
        <v>99.86</v>
      </c>
      <c r="F3007">
        <v>365.5</v>
      </c>
      <c r="K3007" s="3"/>
      <c r="O3007" s="3"/>
    </row>
    <row r="3008" spans="1:15">
      <c r="A3008" s="3">
        <v>39532</v>
      </c>
      <c r="B3008" s="3">
        <v>39532</v>
      </c>
      <c r="C3008">
        <v>120.67</v>
      </c>
      <c r="D3008">
        <v>1.5649999999999999</v>
      </c>
      <c r="E3008">
        <v>100.6</v>
      </c>
      <c r="F3008">
        <v>369.95</v>
      </c>
      <c r="K3008" s="3"/>
      <c r="O3008" s="3"/>
    </row>
    <row r="3009" spans="1:15">
      <c r="A3009" s="3">
        <v>39533</v>
      </c>
      <c r="B3009" s="3">
        <v>39533</v>
      </c>
      <c r="C3009">
        <v>120.76</v>
      </c>
      <c r="D3009">
        <v>1.5845</v>
      </c>
      <c r="E3009">
        <v>103.99</v>
      </c>
      <c r="F3009">
        <v>375.1</v>
      </c>
      <c r="K3009" s="3"/>
      <c r="O3009" s="3"/>
    </row>
    <row r="3010" spans="1:15">
      <c r="A3010" s="3">
        <v>39534</v>
      </c>
      <c r="B3010" s="3">
        <v>39534</v>
      </c>
      <c r="C3010">
        <v>120.66</v>
      </c>
      <c r="D3010">
        <v>1.5779000000000001</v>
      </c>
      <c r="E3010">
        <v>105</v>
      </c>
      <c r="F3010">
        <v>390.35</v>
      </c>
      <c r="K3010" s="3"/>
      <c r="O3010" s="3"/>
    </row>
    <row r="3011" spans="1:15">
      <c r="A3011" s="3">
        <v>39535</v>
      </c>
      <c r="B3011" s="3">
        <v>39535</v>
      </c>
      <c r="C3011">
        <v>120.62</v>
      </c>
      <c r="D3011">
        <v>1.5795999999999999</v>
      </c>
      <c r="E3011">
        <v>103.77</v>
      </c>
      <c r="F3011">
        <v>383.15</v>
      </c>
      <c r="K3011" s="3"/>
      <c r="O3011" s="3"/>
    </row>
    <row r="3012" spans="1:15">
      <c r="A3012" s="3">
        <v>39536</v>
      </c>
      <c r="B3012" s="3">
        <v>39536</v>
      </c>
      <c r="C3012">
        <v>120.62</v>
      </c>
      <c r="D3012">
        <v>1.5795999999999999</v>
      </c>
      <c r="E3012">
        <v>103.77</v>
      </c>
      <c r="F3012">
        <v>383.15</v>
      </c>
      <c r="K3012" s="3"/>
      <c r="O3012" s="3"/>
    </row>
    <row r="3013" spans="1:15">
      <c r="A3013" s="3">
        <v>39537</v>
      </c>
      <c r="B3013" s="3">
        <v>39537</v>
      </c>
      <c r="C3013">
        <v>120.62</v>
      </c>
      <c r="D3013">
        <v>1.5795999999999999</v>
      </c>
      <c r="E3013">
        <v>103.77</v>
      </c>
      <c r="F3013">
        <v>383.15</v>
      </c>
      <c r="K3013" s="3"/>
      <c r="O3013" s="3"/>
    </row>
    <row r="3014" spans="1:15">
      <c r="A3014" s="3">
        <v>39538</v>
      </c>
      <c r="B3014" s="3">
        <v>39538</v>
      </c>
      <c r="C3014">
        <v>120.68</v>
      </c>
      <c r="D3014">
        <v>1.5788</v>
      </c>
      <c r="E3014">
        <v>100.3</v>
      </c>
      <c r="F3014">
        <v>383.1</v>
      </c>
      <c r="K3014" s="3"/>
      <c r="O3014" s="3"/>
    </row>
    <row r="3015" spans="1:15">
      <c r="A3015" s="3">
        <v>39539</v>
      </c>
      <c r="B3015" s="3">
        <v>39539</v>
      </c>
      <c r="C3015">
        <v>120.65</v>
      </c>
      <c r="D3015">
        <v>1.5613999999999999</v>
      </c>
      <c r="E3015">
        <v>100.17</v>
      </c>
      <c r="F3015">
        <v>380.65</v>
      </c>
      <c r="K3015" s="3"/>
      <c r="O3015" s="3"/>
    </row>
    <row r="3016" spans="1:15">
      <c r="A3016" s="3">
        <v>39540</v>
      </c>
      <c r="B3016" s="3">
        <v>39540</v>
      </c>
      <c r="C3016">
        <v>120.62</v>
      </c>
      <c r="D3016">
        <v>1.5686</v>
      </c>
      <c r="E3016">
        <v>103.75</v>
      </c>
      <c r="F3016">
        <v>387.75</v>
      </c>
      <c r="K3016" s="3"/>
      <c r="O3016" s="3"/>
    </row>
    <row r="3017" spans="1:15">
      <c r="A3017" s="3">
        <v>39541</v>
      </c>
      <c r="B3017" s="3">
        <v>39541</v>
      </c>
      <c r="C3017">
        <v>120.47</v>
      </c>
      <c r="D3017">
        <v>1.5684</v>
      </c>
      <c r="E3017">
        <v>102.52</v>
      </c>
      <c r="F3017">
        <v>390.15</v>
      </c>
      <c r="K3017" s="3"/>
      <c r="O3017" s="3"/>
    </row>
    <row r="3018" spans="1:15">
      <c r="A3018" s="3">
        <v>39542</v>
      </c>
      <c r="B3018" s="3">
        <v>39542</v>
      </c>
      <c r="C3018">
        <v>120.59</v>
      </c>
      <c r="D3018">
        <v>1.5737000000000001</v>
      </c>
      <c r="E3018">
        <v>104.9</v>
      </c>
      <c r="F3018">
        <v>395.45</v>
      </c>
      <c r="K3018" s="3"/>
      <c r="O3018" s="3"/>
    </row>
    <row r="3019" spans="1:15">
      <c r="A3019" s="3">
        <v>39543</v>
      </c>
      <c r="B3019" s="3">
        <v>39543</v>
      </c>
      <c r="C3019">
        <v>120.59</v>
      </c>
      <c r="D3019">
        <v>1.5737000000000001</v>
      </c>
      <c r="E3019">
        <v>104.9</v>
      </c>
      <c r="F3019">
        <v>395.45</v>
      </c>
      <c r="K3019" s="3"/>
      <c r="O3019" s="3"/>
    </row>
    <row r="3020" spans="1:15">
      <c r="A3020" s="3">
        <v>39544</v>
      </c>
      <c r="B3020" s="3">
        <v>39544</v>
      </c>
      <c r="C3020">
        <v>120.59</v>
      </c>
      <c r="D3020">
        <v>1.5737000000000001</v>
      </c>
      <c r="E3020">
        <v>104.9</v>
      </c>
      <c r="F3020">
        <v>395.45</v>
      </c>
      <c r="K3020" s="3"/>
      <c r="O3020" s="3"/>
    </row>
    <row r="3021" spans="1:15">
      <c r="A3021" s="3">
        <v>39545</v>
      </c>
      <c r="B3021" s="3">
        <v>39545</v>
      </c>
      <c r="C3021">
        <v>120.56</v>
      </c>
      <c r="D3021">
        <v>1.5710999999999999</v>
      </c>
      <c r="E3021">
        <v>107.14</v>
      </c>
      <c r="F3021">
        <v>397.95</v>
      </c>
      <c r="K3021" s="3"/>
      <c r="O3021" s="3"/>
    </row>
    <row r="3022" spans="1:15">
      <c r="A3022" s="3">
        <v>39546</v>
      </c>
      <c r="B3022" s="3">
        <v>39546</v>
      </c>
      <c r="C3022">
        <v>120.54</v>
      </c>
      <c r="D3022">
        <v>1.5711999999999999</v>
      </c>
      <c r="E3022">
        <v>106.34</v>
      </c>
      <c r="F3022">
        <v>389.05</v>
      </c>
      <c r="K3022" s="3"/>
      <c r="O3022" s="3"/>
    </row>
    <row r="3023" spans="1:15">
      <c r="A3023" s="3">
        <v>39547</v>
      </c>
      <c r="B3023" s="3">
        <v>39547</v>
      </c>
      <c r="C3023">
        <v>120.54</v>
      </c>
      <c r="D3023">
        <v>1.5831</v>
      </c>
      <c r="E3023">
        <v>108.47</v>
      </c>
      <c r="F3023">
        <v>400</v>
      </c>
      <c r="K3023" s="3"/>
      <c r="O3023" s="3"/>
    </row>
    <row r="3024" spans="1:15">
      <c r="A3024" s="3">
        <v>39548</v>
      </c>
      <c r="B3024" s="3">
        <v>39548</v>
      </c>
      <c r="C3024">
        <v>120.54</v>
      </c>
      <c r="D3024">
        <v>1.5742</v>
      </c>
      <c r="E3024">
        <v>108.2</v>
      </c>
      <c r="F3024">
        <v>392.4</v>
      </c>
      <c r="K3024" s="3"/>
      <c r="O3024" s="3"/>
    </row>
    <row r="3025" spans="1:15">
      <c r="A3025" s="3">
        <v>39549</v>
      </c>
      <c r="B3025" s="3">
        <v>39549</v>
      </c>
      <c r="C3025">
        <v>120.49</v>
      </c>
      <c r="D3025">
        <v>1.5808</v>
      </c>
      <c r="E3025">
        <v>108.75</v>
      </c>
      <c r="F3025">
        <v>394.45</v>
      </c>
      <c r="K3025" s="3"/>
      <c r="O3025" s="3"/>
    </row>
    <row r="3026" spans="1:15">
      <c r="A3026" s="3">
        <v>39550</v>
      </c>
      <c r="B3026" s="3">
        <v>39550</v>
      </c>
      <c r="C3026">
        <v>120.49</v>
      </c>
      <c r="D3026">
        <v>1.5808</v>
      </c>
      <c r="E3026">
        <v>108.75</v>
      </c>
      <c r="F3026">
        <v>394.45</v>
      </c>
      <c r="K3026" s="3"/>
      <c r="O3026" s="3"/>
    </row>
    <row r="3027" spans="1:15">
      <c r="A3027" s="3">
        <v>39551</v>
      </c>
      <c r="B3027" s="3">
        <v>39551</v>
      </c>
      <c r="C3027">
        <v>120.49</v>
      </c>
      <c r="D3027">
        <v>1.5808</v>
      </c>
      <c r="E3027">
        <v>108.75</v>
      </c>
      <c r="F3027">
        <v>394.45</v>
      </c>
      <c r="K3027" s="3"/>
      <c r="O3027" s="3"/>
    </row>
    <row r="3028" spans="1:15">
      <c r="A3028" s="3">
        <v>39552</v>
      </c>
      <c r="B3028" s="3">
        <v>39552</v>
      </c>
      <c r="C3028">
        <v>120.43</v>
      </c>
      <c r="D3028">
        <v>1.5831999999999999</v>
      </c>
      <c r="E3028">
        <v>109.84</v>
      </c>
      <c r="F3028">
        <v>389.65</v>
      </c>
      <c r="K3028" s="3"/>
      <c r="O3028" s="3"/>
    </row>
    <row r="3029" spans="1:15">
      <c r="A3029" s="3">
        <v>39553</v>
      </c>
      <c r="B3029" s="3">
        <v>39553</v>
      </c>
      <c r="C3029">
        <v>120.33</v>
      </c>
      <c r="D3029">
        <v>1.579</v>
      </c>
      <c r="E3029">
        <v>111.31</v>
      </c>
      <c r="F3029">
        <v>385.9</v>
      </c>
      <c r="K3029" s="3"/>
      <c r="O3029" s="3"/>
    </row>
    <row r="3030" spans="1:15">
      <c r="A3030" s="3">
        <v>39554</v>
      </c>
      <c r="B3030" s="3">
        <v>39554</v>
      </c>
      <c r="C3030">
        <v>120.4</v>
      </c>
      <c r="D3030">
        <v>1.5948</v>
      </c>
      <c r="E3030">
        <v>112.66</v>
      </c>
      <c r="F3030">
        <v>395.8</v>
      </c>
      <c r="K3030" s="3"/>
      <c r="O3030" s="3"/>
    </row>
    <row r="3031" spans="1:15">
      <c r="A3031" s="3">
        <v>39555</v>
      </c>
      <c r="B3031" s="3">
        <v>39555</v>
      </c>
      <c r="C3031">
        <v>120.5</v>
      </c>
      <c r="D3031">
        <v>1.5908</v>
      </c>
      <c r="E3031">
        <v>112.43</v>
      </c>
      <c r="F3031">
        <v>391.2</v>
      </c>
      <c r="K3031" s="3"/>
      <c r="O3031" s="3"/>
    </row>
    <row r="3032" spans="1:15">
      <c r="A3032" s="3">
        <v>39556</v>
      </c>
      <c r="B3032" s="3">
        <v>39556</v>
      </c>
      <c r="C3032">
        <v>120.61</v>
      </c>
      <c r="D3032">
        <v>1.5818000000000001</v>
      </c>
      <c r="E3032">
        <v>113.92</v>
      </c>
      <c r="F3032">
        <v>388.8</v>
      </c>
      <c r="K3032" s="3"/>
      <c r="O3032" s="3"/>
    </row>
    <row r="3033" spans="1:15">
      <c r="A3033" s="3">
        <v>39557</v>
      </c>
      <c r="B3033" s="3">
        <v>39557</v>
      </c>
      <c r="C3033">
        <v>120.61</v>
      </c>
      <c r="D3033">
        <v>1.5818000000000001</v>
      </c>
      <c r="E3033">
        <v>113.92</v>
      </c>
      <c r="F3033">
        <v>388.8</v>
      </c>
      <c r="K3033" s="3"/>
      <c r="O3033" s="3"/>
    </row>
    <row r="3034" spans="1:15">
      <c r="A3034" s="3">
        <v>39558</v>
      </c>
      <c r="B3034" s="3">
        <v>39558</v>
      </c>
      <c r="C3034">
        <v>120.61</v>
      </c>
      <c r="D3034">
        <v>1.5818000000000001</v>
      </c>
      <c r="E3034">
        <v>113.92</v>
      </c>
      <c r="F3034">
        <v>388.8</v>
      </c>
      <c r="K3034" s="3"/>
      <c r="O3034" s="3"/>
    </row>
    <row r="3035" spans="1:15">
      <c r="A3035" s="3">
        <v>39559</v>
      </c>
      <c r="B3035" s="3">
        <v>39559</v>
      </c>
      <c r="C3035">
        <v>120.54</v>
      </c>
      <c r="D3035">
        <v>1.5911999999999999</v>
      </c>
      <c r="E3035">
        <v>114.43</v>
      </c>
      <c r="F3035">
        <v>386.6</v>
      </c>
      <c r="K3035" s="3"/>
      <c r="O3035" s="3"/>
    </row>
    <row r="3036" spans="1:15">
      <c r="A3036" s="3">
        <v>39560</v>
      </c>
      <c r="B3036" s="3">
        <v>39560</v>
      </c>
      <c r="C3036">
        <v>120.48</v>
      </c>
      <c r="D3036">
        <v>1.5991</v>
      </c>
      <c r="E3036">
        <v>115.95</v>
      </c>
      <c r="F3036">
        <v>396.55</v>
      </c>
      <c r="K3036" s="3"/>
      <c r="O3036" s="3"/>
    </row>
    <row r="3037" spans="1:15">
      <c r="A3037" s="3">
        <v>39561</v>
      </c>
      <c r="B3037" s="3">
        <v>39561</v>
      </c>
      <c r="C3037">
        <v>120.39</v>
      </c>
      <c r="D3037">
        <v>1.5889</v>
      </c>
      <c r="E3037">
        <v>116.46</v>
      </c>
      <c r="F3037">
        <v>390.4</v>
      </c>
      <c r="K3037" s="3"/>
      <c r="O3037" s="3"/>
    </row>
    <row r="3038" spans="1:15">
      <c r="A3038" s="3">
        <v>39562</v>
      </c>
      <c r="B3038" s="3">
        <v>39562</v>
      </c>
      <c r="C3038">
        <v>120.45</v>
      </c>
      <c r="D3038">
        <v>1.5682</v>
      </c>
      <c r="E3038">
        <v>114.34</v>
      </c>
      <c r="F3038">
        <v>387.5</v>
      </c>
      <c r="K3038" s="3"/>
      <c r="O3038" s="3"/>
    </row>
    <row r="3039" spans="1:15">
      <c r="A3039" s="3">
        <v>39563</v>
      </c>
      <c r="B3039" s="3">
        <v>39563</v>
      </c>
      <c r="C3039">
        <v>120.51</v>
      </c>
      <c r="D3039">
        <v>1.5629999999999999</v>
      </c>
      <c r="E3039">
        <v>116.34</v>
      </c>
      <c r="F3039">
        <v>391.55</v>
      </c>
      <c r="K3039" s="3"/>
      <c r="O3039" s="3"/>
    </row>
    <row r="3040" spans="1:15">
      <c r="A3040" s="3">
        <v>39564</v>
      </c>
      <c r="B3040" s="3">
        <v>39564</v>
      </c>
      <c r="C3040">
        <v>120.51</v>
      </c>
      <c r="D3040">
        <v>1.5629999999999999</v>
      </c>
      <c r="E3040">
        <v>116.34</v>
      </c>
      <c r="F3040">
        <v>391.55</v>
      </c>
      <c r="K3040" s="3"/>
      <c r="O3040" s="3"/>
    </row>
    <row r="3041" spans="1:15">
      <c r="A3041" s="3">
        <v>39565</v>
      </c>
      <c r="B3041" s="3">
        <v>39565</v>
      </c>
      <c r="C3041">
        <v>120.51</v>
      </c>
      <c r="D3041">
        <v>1.5629999999999999</v>
      </c>
      <c r="E3041">
        <v>116.34</v>
      </c>
      <c r="F3041">
        <v>391.55</v>
      </c>
      <c r="K3041" s="3"/>
      <c r="O3041" s="3"/>
    </row>
    <row r="3042" spans="1:15">
      <c r="A3042" s="3">
        <v>39566</v>
      </c>
      <c r="B3042" s="3">
        <v>39566</v>
      </c>
      <c r="C3042">
        <v>120.48</v>
      </c>
      <c r="D3042">
        <v>1.5657000000000001</v>
      </c>
      <c r="E3042">
        <v>116.74</v>
      </c>
      <c r="F3042">
        <v>393.55</v>
      </c>
      <c r="K3042" s="3"/>
      <c r="O3042" s="3"/>
    </row>
    <row r="3043" spans="1:15">
      <c r="A3043" s="3">
        <v>39567</v>
      </c>
      <c r="B3043" s="3">
        <v>39567</v>
      </c>
      <c r="C3043">
        <v>120.43</v>
      </c>
      <c r="D3043">
        <v>1.5571999999999999</v>
      </c>
      <c r="E3043">
        <v>113.43</v>
      </c>
      <c r="F3043">
        <v>389.95</v>
      </c>
      <c r="K3043" s="3"/>
      <c r="O3043" s="3"/>
    </row>
    <row r="3044" spans="1:15">
      <c r="A3044" s="3">
        <v>39568</v>
      </c>
      <c r="B3044" s="3">
        <v>39568</v>
      </c>
      <c r="C3044">
        <v>120.42</v>
      </c>
      <c r="D3044">
        <v>1.5622</v>
      </c>
      <c r="E3044">
        <v>111.36</v>
      </c>
      <c r="F3044">
        <v>393.4</v>
      </c>
      <c r="K3044" s="3"/>
      <c r="O3044" s="3"/>
    </row>
    <row r="3045" spans="1:15">
      <c r="A3045" s="3">
        <v>39569</v>
      </c>
      <c r="B3045" s="3">
        <v>39569</v>
      </c>
      <c r="C3045">
        <v>120.42</v>
      </c>
      <c r="D3045">
        <v>1.5474000000000001</v>
      </c>
      <c r="E3045">
        <v>110.5</v>
      </c>
      <c r="F3045">
        <v>372.55</v>
      </c>
      <c r="K3045" s="3"/>
      <c r="O3045" s="3"/>
    </row>
    <row r="3046" spans="1:15">
      <c r="A3046" s="3">
        <v>39570</v>
      </c>
      <c r="B3046" s="3">
        <v>39570</v>
      </c>
      <c r="C3046">
        <v>120.42</v>
      </c>
      <c r="D3046">
        <v>1.5424</v>
      </c>
      <c r="E3046">
        <v>114.56</v>
      </c>
      <c r="F3046">
        <v>385.8</v>
      </c>
      <c r="K3046" s="3"/>
      <c r="O3046" s="3"/>
    </row>
    <row r="3047" spans="1:15">
      <c r="A3047" s="3">
        <v>39571</v>
      </c>
      <c r="B3047" s="3">
        <v>39571</v>
      </c>
      <c r="C3047">
        <v>120.42</v>
      </c>
      <c r="D3047">
        <v>1.5424</v>
      </c>
      <c r="E3047">
        <v>114.56</v>
      </c>
      <c r="F3047">
        <v>385.8</v>
      </c>
      <c r="K3047" s="3"/>
      <c r="O3047" s="3"/>
    </row>
    <row r="3048" spans="1:15">
      <c r="A3048" s="3">
        <v>39572</v>
      </c>
      <c r="B3048" s="3">
        <v>39572</v>
      </c>
      <c r="C3048">
        <v>120.42</v>
      </c>
      <c r="D3048">
        <v>1.5424</v>
      </c>
      <c r="E3048">
        <v>114.56</v>
      </c>
      <c r="F3048">
        <v>385.8</v>
      </c>
      <c r="K3048" s="3"/>
      <c r="O3048" s="3"/>
    </row>
    <row r="3049" spans="1:15">
      <c r="A3049" s="3">
        <v>39573</v>
      </c>
      <c r="B3049" s="3">
        <v>39573</v>
      </c>
      <c r="C3049">
        <v>120.41</v>
      </c>
      <c r="D3049">
        <v>1.5496000000000001</v>
      </c>
      <c r="E3049">
        <v>117.99</v>
      </c>
      <c r="F3049">
        <v>397.85</v>
      </c>
      <c r="K3049" s="3"/>
      <c r="O3049" s="3"/>
    </row>
    <row r="3050" spans="1:15">
      <c r="A3050" s="3">
        <v>39574</v>
      </c>
      <c r="B3050" s="3">
        <v>39574</v>
      </c>
      <c r="C3050">
        <v>120.5</v>
      </c>
      <c r="D3050">
        <v>1.5532999999999999</v>
      </c>
      <c r="E3050">
        <v>120.31</v>
      </c>
      <c r="F3050">
        <v>391.25</v>
      </c>
      <c r="K3050" s="3"/>
      <c r="O3050" s="3"/>
    </row>
    <row r="3051" spans="1:15">
      <c r="A3051" s="3">
        <v>39575</v>
      </c>
      <c r="B3051" s="3">
        <v>39575</v>
      </c>
      <c r="C3051">
        <v>120.53</v>
      </c>
      <c r="D3051">
        <v>1.5391999999999999</v>
      </c>
      <c r="E3051">
        <v>122.32</v>
      </c>
      <c r="F3051">
        <v>386.3</v>
      </c>
      <c r="K3051" s="3"/>
      <c r="O3051" s="3"/>
    </row>
    <row r="3052" spans="1:15">
      <c r="A3052" s="3">
        <v>39576</v>
      </c>
      <c r="B3052" s="3">
        <v>39576</v>
      </c>
      <c r="C3052">
        <v>120.59</v>
      </c>
      <c r="D3052">
        <v>1.5392999999999999</v>
      </c>
      <c r="E3052">
        <v>122.84</v>
      </c>
      <c r="F3052">
        <v>382.05</v>
      </c>
      <c r="K3052" s="3"/>
      <c r="O3052" s="3"/>
    </row>
    <row r="3053" spans="1:15">
      <c r="A3053" s="3">
        <v>39577</v>
      </c>
      <c r="B3053" s="3">
        <v>39577</v>
      </c>
      <c r="C3053">
        <v>120.59</v>
      </c>
      <c r="D3053">
        <v>1.5482</v>
      </c>
      <c r="E3053">
        <v>125.4</v>
      </c>
      <c r="F3053">
        <v>375.35</v>
      </c>
      <c r="K3053" s="3"/>
      <c r="O3053" s="3"/>
    </row>
    <row r="3054" spans="1:15">
      <c r="A3054" s="3">
        <v>39578</v>
      </c>
      <c r="B3054" s="3">
        <v>39578</v>
      </c>
      <c r="C3054">
        <v>120.59</v>
      </c>
      <c r="D3054">
        <v>1.5482</v>
      </c>
      <c r="E3054">
        <v>125.4</v>
      </c>
      <c r="F3054">
        <v>375.35</v>
      </c>
      <c r="K3054" s="3"/>
      <c r="O3054" s="3"/>
    </row>
    <row r="3055" spans="1:15">
      <c r="A3055" s="3">
        <v>39579</v>
      </c>
      <c r="B3055" s="3">
        <v>39579</v>
      </c>
      <c r="C3055">
        <v>120.59</v>
      </c>
      <c r="D3055">
        <v>1.5482</v>
      </c>
      <c r="E3055">
        <v>125.4</v>
      </c>
      <c r="F3055">
        <v>375.35</v>
      </c>
      <c r="K3055" s="3"/>
      <c r="O3055" s="3"/>
    </row>
    <row r="3056" spans="1:15">
      <c r="A3056" s="3">
        <v>39580</v>
      </c>
      <c r="B3056" s="3">
        <v>39580</v>
      </c>
      <c r="C3056">
        <v>120.58</v>
      </c>
      <c r="D3056">
        <v>1.5552999999999999</v>
      </c>
      <c r="E3056">
        <v>122.91</v>
      </c>
      <c r="F3056">
        <v>378.4</v>
      </c>
      <c r="K3056" s="3"/>
      <c r="O3056" s="3"/>
    </row>
    <row r="3057" spans="1:15">
      <c r="A3057" s="3">
        <v>39581</v>
      </c>
      <c r="B3057" s="3">
        <v>39581</v>
      </c>
      <c r="C3057">
        <v>120.57</v>
      </c>
      <c r="D3057">
        <v>1.5474000000000001</v>
      </c>
      <c r="E3057">
        <v>124.1</v>
      </c>
      <c r="F3057">
        <v>376.5</v>
      </c>
      <c r="K3057" s="3"/>
      <c r="O3057" s="3"/>
    </row>
    <row r="3058" spans="1:15">
      <c r="A3058" s="3">
        <v>39582</v>
      </c>
      <c r="B3058" s="3">
        <v>39582</v>
      </c>
      <c r="C3058">
        <v>120.59</v>
      </c>
      <c r="D3058">
        <v>1.5474000000000001</v>
      </c>
      <c r="E3058">
        <v>121.86</v>
      </c>
      <c r="F3058">
        <v>370.7</v>
      </c>
      <c r="K3058" s="3"/>
      <c r="O3058" s="3"/>
    </row>
    <row r="3059" spans="1:15">
      <c r="A3059" s="3">
        <v>39583</v>
      </c>
      <c r="B3059" s="3">
        <v>39583</v>
      </c>
      <c r="C3059">
        <v>120.71</v>
      </c>
      <c r="D3059">
        <v>1.5448</v>
      </c>
      <c r="E3059">
        <v>121.25</v>
      </c>
      <c r="F3059">
        <v>376.1</v>
      </c>
      <c r="K3059" s="3"/>
      <c r="O3059" s="3"/>
    </row>
    <row r="3060" spans="1:15">
      <c r="A3060" s="3">
        <v>39584</v>
      </c>
      <c r="B3060" s="3">
        <v>39584</v>
      </c>
      <c r="C3060">
        <v>120.7</v>
      </c>
      <c r="D3060">
        <v>1.5577000000000001</v>
      </c>
      <c r="E3060">
        <v>124.99</v>
      </c>
      <c r="F3060">
        <v>384.65</v>
      </c>
      <c r="K3060" s="3"/>
      <c r="O3060" s="3"/>
    </row>
    <row r="3061" spans="1:15">
      <c r="A3061" s="3">
        <v>39585</v>
      </c>
      <c r="B3061" s="3">
        <v>39585</v>
      </c>
      <c r="C3061">
        <v>120.7</v>
      </c>
      <c r="D3061">
        <v>1.5577000000000001</v>
      </c>
      <c r="E3061">
        <v>124.99</v>
      </c>
      <c r="F3061">
        <v>384.65</v>
      </c>
      <c r="K3061" s="3"/>
      <c r="O3061" s="3"/>
    </row>
    <row r="3062" spans="1:15">
      <c r="A3062" s="3">
        <v>39586</v>
      </c>
      <c r="B3062" s="3">
        <v>39586</v>
      </c>
      <c r="C3062">
        <v>120.7</v>
      </c>
      <c r="D3062">
        <v>1.5577000000000001</v>
      </c>
      <c r="E3062">
        <v>124.99</v>
      </c>
      <c r="F3062">
        <v>384.65</v>
      </c>
      <c r="K3062" s="3"/>
      <c r="O3062" s="3"/>
    </row>
    <row r="3063" spans="1:15">
      <c r="A3063" s="3">
        <v>39587</v>
      </c>
      <c r="B3063" s="3">
        <v>39587</v>
      </c>
      <c r="C3063">
        <v>120.65</v>
      </c>
      <c r="D3063">
        <v>1.5509999999999999</v>
      </c>
      <c r="E3063">
        <v>125.06</v>
      </c>
      <c r="F3063">
        <v>379.55</v>
      </c>
      <c r="K3063" s="3"/>
      <c r="O3063" s="3"/>
    </row>
    <row r="3064" spans="1:15">
      <c r="A3064" s="3">
        <v>39588</v>
      </c>
      <c r="B3064" s="3">
        <v>39588</v>
      </c>
      <c r="C3064">
        <v>120.61</v>
      </c>
      <c r="D3064">
        <v>1.5646</v>
      </c>
      <c r="E3064">
        <v>127.84</v>
      </c>
      <c r="F3064">
        <v>379.05</v>
      </c>
      <c r="K3064" s="3"/>
      <c r="O3064" s="3"/>
    </row>
    <row r="3065" spans="1:15">
      <c r="A3065" s="3">
        <v>39589</v>
      </c>
      <c r="B3065" s="3">
        <v>39589</v>
      </c>
      <c r="C3065">
        <v>120.55</v>
      </c>
      <c r="D3065">
        <v>1.5794999999999999</v>
      </c>
      <c r="E3065">
        <v>132.69999999999999</v>
      </c>
      <c r="F3065">
        <v>375.35</v>
      </c>
      <c r="K3065" s="3"/>
      <c r="O3065" s="3"/>
    </row>
    <row r="3066" spans="1:15">
      <c r="A3066" s="3">
        <v>39590</v>
      </c>
      <c r="B3066" s="3">
        <v>39590</v>
      </c>
      <c r="C3066">
        <v>120.58</v>
      </c>
      <c r="D3066">
        <v>1.5732999999999999</v>
      </c>
      <c r="E3066">
        <v>130.51</v>
      </c>
      <c r="F3066">
        <v>372.25</v>
      </c>
      <c r="K3066" s="3"/>
      <c r="O3066" s="3"/>
    </row>
    <row r="3067" spans="1:15">
      <c r="A3067" s="3">
        <v>39591</v>
      </c>
      <c r="B3067" s="3">
        <v>39591</v>
      </c>
      <c r="C3067">
        <v>120.58</v>
      </c>
      <c r="D3067">
        <v>1.5762</v>
      </c>
      <c r="E3067">
        <v>131.57</v>
      </c>
      <c r="F3067">
        <v>375.5</v>
      </c>
      <c r="K3067" s="3"/>
      <c r="O3067" s="3"/>
    </row>
    <row r="3068" spans="1:15">
      <c r="A3068" s="3">
        <v>39592</v>
      </c>
      <c r="B3068" s="3">
        <v>39592</v>
      </c>
      <c r="C3068">
        <v>120.58</v>
      </c>
      <c r="D3068">
        <v>1.5762</v>
      </c>
      <c r="E3068">
        <v>131.57</v>
      </c>
      <c r="F3068">
        <v>375.5</v>
      </c>
      <c r="K3068" s="3"/>
      <c r="O3068" s="3"/>
    </row>
    <row r="3069" spans="1:15">
      <c r="A3069" s="3">
        <v>39593</v>
      </c>
      <c r="B3069" s="3">
        <v>39593</v>
      </c>
      <c r="C3069">
        <v>120.58</v>
      </c>
      <c r="D3069">
        <v>1.5762</v>
      </c>
      <c r="E3069">
        <v>131.57</v>
      </c>
      <c r="F3069">
        <v>375.5</v>
      </c>
      <c r="K3069" s="3"/>
      <c r="O3069" s="3"/>
    </row>
    <row r="3070" spans="1:15">
      <c r="A3070" s="3">
        <v>39594</v>
      </c>
      <c r="B3070" s="3">
        <v>39594</v>
      </c>
      <c r="C3070">
        <v>120.55</v>
      </c>
      <c r="D3070">
        <v>1.577</v>
      </c>
      <c r="E3070">
        <v>132.37</v>
      </c>
      <c r="F3070">
        <v>375.5</v>
      </c>
      <c r="K3070" s="3"/>
      <c r="O3070" s="3"/>
    </row>
    <row r="3071" spans="1:15">
      <c r="A3071" s="3">
        <v>39595</v>
      </c>
      <c r="B3071" s="3">
        <v>39595</v>
      </c>
      <c r="C3071">
        <v>120.58</v>
      </c>
      <c r="D3071">
        <v>1.5690999999999999</v>
      </c>
      <c r="E3071">
        <v>128.31</v>
      </c>
      <c r="F3071">
        <v>374.1</v>
      </c>
      <c r="K3071" s="3"/>
      <c r="O3071" s="3"/>
    </row>
    <row r="3072" spans="1:15">
      <c r="A3072" s="3">
        <v>39596</v>
      </c>
      <c r="B3072" s="3">
        <v>39596</v>
      </c>
      <c r="C3072">
        <v>120.54</v>
      </c>
      <c r="D3072">
        <v>1.5638000000000001</v>
      </c>
      <c r="E3072">
        <v>130.93</v>
      </c>
      <c r="F3072">
        <v>372.85</v>
      </c>
      <c r="K3072" s="3"/>
      <c r="O3072" s="3"/>
    </row>
    <row r="3073" spans="1:15">
      <c r="A3073" s="3">
        <v>39597</v>
      </c>
      <c r="B3073" s="3">
        <v>39597</v>
      </c>
      <c r="C3073">
        <v>120.53</v>
      </c>
      <c r="D3073">
        <v>1.5519000000000001</v>
      </c>
      <c r="E3073">
        <v>126.89</v>
      </c>
      <c r="F3073">
        <v>355.85</v>
      </c>
      <c r="K3073" s="3"/>
      <c r="O3073" s="3"/>
    </row>
    <row r="3074" spans="1:15">
      <c r="A3074" s="3">
        <v>39598</v>
      </c>
      <c r="B3074" s="3">
        <v>39598</v>
      </c>
      <c r="C3074">
        <v>120.59</v>
      </c>
      <c r="D3074">
        <v>1.5553999999999999</v>
      </c>
      <c r="E3074">
        <v>127.78</v>
      </c>
      <c r="F3074">
        <v>360.6</v>
      </c>
      <c r="K3074" s="3"/>
      <c r="O3074" s="3"/>
    </row>
    <row r="3075" spans="1:15">
      <c r="A3075" s="3">
        <v>39599</v>
      </c>
      <c r="B3075" s="3">
        <v>39599</v>
      </c>
      <c r="C3075">
        <v>120.59</v>
      </c>
      <c r="D3075">
        <v>1.5553999999999999</v>
      </c>
      <c r="E3075">
        <v>127.78</v>
      </c>
      <c r="F3075">
        <v>360.6</v>
      </c>
      <c r="K3075" s="3"/>
      <c r="O3075" s="3"/>
    </row>
    <row r="3076" spans="1:15">
      <c r="A3076" s="3">
        <v>39600</v>
      </c>
      <c r="B3076" s="3">
        <v>39600</v>
      </c>
      <c r="C3076">
        <v>120.59</v>
      </c>
      <c r="D3076">
        <v>1.5553999999999999</v>
      </c>
      <c r="E3076">
        <v>127.78</v>
      </c>
      <c r="F3076">
        <v>360.6</v>
      </c>
      <c r="K3076" s="3"/>
      <c r="O3076" s="3"/>
    </row>
    <row r="3077" spans="1:15">
      <c r="A3077" s="3">
        <v>39601</v>
      </c>
      <c r="B3077" s="3">
        <v>39601</v>
      </c>
      <c r="C3077">
        <v>120.67</v>
      </c>
      <c r="D3077">
        <v>1.5537000000000001</v>
      </c>
      <c r="E3077">
        <v>128.02000000000001</v>
      </c>
      <c r="F3077">
        <v>359.65</v>
      </c>
      <c r="K3077" s="3"/>
      <c r="O3077" s="3"/>
    </row>
    <row r="3078" spans="1:15">
      <c r="A3078" s="3">
        <v>39602</v>
      </c>
      <c r="B3078" s="3">
        <v>39602</v>
      </c>
      <c r="C3078">
        <v>120.76</v>
      </c>
      <c r="D3078">
        <v>1.5445</v>
      </c>
      <c r="E3078">
        <v>124.58</v>
      </c>
      <c r="F3078">
        <v>357.8</v>
      </c>
      <c r="K3078" s="3"/>
      <c r="O3078" s="3"/>
    </row>
    <row r="3079" spans="1:15">
      <c r="A3079" s="3">
        <v>39603</v>
      </c>
      <c r="B3079" s="3">
        <v>39603</v>
      </c>
      <c r="C3079">
        <v>120.68</v>
      </c>
      <c r="D3079">
        <v>1.544</v>
      </c>
      <c r="E3079">
        <v>122.1</v>
      </c>
      <c r="F3079">
        <v>354.5</v>
      </c>
      <c r="K3079" s="3"/>
      <c r="O3079" s="3"/>
    </row>
    <row r="3080" spans="1:15">
      <c r="A3080" s="3">
        <v>39604</v>
      </c>
      <c r="B3080" s="3">
        <v>39604</v>
      </c>
      <c r="C3080">
        <v>120.66</v>
      </c>
      <c r="D3080">
        <v>1.5592999999999999</v>
      </c>
      <c r="E3080">
        <v>127.54</v>
      </c>
      <c r="F3080">
        <v>354.3</v>
      </c>
      <c r="K3080" s="3"/>
      <c r="O3080" s="3"/>
    </row>
    <row r="3081" spans="1:15">
      <c r="A3081" s="3">
        <v>39605</v>
      </c>
      <c r="B3081" s="3">
        <v>39605</v>
      </c>
      <c r="C3081">
        <v>120.62</v>
      </c>
      <c r="D3081">
        <v>1.5778000000000001</v>
      </c>
      <c r="E3081">
        <v>137.69</v>
      </c>
      <c r="F3081">
        <v>362.3</v>
      </c>
      <c r="K3081" s="3"/>
      <c r="O3081" s="3"/>
    </row>
    <row r="3082" spans="1:15">
      <c r="A3082" s="3">
        <v>39606</v>
      </c>
      <c r="B3082" s="3">
        <v>39606</v>
      </c>
      <c r="C3082">
        <v>120.62</v>
      </c>
      <c r="D3082">
        <v>1.5778000000000001</v>
      </c>
      <c r="E3082">
        <v>137.69</v>
      </c>
      <c r="F3082">
        <v>362.3</v>
      </c>
      <c r="K3082" s="3"/>
      <c r="O3082" s="3"/>
    </row>
    <row r="3083" spans="1:15">
      <c r="A3083" s="3">
        <v>39607</v>
      </c>
      <c r="B3083" s="3">
        <v>39607</v>
      </c>
      <c r="C3083">
        <v>120.62</v>
      </c>
      <c r="D3083">
        <v>1.5778000000000001</v>
      </c>
      <c r="E3083">
        <v>137.69</v>
      </c>
      <c r="F3083">
        <v>362.3</v>
      </c>
      <c r="K3083" s="3"/>
      <c r="O3083" s="3"/>
    </row>
    <row r="3084" spans="1:15">
      <c r="A3084" s="3">
        <v>39608</v>
      </c>
      <c r="B3084" s="3">
        <v>39608</v>
      </c>
      <c r="C3084">
        <v>120.7</v>
      </c>
      <c r="D3084">
        <v>1.5646</v>
      </c>
      <c r="E3084">
        <v>133.91</v>
      </c>
      <c r="F3084">
        <v>361.3</v>
      </c>
      <c r="K3084" s="3"/>
      <c r="O3084" s="3"/>
    </row>
    <row r="3085" spans="1:15">
      <c r="A3085" s="3">
        <v>39609</v>
      </c>
      <c r="B3085" s="3">
        <v>39609</v>
      </c>
      <c r="C3085">
        <v>120.7</v>
      </c>
      <c r="D3085">
        <v>1.5467</v>
      </c>
      <c r="E3085">
        <v>131.02000000000001</v>
      </c>
      <c r="F3085">
        <v>356</v>
      </c>
      <c r="K3085" s="3"/>
      <c r="O3085" s="3"/>
    </row>
    <row r="3086" spans="1:15">
      <c r="A3086" s="3">
        <v>39610</v>
      </c>
      <c r="B3086" s="3">
        <v>39610</v>
      </c>
      <c r="C3086">
        <v>120.76</v>
      </c>
      <c r="D3086">
        <v>1.5551999999999999</v>
      </c>
      <c r="E3086">
        <v>135.02000000000001</v>
      </c>
      <c r="F3086">
        <v>357.95</v>
      </c>
      <c r="K3086" s="3"/>
      <c r="O3086" s="3"/>
    </row>
    <row r="3087" spans="1:15">
      <c r="A3087" s="3">
        <v>39611</v>
      </c>
      <c r="B3087" s="3">
        <v>39611</v>
      </c>
      <c r="C3087">
        <v>120.76</v>
      </c>
      <c r="D3087">
        <v>1.5439000000000001</v>
      </c>
      <c r="E3087">
        <v>136.09</v>
      </c>
      <c r="F3087">
        <v>353.8</v>
      </c>
      <c r="K3087" s="3"/>
      <c r="O3087" s="3"/>
    </row>
    <row r="3088" spans="1:15">
      <c r="A3088" s="3">
        <v>39612</v>
      </c>
      <c r="B3088" s="3">
        <v>39612</v>
      </c>
      <c r="C3088">
        <v>120.68</v>
      </c>
      <c r="D3088">
        <v>1.538</v>
      </c>
      <c r="E3088">
        <v>134.25</v>
      </c>
      <c r="F3088">
        <v>358.9</v>
      </c>
      <c r="K3088" s="3"/>
      <c r="O3088" s="3"/>
    </row>
    <row r="3089" spans="1:15">
      <c r="A3089" s="3">
        <v>39613</v>
      </c>
      <c r="B3089" s="3">
        <v>39613</v>
      </c>
      <c r="C3089">
        <v>120.68</v>
      </c>
      <c r="D3089">
        <v>1.538</v>
      </c>
      <c r="E3089">
        <v>134.25</v>
      </c>
      <c r="F3089">
        <v>358.9</v>
      </c>
      <c r="K3089" s="3"/>
      <c r="O3089" s="3"/>
    </row>
    <row r="3090" spans="1:15">
      <c r="A3090" s="3">
        <v>39614</v>
      </c>
      <c r="B3090" s="3">
        <v>39614</v>
      </c>
      <c r="C3090">
        <v>120.68</v>
      </c>
      <c r="D3090">
        <v>1.538</v>
      </c>
      <c r="E3090">
        <v>134.25</v>
      </c>
      <c r="F3090">
        <v>358.9</v>
      </c>
      <c r="K3090" s="3"/>
      <c r="O3090" s="3"/>
    </row>
    <row r="3091" spans="1:15">
      <c r="A3091" s="3">
        <v>39615</v>
      </c>
      <c r="B3091" s="3">
        <v>39615</v>
      </c>
      <c r="C3091">
        <v>120.72</v>
      </c>
      <c r="D3091">
        <v>1.5477000000000001</v>
      </c>
      <c r="E3091">
        <v>134.71</v>
      </c>
      <c r="F3091">
        <v>366.55</v>
      </c>
      <c r="K3091" s="3"/>
      <c r="O3091" s="3"/>
    </row>
    <row r="3092" spans="1:15">
      <c r="A3092" s="3">
        <v>39616</v>
      </c>
      <c r="B3092" s="3">
        <v>39616</v>
      </c>
      <c r="C3092">
        <v>120.68</v>
      </c>
      <c r="D3092">
        <v>1.5510999999999999</v>
      </c>
      <c r="E3092">
        <v>133.72</v>
      </c>
      <c r="F3092">
        <v>364.95</v>
      </c>
      <c r="K3092" s="3"/>
      <c r="O3092" s="3"/>
    </row>
    <row r="3093" spans="1:15">
      <c r="A3093" s="3">
        <v>39617</v>
      </c>
      <c r="B3093" s="3">
        <v>39617</v>
      </c>
      <c r="C3093">
        <v>120.71</v>
      </c>
      <c r="D3093">
        <v>1.5535000000000001</v>
      </c>
      <c r="E3093">
        <v>136.44</v>
      </c>
      <c r="F3093">
        <v>374.75</v>
      </c>
      <c r="K3093" s="3"/>
      <c r="O3093" s="3"/>
    </row>
    <row r="3094" spans="1:15">
      <c r="A3094" s="3">
        <v>39618</v>
      </c>
      <c r="B3094" s="3">
        <v>39618</v>
      </c>
      <c r="C3094">
        <v>120.73</v>
      </c>
      <c r="D3094">
        <v>1.5505</v>
      </c>
      <c r="E3094">
        <v>132</v>
      </c>
      <c r="F3094">
        <v>377.95</v>
      </c>
      <c r="K3094" s="3"/>
      <c r="O3094" s="3"/>
    </row>
    <row r="3095" spans="1:15">
      <c r="A3095" s="3">
        <v>39619</v>
      </c>
      <c r="B3095" s="3">
        <v>39619</v>
      </c>
      <c r="C3095">
        <v>120.75</v>
      </c>
      <c r="D3095">
        <v>1.5607</v>
      </c>
      <c r="E3095">
        <v>134.86000000000001</v>
      </c>
      <c r="F3095">
        <v>383.2</v>
      </c>
      <c r="K3095" s="3"/>
      <c r="O3095" s="3"/>
    </row>
    <row r="3096" spans="1:15">
      <c r="A3096" s="3">
        <v>39620</v>
      </c>
      <c r="B3096" s="3">
        <v>39620</v>
      </c>
      <c r="C3096">
        <v>120.75</v>
      </c>
      <c r="D3096">
        <v>1.5607</v>
      </c>
      <c r="E3096">
        <v>134.86000000000001</v>
      </c>
      <c r="F3096">
        <v>383.2</v>
      </c>
      <c r="K3096" s="3"/>
      <c r="O3096" s="3"/>
    </row>
    <row r="3097" spans="1:15">
      <c r="A3097" s="3">
        <v>39621</v>
      </c>
      <c r="B3097" s="3">
        <v>39621</v>
      </c>
      <c r="C3097">
        <v>120.75</v>
      </c>
      <c r="D3097">
        <v>1.5607</v>
      </c>
      <c r="E3097">
        <v>134.86000000000001</v>
      </c>
      <c r="F3097">
        <v>383.2</v>
      </c>
      <c r="K3097" s="3"/>
      <c r="O3097" s="3"/>
    </row>
    <row r="3098" spans="1:15">
      <c r="A3098" s="3">
        <v>39622</v>
      </c>
      <c r="B3098" s="3">
        <v>39622</v>
      </c>
      <c r="C3098">
        <v>120.71</v>
      </c>
      <c r="D3098">
        <v>1.5518000000000001</v>
      </c>
      <c r="E3098">
        <v>135.91</v>
      </c>
      <c r="F3098">
        <v>380.95</v>
      </c>
      <c r="K3098" s="3"/>
      <c r="O3098" s="3"/>
    </row>
    <row r="3099" spans="1:15">
      <c r="A3099" s="3">
        <v>39623</v>
      </c>
      <c r="B3099" s="3">
        <v>39623</v>
      </c>
      <c r="C3099">
        <v>120.78</v>
      </c>
      <c r="D3099">
        <v>1.5568</v>
      </c>
      <c r="E3099">
        <v>136.46</v>
      </c>
      <c r="F3099">
        <v>378.8</v>
      </c>
      <c r="K3099" s="3"/>
      <c r="O3099" s="3"/>
    </row>
    <row r="3100" spans="1:15">
      <c r="A3100" s="3">
        <v>39624</v>
      </c>
      <c r="B3100" s="3">
        <v>39624</v>
      </c>
      <c r="C3100">
        <v>120.82</v>
      </c>
      <c r="D3100">
        <v>1.5667</v>
      </c>
      <c r="E3100">
        <v>134.33000000000001</v>
      </c>
      <c r="F3100">
        <v>377.7</v>
      </c>
      <c r="K3100" s="3"/>
      <c r="O3100" s="3"/>
    </row>
    <row r="3101" spans="1:15">
      <c r="A3101" s="3">
        <v>39625</v>
      </c>
      <c r="B3101" s="3">
        <v>39625</v>
      </c>
      <c r="C3101">
        <v>120.72</v>
      </c>
      <c r="D3101">
        <v>1.5757000000000001</v>
      </c>
      <c r="E3101">
        <v>139.83000000000001</v>
      </c>
      <c r="F3101">
        <v>383</v>
      </c>
      <c r="K3101" s="3"/>
      <c r="O3101" s="3"/>
    </row>
    <row r="3102" spans="1:15">
      <c r="A3102" s="3">
        <v>39626</v>
      </c>
      <c r="B3102" s="3">
        <v>39626</v>
      </c>
      <c r="C3102">
        <v>120.74</v>
      </c>
      <c r="D3102">
        <v>1.5793999999999999</v>
      </c>
      <c r="E3102">
        <v>140.31</v>
      </c>
      <c r="F3102">
        <v>388.4</v>
      </c>
      <c r="K3102" s="3"/>
      <c r="O3102" s="3"/>
    </row>
    <row r="3103" spans="1:15">
      <c r="A3103" s="3">
        <v>39627</v>
      </c>
      <c r="B3103" s="3">
        <v>39627</v>
      </c>
      <c r="C3103">
        <v>120.74</v>
      </c>
      <c r="D3103">
        <v>1.5793999999999999</v>
      </c>
      <c r="E3103">
        <v>140.31</v>
      </c>
      <c r="F3103">
        <v>388.4</v>
      </c>
      <c r="K3103" s="3"/>
      <c r="O3103" s="3"/>
    </row>
    <row r="3104" spans="1:15">
      <c r="A3104" s="3">
        <v>39628</v>
      </c>
      <c r="B3104" s="3">
        <v>39628</v>
      </c>
      <c r="C3104">
        <v>120.74</v>
      </c>
      <c r="D3104">
        <v>1.5793999999999999</v>
      </c>
      <c r="E3104">
        <v>140.31</v>
      </c>
      <c r="F3104">
        <v>388.4</v>
      </c>
      <c r="K3104" s="3"/>
      <c r="O3104" s="3"/>
    </row>
    <row r="3105" spans="1:15">
      <c r="A3105" s="3">
        <v>39629</v>
      </c>
      <c r="B3105" s="3">
        <v>39629</v>
      </c>
      <c r="C3105">
        <v>120.77</v>
      </c>
      <c r="D3105">
        <v>1.5754999999999999</v>
      </c>
      <c r="E3105">
        <v>139.83000000000001</v>
      </c>
      <c r="F3105">
        <v>389.55</v>
      </c>
      <c r="K3105" s="3"/>
      <c r="O3105" s="3"/>
    </row>
    <row r="3106" spans="1:15">
      <c r="A3106" s="3">
        <v>39630</v>
      </c>
      <c r="B3106" s="3">
        <v>39630</v>
      </c>
      <c r="C3106">
        <v>120.62</v>
      </c>
      <c r="D3106">
        <v>1.5792999999999999</v>
      </c>
      <c r="E3106">
        <v>140.66999999999999</v>
      </c>
      <c r="F3106">
        <v>392.25</v>
      </c>
      <c r="K3106" s="3"/>
      <c r="O3106" s="3"/>
    </row>
    <row r="3107" spans="1:15">
      <c r="A3107" s="3">
        <v>39631</v>
      </c>
      <c r="B3107" s="3">
        <v>39631</v>
      </c>
      <c r="C3107">
        <v>120.59</v>
      </c>
      <c r="D3107">
        <v>1.5882000000000001</v>
      </c>
      <c r="E3107">
        <v>144.26</v>
      </c>
      <c r="F3107">
        <v>407.75</v>
      </c>
      <c r="K3107" s="3"/>
      <c r="O3107" s="3"/>
    </row>
    <row r="3108" spans="1:15">
      <c r="A3108" s="3">
        <v>39632</v>
      </c>
      <c r="B3108" s="3">
        <v>39632</v>
      </c>
      <c r="C3108">
        <v>120.57</v>
      </c>
      <c r="D3108">
        <v>1.5703</v>
      </c>
      <c r="E3108">
        <v>146.08000000000001</v>
      </c>
      <c r="F3108">
        <v>396.3</v>
      </c>
      <c r="K3108" s="3"/>
      <c r="O3108" s="3"/>
    </row>
    <row r="3109" spans="1:15">
      <c r="A3109" s="3">
        <v>39633</v>
      </c>
      <c r="B3109" s="3">
        <v>39633</v>
      </c>
      <c r="C3109">
        <v>120.55</v>
      </c>
      <c r="D3109">
        <v>1.5706</v>
      </c>
      <c r="E3109">
        <v>144.41999999999999</v>
      </c>
      <c r="F3109">
        <v>396.3</v>
      </c>
      <c r="K3109" s="3"/>
      <c r="O3109" s="3"/>
    </row>
    <row r="3110" spans="1:15">
      <c r="A3110" s="3">
        <v>39634</v>
      </c>
      <c r="B3110" s="3">
        <v>39634</v>
      </c>
      <c r="C3110">
        <v>120.55</v>
      </c>
      <c r="D3110">
        <v>1.5706</v>
      </c>
      <c r="E3110">
        <v>144.41999999999999</v>
      </c>
      <c r="F3110">
        <v>396.3</v>
      </c>
      <c r="K3110" s="3"/>
      <c r="O3110" s="3"/>
    </row>
    <row r="3111" spans="1:15">
      <c r="A3111" s="3">
        <v>39635</v>
      </c>
      <c r="B3111" s="3">
        <v>39635</v>
      </c>
      <c r="C3111">
        <v>120.55</v>
      </c>
      <c r="D3111">
        <v>1.5706</v>
      </c>
      <c r="E3111">
        <v>144.41999999999999</v>
      </c>
      <c r="F3111">
        <v>396.3</v>
      </c>
      <c r="K3111" s="3"/>
      <c r="O3111" s="3"/>
    </row>
    <row r="3112" spans="1:15">
      <c r="A3112" s="3">
        <v>39636</v>
      </c>
      <c r="B3112" s="3">
        <v>39636</v>
      </c>
      <c r="C3112">
        <v>120.55</v>
      </c>
      <c r="D3112">
        <v>1.5726</v>
      </c>
      <c r="E3112">
        <v>141.87</v>
      </c>
      <c r="F3112">
        <v>386.5</v>
      </c>
      <c r="K3112" s="3"/>
      <c r="O3112" s="3"/>
    </row>
    <row r="3113" spans="1:15">
      <c r="A3113" s="3">
        <v>39637</v>
      </c>
      <c r="B3113" s="3">
        <v>39637</v>
      </c>
      <c r="C3113">
        <v>120.52</v>
      </c>
      <c r="D3113">
        <v>1.5669999999999999</v>
      </c>
      <c r="E3113">
        <v>136.43</v>
      </c>
      <c r="F3113">
        <v>371.25</v>
      </c>
      <c r="K3113" s="3"/>
      <c r="O3113" s="3"/>
    </row>
    <row r="3114" spans="1:15">
      <c r="A3114" s="3">
        <v>39638</v>
      </c>
      <c r="B3114" s="3">
        <v>39638</v>
      </c>
      <c r="C3114">
        <v>120.4</v>
      </c>
      <c r="D3114">
        <v>1.5743</v>
      </c>
      <c r="E3114">
        <v>136.58000000000001</v>
      </c>
      <c r="F3114">
        <v>375.5</v>
      </c>
      <c r="K3114" s="3"/>
      <c r="O3114" s="3"/>
    </row>
    <row r="3115" spans="1:15">
      <c r="A3115" s="3">
        <v>39639</v>
      </c>
      <c r="B3115" s="3">
        <v>39639</v>
      </c>
      <c r="C3115">
        <v>120.21</v>
      </c>
      <c r="D3115">
        <v>1.5788</v>
      </c>
      <c r="E3115">
        <v>142.03</v>
      </c>
      <c r="F3115">
        <v>373.35</v>
      </c>
      <c r="K3115" s="3"/>
      <c r="O3115" s="3"/>
    </row>
    <row r="3116" spans="1:15">
      <c r="A3116" s="3">
        <v>39640</v>
      </c>
      <c r="B3116" s="3">
        <v>39640</v>
      </c>
      <c r="C3116">
        <v>120.24</v>
      </c>
      <c r="D3116">
        <v>1.5938000000000001</v>
      </c>
      <c r="E3116">
        <v>144.49</v>
      </c>
      <c r="F3116">
        <v>375.55</v>
      </c>
      <c r="K3116" s="3"/>
      <c r="O3116" s="3"/>
    </row>
    <row r="3117" spans="1:15">
      <c r="A3117" s="3">
        <v>39641</v>
      </c>
      <c r="B3117" s="3">
        <v>39641</v>
      </c>
      <c r="C3117">
        <v>120.24</v>
      </c>
      <c r="D3117">
        <v>1.5938000000000001</v>
      </c>
      <c r="E3117">
        <v>144.49</v>
      </c>
      <c r="F3117">
        <v>375.55</v>
      </c>
      <c r="K3117" s="3"/>
      <c r="O3117" s="3"/>
    </row>
    <row r="3118" spans="1:15">
      <c r="A3118" s="3">
        <v>39642</v>
      </c>
      <c r="B3118" s="3">
        <v>39642</v>
      </c>
      <c r="C3118">
        <v>120.24</v>
      </c>
      <c r="D3118">
        <v>1.5938000000000001</v>
      </c>
      <c r="E3118">
        <v>144.49</v>
      </c>
      <c r="F3118">
        <v>375.55</v>
      </c>
      <c r="K3118" s="3"/>
      <c r="O3118" s="3"/>
    </row>
    <row r="3119" spans="1:15">
      <c r="A3119" s="3">
        <v>39643</v>
      </c>
      <c r="B3119" s="3">
        <v>39643</v>
      </c>
      <c r="C3119">
        <v>120.22</v>
      </c>
      <c r="D3119">
        <v>1.5908</v>
      </c>
      <c r="E3119">
        <v>143.91999999999999</v>
      </c>
      <c r="F3119">
        <v>376.95</v>
      </c>
      <c r="K3119" s="3"/>
      <c r="O3119" s="3"/>
    </row>
    <row r="3120" spans="1:15">
      <c r="A3120" s="3">
        <v>39644</v>
      </c>
      <c r="B3120" s="3">
        <v>39644</v>
      </c>
      <c r="C3120">
        <v>120.11</v>
      </c>
      <c r="D3120">
        <v>1.5911</v>
      </c>
      <c r="E3120">
        <v>138.75</v>
      </c>
      <c r="F3120">
        <v>372.2</v>
      </c>
      <c r="K3120" s="3"/>
      <c r="O3120" s="3"/>
    </row>
    <row r="3121" spans="1:15">
      <c r="A3121" s="3">
        <v>39645</v>
      </c>
      <c r="B3121" s="3">
        <v>39645</v>
      </c>
      <c r="C3121">
        <v>120.06</v>
      </c>
      <c r="D3121">
        <v>1.5827</v>
      </c>
      <c r="E3121">
        <v>136.19</v>
      </c>
      <c r="F3121">
        <v>367.7</v>
      </c>
      <c r="K3121" s="3"/>
      <c r="O3121" s="3"/>
    </row>
    <row r="3122" spans="1:15">
      <c r="A3122" s="3">
        <v>39646</v>
      </c>
      <c r="B3122" s="3">
        <v>39646</v>
      </c>
      <c r="C3122">
        <v>120.16</v>
      </c>
      <c r="D3122">
        <v>1.5863</v>
      </c>
      <c r="E3122">
        <v>131.07</v>
      </c>
      <c r="F3122">
        <v>373.5</v>
      </c>
      <c r="K3122" s="3"/>
      <c r="O3122" s="3"/>
    </row>
    <row r="3123" spans="1:15">
      <c r="A3123" s="3">
        <v>39647</v>
      </c>
      <c r="B3123" s="3">
        <v>39647</v>
      </c>
      <c r="C3123">
        <v>120.19</v>
      </c>
      <c r="D3123">
        <v>1.5847</v>
      </c>
      <c r="E3123">
        <v>130.19</v>
      </c>
      <c r="F3123">
        <v>368.65</v>
      </c>
      <c r="K3123" s="3"/>
      <c r="O3123" s="3"/>
    </row>
    <row r="3124" spans="1:15">
      <c r="A3124" s="3">
        <v>39648</v>
      </c>
      <c r="B3124" s="3">
        <v>39648</v>
      </c>
      <c r="C3124">
        <v>120.19</v>
      </c>
      <c r="D3124">
        <v>1.5847</v>
      </c>
      <c r="E3124">
        <v>130.19</v>
      </c>
      <c r="F3124">
        <v>368.65</v>
      </c>
      <c r="K3124" s="3"/>
      <c r="O3124" s="3"/>
    </row>
    <row r="3125" spans="1:15">
      <c r="A3125" s="3">
        <v>39649</v>
      </c>
      <c r="B3125" s="3">
        <v>39649</v>
      </c>
      <c r="C3125">
        <v>120.19</v>
      </c>
      <c r="D3125">
        <v>1.5847</v>
      </c>
      <c r="E3125">
        <v>130.19</v>
      </c>
      <c r="F3125">
        <v>368.65</v>
      </c>
      <c r="K3125" s="3"/>
      <c r="O3125" s="3"/>
    </row>
    <row r="3126" spans="1:15">
      <c r="A3126" s="3">
        <v>39650</v>
      </c>
      <c r="B3126" s="3">
        <v>39650</v>
      </c>
      <c r="C3126">
        <v>120.19</v>
      </c>
      <c r="D3126">
        <v>1.5922000000000001</v>
      </c>
      <c r="E3126">
        <v>132.61000000000001</v>
      </c>
      <c r="F3126">
        <v>371</v>
      </c>
      <c r="K3126" s="3"/>
      <c r="O3126" s="3"/>
    </row>
    <row r="3127" spans="1:15">
      <c r="A3127" s="3">
        <v>39651</v>
      </c>
      <c r="B3127" s="3">
        <v>39651</v>
      </c>
      <c r="C3127">
        <v>120.18</v>
      </c>
      <c r="D3127">
        <v>1.5784</v>
      </c>
      <c r="E3127">
        <v>129.55000000000001</v>
      </c>
      <c r="F3127">
        <v>373.55</v>
      </c>
      <c r="K3127" s="3"/>
      <c r="O3127" s="3"/>
    </row>
    <row r="3128" spans="1:15">
      <c r="A3128" s="3">
        <v>39652</v>
      </c>
      <c r="B3128" s="3">
        <v>39652</v>
      </c>
      <c r="C3128">
        <v>120.19</v>
      </c>
      <c r="D3128">
        <v>1.5698000000000001</v>
      </c>
      <c r="E3128">
        <v>125.29</v>
      </c>
      <c r="F3128">
        <v>371.65</v>
      </c>
      <c r="K3128" s="3"/>
      <c r="O3128" s="3"/>
    </row>
    <row r="3129" spans="1:15">
      <c r="A3129" s="3">
        <v>39653</v>
      </c>
      <c r="B3129" s="3">
        <v>39653</v>
      </c>
      <c r="C3129">
        <v>120.19</v>
      </c>
      <c r="D3129">
        <v>1.5677000000000001</v>
      </c>
      <c r="E3129">
        <v>126.44</v>
      </c>
      <c r="F3129">
        <v>367.7</v>
      </c>
      <c r="K3129" s="3"/>
      <c r="O3129" s="3"/>
    </row>
    <row r="3130" spans="1:15">
      <c r="A3130" s="3">
        <v>39654</v>
      </c>
      <c r="B3130" s="3">
        <v>39654</v>
      </c>
      <c r="C3130">
        <v>120.2</v>
      </c>
      <c r="D3130">
        <v>1.5709</v>
      </c>
      <c r="E3130">
        <v>124.52</v>
      </c>
      <c r="F3130">
        <v>370.4</v>
      </c>
      <c r="K3130" s="3"/>
      <c r="O3130" s="3"/>
    </row>
    <row r="3131" spans="1:15">
      <c r="A3131" s="3">
        <v>39655</v>
      </c>
      <c r="B3131" s="3">
        <v>39655</v>
      </c>
      <c r="C3131">
        <v>120.2</v>
      </c>
      <c r="D3131">
        <v>1.5709</v>
      </c>
      <c r="E3131">
        <v>124.52</v>
      </c>
      <c r="F3131">
        <v>370.4</v>
      </c>
      <c r="K3131" s="3"/>
      <c r="O3131" s="3"/>
    </row>
    <row r="3132" spans="1:15">
      <c r="A3132" s="3">
        <v>39656</v>
      </c>
      <c r="B3132" s="3">
        <v>39656</v>
      </c>
      <c r="C3132">
        <v>120.2</v>
      </c>
      <c r="D3132">
        <v>1.5709</v>
      </c>
      <c r="E3132">
        <v>124.52</v>
      </c>
      <c r="F3132">
        <v>370.4</v>
      </c>
      <c r="K3132" s="3"/>
      <c r="O3132" s="3"/>
    </row>
    <row r="3133" spans="1:15">
      <c r="A3133" s="3">
        <v>39657</v>
      </c>
      <c r="B3133" s="3">
        <v>39657</v>
      </c>
      <c r="C3133">
        <v>120.19</v>
      </c>
      <c r="D3133">
        <v>1.5741000000000001</v>
      </c>
      <c r="E3133">
        <v>125.84</v>
      </c>
      <c r="F3133">
        <v>370.95</v>
      </c>
      <c r="K3133" s="3"/>
      <c r="O3133" s="3"/>
    </row>
    <row r="3134" spans="1:15">
      <c r="A3134" s="3">
        <v>39658</v>
      </c>
      <c r="B3134" s="3">
        <v>39658</v>
      </c>
      <c r="C3134">
        <v>120.19</v>
      </c>
      <c r="D3134">
        <v>1.5588</v>
      </c>
      <c r="E3134">
        <v>122.71</v>
      </c>
      <c r="F3134">
        <v>368.35</v>
      </c>
      <c r="K3134" s="3"/>
      <c r="O3134" s="3"/>
    </row>
    <row r="3135" spans="1:15">
      <c r="A3135" s="3">
        <v>39659</v>
      </c>
      <c r="B3135" s="3">
        <v>39659</v>
      </c>
      <c r="C3135">
        <v>120.19</v>
      </c>
      <c r="D3135">
        <v>1.5576000000000001</v>
      </c>
      <c r="E3135">
        <v>127.1</v>
      </c>
      <c r="F3135">
        <v>364.6</v>
      </c>
      <c r="K3135" s="3"/>
      <c r="O3135" s="3"/>
    </row>
    <row r="3136" spans="1:15">
      <c r="A3136" s="3">
        <v>39660</v>
      </c>
      <c r="B3136" s="3">
        <v>39660</v>
      </c>
      <c r="C3136">
        <v>120.19</v>
      </c>
      <c r="D3136">
        <v>1.5603</v>
      </c>
      <c r="E3136">
        <v>123.98</v>
      </c>
      <c r="F3136">
        <v>366.15</v>
      </c>
      <c r="K3136" s="3"/>
      <c r="O3136" s="3"/>
    </row>
    <row r="3137" spans="1:15">
      <c r="A3137" s="3">
        <v>39661</v>
      </c>
      <c r="B3137" s="3">
        <v>39661</v>
      </c>
      <c r="C3137">
        <v>120.18</v>
      </c>
      <c r="D3137">
        <v>1.5564</v>
      </c>
      <c r="E3137">
        <v>124.18</v>
      </c>
      <c r="F3137">
        <v>357.85</v>
      </c>
      <c r="K3137" s="3"/>
      <c r="O3137" s="3"/>
    </row>
    <row r="3138" spans="1:15">
      <c r="A3138" s="3">
        <v>39662</v>
      </c>
      <c r="B3138" s="3">
        <v>39662</v>
      </c>
      <c r="C3138">
        <v>120.18</v>
      </c>
      <c r="D3138">
        <v>1.5564</v>
      </c>
      <c r="E3138">
        <v>124.18</v>
      </c>
      <c r="F3138">
        <v>357.85</v>
      </c>
      <c r="K3138" s="3"/>
      <c r="O3138" s="3"/>
    </row>
    <row r="3139" spans="1:15">
      <c r="A3139" s="3">
        <v>39663</v>
      </c>
      <c r="B3139" s="3">
        <v>39663</v>
      </c>
      <c r="C3139">
        <v>120.18</v>
      </c>
      <c r="D3139">
        <v>1.5564</v>
      </c>
      <c r="E3139">
        <v>124.18</v>
      </c>
      <c r="F3139">
        <v>357.85</v>
      </c>
      <c r="K3139" s="3"/>
      <c r="O3139" s="3"/>
    </row>
    <row r="3140" spans="1:15">
      <c r="A3140" s="3">
        <v>39664</v>
      </c>
      <c r="B3140" s="3">
        <v>39664</v>
      </c>
      <c r="C3140">
        <v>120.16</v>
      </c>
      <c r="D3140">
        <v>1.5576000000000001</v>
      </c>
      <c r="E3140">
        <v>120.68</v>
      </c>
      <c r="F3140">
        <v>344</v>
      </c>
      <c r="K3140" s="3"/>
      <c r="O3140" s="3"/>
    </row>
    <row r="3141" spans="1:15">
      <c r="A3141" s="3">
        <v>39665</v>
      </c>
      <c r="B3141" s="3">
        <v>39665</v>
      </c>
      <c r="C3141">
        <v>120.11</v>
      </c>
      <c r="D3141">
        <v>1.5454000000000001</v>
      </c>
      <c r="E3141">
        <v>117.7</v>
      </c>
      <c r="F3141">
        <v>341.7</v>
      </c>
      <c r="K3141" s="3"/>
      <c r="O3141" s="3"/>
    </row>
    <row r="3142" spans="1:15">
      <c r="A3142" s="3">
        <v>39666</v>
      </c>
      <c r="B3142" s="3">
        <v>39666</v>
      </c>
      <c r="C3142">
        <v>120.09</v>
      </c>
      <c r="D3142">
        <v>1.5407999999999999</v>
      </c>
      <c r="E3142">
        <v>117</v>
      </c>
      <c r="F3142">
        <v>342.35</v>
      </c>
      <c r="K3142" s="3"/>
      <c r="O3142" s="3"/>
    </row>
    <row r="3143" spans="1:15">
      <c r="A3143" s="3">
        <v>39667</v>
      </c>
      <c r="B3143" s="3">
        <v>39667</v>
      </c>
      <c r="C3143">
        <v>120.1</v>
      </c>
      <c r="D3143">
        <v>1.5325</v>
      </c>
      <c r="E3143">
        <v>117.86</v>
      </c>
      <c r="F3143">
        <v>341.8</v>
      </c>
      <c r="K3143" s="3"/>
      <c r="O3143" s="3"/>
    </row>
    <row r="3144" spans="1:15">
      <c r="A3144" s="3">
        <v>39668</v>
      </c>
      <c r="B3144" s="3">
        <v>39668</v>
      </c>
      <c r="C3144">
        <v>120.08</v>
      </c>
      <c r="D3144">
        <v>1.5004999999999999</v>
      </c>
      <c r="E3144">
        <v>113.33</v>
      </c>
      <c r="F3144">
        <v>333.3</v>
      </c>
      <c r="K3144" s="3"/>
      <c r="O3144" s="3"/>
    </row>
    <row r="3145" spans="1:15">
      <c r="A3145" s="3">
        <v>39669</v>
      </c>
      <c r="B3145" s="3">
        <v>39669</v>
      </c>
      <c r="C3145">
        <v>120.08</v>
      </c>
      <c r="D3145">
        <v>1.5004999999999999</v>
      </c>
      <c r="E3145">
        <v>113.33</v>
      </c>
      <c r="F3145">
        <v>333.3</v>
      </c>
      <c r="K3145" s="3"/>
      <c r="O3145" s="3"/>
    </row>
    <row r="3146" spans="1:15">
      <c r="A3146" s="3">
        <v>39670</v>
      </c>
      <c r="B3146" s="3">
        <v>39670</v>
      </c>
      <c r="C3146">
        <v>120.08</v>
      </c>
      <c r="D3146">
        <v>1.5004999999999999</v>
      </c>
      <c r="E3146">
        <v>113.33</v>
      </c>
      <c r="F3146">
        <v>333.3</v>
      </c>
      <c r="K3146" s="3"/>
      <c r="O3146" s="3"/>
    </row>
    <row r="3147" spans="1:15">
      <c r="A3147" s="3">
        <v>39671</v>
      </c>
      <c r="B3147" s="3">
        <v>39671</v>
      </c>
      <c r="C3147">
        <v>120.16</v>
      </c>
      <c r="D3147">
        <v>1.4908999999999999</v>
      </c>
      <c r="E3147">
        <v>112.67</v>
      </c>
      <c r="F3147">
        <v>329.15</v>
      </c>
      <c r="K3147" s="3"/>
      <c r="O3147" s="3"/>
    </row>
    <row r="3148" spans="1:15">
      <c r="A3148" s="3">
        <v>39672</v>
      </c>
      <c r="B3148" s="3">
        <v>39672</v>
      </c>
      <c r="C3148">
        <v>120.18</v>
      </c>
      <c r="D3148">
        <v>1.4925999999999999</v>
      </c>
      <c r="E3148">
        <v>111.15</v>
      </c>
      <c r="F3148">
        <v>322.75</v>
      </c>
      <c r="K3148" s="3"/>
      <c r="O3148" s="3"/>
    </row>
    <row r="3149" spans="1:15">
      <c r="A3149" s="3">
        <v>39673</v>
      </c>
      <c r="B3149" s="3">
        <v>39673</v>
      </c>
      <c r="C3149">
        <v>120.08</v>
      </c>
      <c r="D3149">
        <v>1.4919</v>
      </c>
      <c r="E3149">
        <v>113.47</v>
      </c>
      <c r="F3149">
        <v>335.2</v>
      </c>
      <c r="K3149" s="3"/>
      <c r="O3149" s="3"/>
    </row>
    <row r="3150" spans="1:15">
      <c r="A3150" s="3">
        <v>39674</v>
      </c>
      <c r="B3150" s="3">
        <v>39674</v>
      </c>
      <c r="C3150">
        <v>120.13</v>
      </c>
      <c r="D3150">
        <v>1.4825999999999999</v>
      </c>
      <c r="E3150">
        <v>112.64</v>
      </c>
      <c r="F3150">
        <v>330.5</v>
      </c>
      <c r="K3150" s="3"/>
      <c r="O3150" s="3"/>
    </row>
    <row r="3151" spans="1:15">
      <c r="A3151" s="3">
        <v>39675</v>
      </c>
      <c r="B3151" s="3">
        <v>39675</v>
      </c>
      <c r="C3151">
        <v>120.15</v>
      </c>
      <c r="D3151">
        <v>1.4686999999999999</v>
      </c>
      <c r="E3151">
        <v>112.55</v>
      </c>
      <c r="F3151">
        <v>332.25</v>
      </c>
      <c r="K3151" s="3"/>
      <c r="O3151" s="3"/>
    </row>
    <row r="3152" spans="1:15">
      <c r="A3152" s="3">
        <v>39676</v>
      </c>
      <c r="B3152" s="3">
        <v>39676</v>
      </c>
      <c r="C3152">
        <v>120.15</v>
      </c>
      <c r="D3152">
        <v>1.4686999999999999</v>
      </c>
      <c r="E3152">
        <v>112.55</v>
      </c>
      <c r="F3152">
        <v>332.25</v>
      </c>
      <c r="K3152" s="3"/>
      <c r="O3152" s="3"/>
    </row>
    <row r="3153" spans="1:15">
      <c r="A3153" s="3">
        <v>39677</v>
      </c>
      <c r="B3153" s="3">
        <v>39677</v>
      </c>
      <c r="C3153">
        <v>120.15</v>
      </c>
      <c r="D3153">
        <v>1.4686999999999999</v>
      </c>
      <c r="E3153">
        <v>112.55</v>
      </c>
      <c r="F3153">
        <v>332.25</v>
      </c>
      <c r="K3153" s="3"/>
      <c r="O3153" s="3"/>
    </row>
    <row r="3154" spans="1:15">
      <c r="A3154" s="3">
        <v>39678</v>
      </c>
      <c r="B3154" s="3">
        <v>39678</v>
      </c>
      <c r="C3154">
        <v>120.11</v>
      </c>
      <c r="D3154">
        <v>1.4694</v>
      </c>
      <c r="E3154">
        <v>111.94</v>
      </c>
      <c r="F3154">
        <v>331.5</v>
      </c>
      <c r="K3154" s="3"/>
      <c r="O3154" s="3"/>
    </row>
    <row r="3155" spans="1:15">
      <c r="A3155" s="3">
        <v>39679</v>
      </c>
      <c r="B3155" s="3">
        <v>39679</v>
      </c>
      <c r="C3155">
        <v>120.07</v>
      </c>
      <c r="D3155">
        <v>1.4776</v>
      </c>
      <c r="E3155">
        <v>113.25</v>
      </c>
      <c r="F3155">
        <v>342.85</v>
      </c>
      <c r="K3155" s="3"/>
      <c r="O3155" s="3"/>
    </row>
    <row r="3156" spans="1:15">
      <c r="A3156" s="3">
        <v>39680</v>
      </c>
      <c r="B3156" s="3">
        <v>39680</v>
      </c>
      <c r="C3156">
        <v>120.03</v>
      </c>
      <c r="D3156">
        <v>1.4746999999999999</v>
      </c>
      <c r="E3156">
        <v>114.36</v>
      </c>
      <c r="F3156">
        <v>341.15</v>
      </c>
      <c r="K3156" s="3"/>
      <c r="O3156" s="3"/>
    </row>
    <row r="3157" spans="1:15">
      <c r="A3157" s="3">
        <v>39681</v>
      </c>
      <c r="B3157" s="3">
        <v>39681</v>
      </c>
      <c r="C3157">
        <v>119.93</v>
      </c>
      <c r="D3157">
        <v>1.4899</v>
      </c>
      <c r="E3157">
        <v>120.16</v>
      </c>
      <c r="F3157">
        <v>354.6</v>
      </c>
      <c r="K3157" s="3"/>
      <c r="O3157" s="3"/>
    </row>
    <row r="3158" spans="1:15">
      <c r="A3158" s="3">
        <v>39682</v>
      </c>
      <c r="B3158" s="3">
        <v>39682</v>
      </c>
      <c r="C3158">
        <v>119.72</v>
      </c>
      <c r="D3158">
        <v>1.4793000000000001</v>
      </c>
      <c r="E3158">
        <v>113.92</v>
      </c>
      <c r="F3158">
        <v>347.25</v>
      </c>
      <c r="K3158" s="3"/>
      <c r="O3158" s="3"/>
    </row>
    <row r="3159" spans="1:15">
      <c r="A3159" s="3">
        <v>39683</v>
      </c>
      <c r="B3159" s="3">
        <v>39683</v>
      </c>
      <c r="C3159">
        <v>119.72</v>
      </c>
      <c r="D3159">
        <v>1.4793000000000001</v>
      </c>
      <c r="E3159">
        <v>113.92</v>
      </c>
      <c r="F3159">
        <v>347.25</v>
      </c>
      <c r="K3159" s="3"/>
      <c r="O3159" s="3"/>
    </row>
    <row r="3160" spans="1:15">
      <c r="A3160" s="3">
        <v>39684</v>
      </c>
      <c r="B3160" s="3">
        <v>39684</v>
      </c>
      <c r="C3160">
        <v>119.72</v>
      </c>
      <c r="D3160">
        <v>1.4793000000000001</v>
      </c>
      <c r="E3160">
        <v>113.92</v>
      </c>
      <c r="F3160">
        <v>347.25</v>
      </c>
      <c r="K3160" s="3"/>
      <c r="O3160" s="3"/>
    </row>
    <row r="3161" spans="1:15">
      <c r="A3161" s="3">
        <v>39685</v>
      </c>
      <c r="B3161" s="3">
        <v>39685</v>
      </c>
      <c r="C3161">
        <v>119.79</v>
      </c>
      <c r="D3161">
        <v>1.4754</v>
      </c>
      <c r="E3161">
        <v>114.03</v>
      </c>
      <c r="F3161">
        <v>348.15</v>
      </c>
      <c r="K3161" s="3"/>
      <c r="O3161" s="3"/>
    </row>
    <row r="3162" spans="1:15">
      <c r="A3162" s="3">
        <v>39686</v>
      </c>
      <c r="B3162" s="3">
        <v>39686</v>
      </c>
      <c r="C3162">
        <v>119.86</v>
      </c>
      <c r="D3162">
        <v>1.4653</v>
      </c>
      <c r="E3162">
        <v>114.63</v>
      </c>
      <c r="F3162">
        <v>343.85</v>
      </c>
      <c r="K3162" s="3"/>
      <c r="O3162" s="3"/>
    </row>
    <row r="3163" spans="1:15">
      <c r="A3163" s="3">
        <v>39687</v>
      </c>
      <c r="B3163" s="3">
        <v>39687</v>
      </c>
      <c r="C3163">
        <v>119.81</v>
      </c>
      <c r="D3163">
        <v>1.4726999999999999</v>
      </c>
      <c r="E3163">
        <v>116.22</v>
      </c>
      <c r="F3163">
        <v>347.15</v>
      </c>
      <c r="K3163" s="3"/>
      <c r="O3163" s="3"/>
    </row>
    <row r="3164" spans="1:15">
      <c r="A3164" s="3">
        <v>39688</v>
      </c>
      <c r="B3164" s="3">
        <v>39688</v>
      </c>
      <c r="C3164">
        <v>119.59</v>
      </c>
      <c r="D3164">
        <v>1.4705999999999999</v>
      </c>
      <c r="E3164">
        <v>114.17</v>
      </c>
      <c r="F3164">
        <v>342.7</v>
      </c>
      <c r="K3164" s="3"/>
      <c r="O3164" s="3"/>
    </row>
    <row r="3165" spans="1:15">
      <c r="A3165" s="3">
        <v>39689</v>
      </c>
      <c r="B3165" s="3">
        <v>39689</v>
      </c>
      <c r="C3165">
        <v>119.68</v>
      </c>
      <c r="D3165">
        <v>1.4673</v>
      </c>
      <c r="E3165">
        <v>114.05</v>
      </c>
      <c r="F3165">
        <v>342.95</v>
      </c>
      <c r="K3165" s="3"/>
      <c r="O3165" s="3"/>
    </row>
    <row r="3166" spans="1:15">
      <c r="A3166" s="3">
        <v>39690</v>
      </c>
      <c r="B3166" s="3">
        <v>39690</v>
      </c>
      <c r="C3166">
        <v>119.68</v>
      </c>
      <c r="D3166">
        <v>1.4673</v>
      </c>
      <c r="E3166">
        <v>114.05</v>
      </c>
      <c r="F3166">
        <v>342.95</v>
      </c>
      <c r="K3166" s="3"/>
      <c r="O3166" s="3"/>
    </row>
    <row r="3167" spans="1:15">
      <c r="A3167" s="3">
        <v>39691</v>
      </c>
      <c r="B3167" s="3">
        <v>39691</v>
      </c>
      <c r="C3167">
        <v>119.68</v>
      </c>
      <c r="D3167">
        <v>1.4673</v>
      </c>
      <c r="E3167">
        <v>114.05</v>
      </c>
      <c r="F3167">
        <v>342.95</v>
      </c>
      <c r="K3167" s="3"/>
      <c r="O3167" s="3"/>
    </row>
    <row r="3168" spans="1:15">
      <c r="A3168" s="3">
        <v>39692</v>
      </c>
      <c r="B3168" s="3">
        <v>39692</v>
      </c>
      <c r="C3168">
        <v>119.66</v>
      </c>
      <c r="D3168">
        <v>1.4617</v>
      </c>
      <c r="E3168">
        <v>109.41</v>
      </c>
      <c r="F3168">
        <v>342.95</v>
      </c>
      <c r="K3168" s="3"/>
      <c r="O3168" s="3"/>
    </row>
    <row r="3169" spans="1:15">
      <c r="A3169" s="3">
        <v>39693</v>
      </c>
      <c r="B3169" s="3">
        <v>39693</v>
      </c>
      <c r="C3169">
        <v>119.7</v>
      </c>
      <c r="D3169">
        <v>1.452</v>
      </c>
      <c r="E3169">
        <v>108.34</v>
      </c>
      <c r="F3169">
        <v>332.25</v>
      </c>
      <c r="K3169" s="3"/>
      <c r="O3169" s="3"/>
    </row>
    <row r="3170" spans="1:15">
      <c r="A3170" s="3">
        <v>39694</v>
      </c>
      <c r="B3170" s="3">
        <v>39694</v>
      </c>
      <c r="C3170">
        <v>119.78</v>
      </c>
      <c r="D3170">
        <v>1.4498</v>
      </c>
      <c r="E3170">
        <v>108.06</v>
      </c>
      <c r="F3170">
        <v>335.4</v>
      </c>
      <c r="K3170" s="3"/>
      <c r="O3170" s="3"/>
    </row>
    <row r="3171" spans="1:15">
      <c r="A3171" s="3">
        <v>39695</v>
      </c>
      <c r="B3171" s="3">
        <v>39695</v>
      </c>
      <c r="C3171">
        <v>119.67</v>
      </c>
      <c r="D3171">
        <v>1.4325000000000001</v>
      </c>
      <c r="E3171">
        <v>106.3</v>
      </c>
      <c r="F3171">
        <v>329.7</v>
      </c>
      <c r="K3171" s="3"/>
      <c r="O3171" s="3"/>
    </row>
    <row r="3172" spans="1:15">
      <c r="A3172" s="3">
        <v>39696</v>
      </c>
      <c r="B3172" s="3">
        <v>39696</v>
      </c>
      <c r="C3172">
        <v>119.6</v>
      </c>
      <c r="D3172">
        <v>1.4267000000000001</v>
      </c>
      <c r="E3172">
        <v>104.09</v>
      </c>
      <c r="F3172">
        <v>312.35000000000002</v>
      </c>
      <c r="K3172" s="3"/>
      <c r="O3172" s="3"/>
    </row>
    <row r="3173" spans="1:15">
      <c r="A3173" s="3">
        <v>39697</v>
      </c>
      <c r="B3173" s="3">
        <v>39697</v>
      </c>
      <c r="C3173">
        <v>119.6</v>
      </c>
      <c r="D3173">
        <v>1.4267000000000001</v>
      </c>
      <c r="E3173">
        <v>104.09</v>
      </c>
      <c r="F3173">
        <v>312.35000000000002</v>
      </c>
      <c r="K3173" s="3"/>
      <c r="O3173" s="3"/>
    </row>
    <row r="3174" spans="1:15">
      <c r="A3174" s="3">
        <v>39698</v>
      </c>
      <c r="B3174" s="3">
        <v>39698</v>
      </c>
      <c r="C3174">
        <v>119.6</v>
      </c>
      <c r="D3174">
        <v>1.4267000000000001</v>
      </c>
      <c r="E3174">
        <v>104.09</v>
      </c>
      <c r="F3174">
        <v>312.35000000000002</v>
      </c>
      <c r="K3174" s="3"/>
      <c r="O3174" s="3"/>
    </row>
    <row r="3175" spans="1:15">
      <c r="A3175" s="3">
        <v>39699</v>
      </c>
      <c r="B3175" s="3">
        <v>39699</v>
      </c>
      <c r="C3175">
        <v>119.64</v>
      </c>
      <c r="D3175">
        <v>1.4128000000000001</v>
      </c>
      <c r="E3175">
        <v>103.44</v>
      </c>
      <c r="F3175">
        <v>310.89999999999998</v>
      </c>
      <c r="K3175" s="3"/>
      <c r="O3175" s="3"/>
    </row>
    <row r="3176" spans="1:15">
      <c r="A3176" s="3">
        <v>39700</v>
      </c>
      <c r="B3176" s="3">
        <v>39700</v>
      </c>
      <c r="C3176">
        <v>119.7</v>
      </c>
      <c r="D3176">
        <v>1.4133</v>
      </c>
      <c r="E3176">
        <v>100.34</v>
      </c>
      <c r="F3176">
        <v>309.5</v>
      </c>
      <c r="K3176" s="3"/>
      <c r="O3176" s="3"/>
    </row>
    <row r="3177" spans="1:15">
      <c r="A3177" s="3">
        <v>39701</v>
      </c>
      <c r="B3177" s="3">
        <v>39701</v>
      </c>
      <c r="C3177">
        <v>119.6</v>
      </c>
      <c r="D3177">
        <v>1.3997999999999999</v>
      </c>
      <c r="E3177">
        <v>98.97</v>
      </c>
      <c r="F3177">
        <v>312.35000000000002</v>
      </c>
      <c r="K3177" s="3"/>
      <c r="O3177" s="3"/>
    </row>
    <row r="3178" spans="1:15">
      <c r="A3178" s="3">
        <v>39702</v>
      </c>
      <c r="B3178" s="3">
        <v>39702</v>
      </c>
      <c r="C3178">
        <v>119.59</v>
      </c>
      <c r="D3178">
        <v>1.3997999999999999</v>
      </c>
      <c r="E3178">
        <v>97.64</v>
      </c>
      <c r="F3178">
        <v>313.45</v>
      </c>
      <c r="K3178" s="3"/>
      <c r="O3178" s="3"/>
    </row>
    <row r="3179" spans="1:15">
      <c r="A3179" s="3">
        <v>39703</v>
      </c>
      <c r="B3179" s="3">
        <v>39703</v>
      </c>
      <c r="C3179">
        <v>119.49</v>
      </c>
      <c r="D3179">
        <v>1.4224000000000001</v>
      </c>
      <c r="E3179">
        <v>97.58</v>
      </c>
      <c r="F3179">
        <v>320.89999999999998</v>
      </c>
      <c r="K3179" s="3"/>
      <c r="O3179" s="3"/>
    </row>
    <row r="3180" spans="1:15">
      <c r="A3180" s="3">
        <v>39704</v>
      </c>
      <c r="B3180" s="3">
        <v>39704</v>
      </c>
      <c r="C3180">
        <v>119.49</v>
      </c>
      <c r="D3180">
        <v>1.4224000000000001</v>
      </c>
      <c r="E3180">
        <v>97.58</v>
      </c>
      <c r="F3180">
        <v>320.89999999999998</v>
      </c>
      <c r="K3180" s="3"/>
      <c r="O3180" s="3"/>
    </row>
    <row r="3181" spans="1:15">
      <c r="A3181" s="3">
        <v>39705</v>
      </c>
      <c r="B3181" s="3">
        <v>39705</v>
      </c>
      <c r="C3181">
        <v>119.49</v>
      </c>
      <c r="D3181">
        <v>1.4224000000000001</v>
      </c>
      <c r="E3181">
        <v>97.58</v>
      </c>
      <c r="F3181">
        <v>320.89999999999998</v>
      </c>
      <c r="K3181" s="3"/>
      <c r="O3181" s="3"/>
    </row>
    <row r="3182" spans="1:15">
      <c r="A3182" s="3">
        <v>39706</v>
      </c>
      <c r="B3182" s="3">
        <v>39706</v>
      </c>
      <c r="C3182">
        <v>119.48</v>
      </c>
      <c r="D3182">
        <v>1.4242999999999999</v>
      </c>
      <c r="E3182">
        <v>92.38</v>
      </c>
      <c r="F3182">
        <v>318.39999999999998</v>
      </c>
      <c r="K3182" s="3"/>
      <c r="O3182" s="3"/>
    </row>
    <row r="3183" spans="1:15">
      <c r="A3183" s="3">
        <v>39707</v>
      </c>
      <c r="B3183" s="3">
        <v>39707</v>
      </c>
      <c r="C3183">
        <v>119.63</v>
      </c>
      <c r="D3183">
        <v>1.4129</v>
      </c>
      <c r="E3183">
        <v>89.22</v>
      </c>
      <c r="F3183">
        <v>311.3</v>
      </c>
      <c r="K3183" s="3"/>
      <c r="O3183" s="3"/>
    </row>
    <row r="3184" spans="1:15">
      <c r="A3184" s="3">
        <v>39708</v>
      </c>
      <c r="B3184" s="3">
        <v>39708</v>
      </c>
      <c r="C3184">
        <v>119.84</v>
      </c>
      <c r="D3184">
        <v>1.4326000000000001</v>
      </c>
      <c r="E3184">
        <v>94.84</v>
      </c>
      <c r="F3184">
        <v>307.10000000000002</v>
      </c>
      <c r="K3184" s="3"/>
      <c r="O3184" s="3"/>
    </row>
    <row r="3185" spans="1:15">
      <c r="A3185" s="3">
        <v>39709</v>
      </c>
      <c r="B3185" s="3">
        <v>39709</v>
      </c>
      <c r="C3185">
        <v>119.86</v>
      </c>
      <c r="D3185">
        <v>1.4348000000000001</v>
      </c>
      <c r="E3185">
        <v>95.19</v>
      </c>
      <c r="F3185">
        <v>309.55</v>
      </c>
      <c r="K3185" s="3"/>
      <c r="O3185" s="3"/>
    </row>
    <row r="3186" spans="1:15">
      <c r="A3186" s="3">
        <v>39710</v>
      </c>
      <c r="B3186" s="3">
        <v>39710</v>
      </c>
      <c r="C3186">
        <v>119.76</v>
      </c>
      <c r="D3186">
        <v>1.4466000000000001</v>
      </c>
      <c r="E3186">
        <v>99.61</v>
      </c>
      <c r="F3186">
        <v>318.5</v>
      </c>
      <c r="K3186" s="3"/>
      <c r="O3186" s="3"/>
    </row>
    <row r="3187" spans="1:15">
      <c r="A3187" s="3">
        <v>39711</v>
      </c>
      <c r="B3187" s="3">
        <v>39711</v>
      </c>
      <c r="C3187">
        <v>119.76</v>
      </c>
      <c r="D3187">
        <v>1.4466000000000001</v>
      </c>
      <c r="E3187">
        <v>99.61</v>
      </c>
      <c r="F3187">
        <v>318.5</v>
      </c>
      <c r="K3187" s="3"/>
      <c r="O3187" s="3"/>
    </row>
    <row r="3188" spans="1:15">
      <c r="A3188" s="3">
        <v>39712</v>
      </c>
      <c r="B3188" s="3">
        <v>39712</v>
      </c>
      <c r="C3188">
        <v>119.76</v>
      </c>
      <c r="D3188">
        <v>1.4466000000000001</v>
      </c>
      <c r="E3188">
        <v>99.61</v>
      </c>
      <c r="F3188">
        <v>318.5</v>
      </c>
      <c r="K3188" s="3"/>
      <c r="O3188" s="3"/>
    </row>
    <row r="3189" spans="1:15">
      <c r="A3189" s="3">
        <v>39713</v>
      </c>
      <c r="B3189" s="3">
        <v>39713</v>
      </c>
      <c r="C3189">
        <v>119.75</v>
      </c>
      <c r="D3189">
        <v>1.4774</v>
      </c>
      <c r="E3189">
        <v>106.04</v>
      </c>
      <c r="F3189">
        <v>326.60000000000002</v>
      </c>
      <c r="K3189" s="3"/>
      <c r="O3189" s="3"/>
    </row>
    <row r="3190" spans="1:15">
      <c r="A3190" s="3">
        <v>39714</v>
      </c>
      <c r="B3190" s="3">
        <v>39714</v>
      </c>
      <c r="C3190">
        <v>119.74</v>
      </c>
      <c r="D3190">
        <v>1.4648000000000001</v>
      </c>
      <c r="E3190">
        <v>103.08</v>
      </c>
      <c r="F3190">
        <v>316.7</v>
      </c>
      <c r="K3190" s="3"/>
      <c r="O3190" s="3"/>
    </row>
    <row r="3191" spans="1:15">
      <c r="A3191" s="3">
        <v>39715</v>
      </c>
      <c r="B3191" s="3">
        <v>39715</v>
      </c>
      <c r="C3191">
        <v>119.78</v>
      </c>
      <c r="D3191">
        <v>1.4621</v>
      </c>
      <c r="E3191">
        <v>102.45</v>
      </c>
      <c r="F3191">
        <v>312.14999999999998</v>
      </c>
      <c r="K3191" s="3"/>
      <c r="O3191" s="3"/>
    </row>
    <row r="3192" spans="1:15">
      <c r="A3192" s="3">
        <v>39716</v>
      </c>
      <c r="B3192" s="3">
        <v>39716</v>
      </c>
      <c r="C3192">
        <v>119.78</v>
      </c>
      <c r="D3192">
        <v>1.4609000000000001</v>
      </c>
      <c r="E3192">
        <v>104.6</v>
      </c>
      <c r="F3192">
        <v>314.55</v>
      </c>
      <c r="K3192" s="3"/>
      <c r="O3192" s="3"/>
    </row>
    <row r="3193" spans="1:15">
      <c r="A3193" s="3">
        <v>39717</v>
      </c>
      <c r="B3193" s="3">
        <v>39717</v>
      </c>
      <c r="C3193">
        <v>119.77</v>
      </c>
      <c r="D3193">
        <v>1.4614</v>
      </c>
      <c r="E3193">
        <v>103.54</v>
      </c>
      <c r="F3193">
        <v>307.95</v>
      </c>
      <c r="K3193" s="3"/>
      <c r="O3193" s="3"/>
    </row>
    <row r="3194" spans="1:15">
      <c r="A3194" s="3">
        <v>39718</v>
      </c>
      <c r="B3194" s="3">
        <v>39718</v>
      </c>
      <c r="C3194">
        <v>119.77</v>
      </c>
      <c r="D3194">
        <v>1.4614</v>
      </c>
      <c r="E3194">
        <v>103.54</v>
      </c>
      <c r="F3194">
        <v>307.95</v>
      </c>
      <c r="K3194" s="3"/>
      <c r="O3194" s="3"/>
    </row>
    <row r="3195" spans="1:15">
      <c r="A3195" s="3">
        <v>39719</v>
      </c>
      <c r="B3195" s="3">
        <v>39719</v>
      </c>
      <c r="C3195">
        <v>119.77</v>
      </c>
      <c r="D3195">
        <v>1.4614</v>
      </c>
      <c r="E3195">
        <v>103.54</v>
      </c>
      <c r="F3195">
        <v>307.95</v>
      </c>
      <c r="K3195" s="3"/>
      <c r="O3195" s="3"/>
    </row>
    <row r="3196" spans="1:15">
      <c r="A3196" s="3">
        <v>39720</v>
      </c>
      <c r="B3196" s="3">
        <v>39720</v>
      </c>
      <c r="C3196">
        <v>119.85</v>
      </c>
      <c r="D3196">
        <v>1.4435</v>
      </c>
      <c r="E3196">
        <v>93.98</v>
      </c>
      <c r="F3196">
        <v>290.64999999999998</v>
      </c>
      <c r="K3196" s="3"/>
      <c r="O3196" s="3"/>
    </row>
    <row r="3197" spans="1:15">
      <c r="A3197" s="3">
        <v>39721</v>
      </c>
      <c r="B3197" s="3">
        <v>39721</v>
      </c>
      <c r="C3197">
        <v>119.9</v>
      </c>
      <c r="D3197">
        <v>1.4092</v>
      </c>
      <c r="E3197">
        <v>98.17</v>
      </c>
      <c r="F3197">
        <v>287.89999999999998</v>
      </c>
      <c r="K3197" s="3"/>
      <c r="O3197" s="3"/>
    </row>
    <row r="3198" spans="1:15">
      <c r="A3198" s="3">
        <v>39722</v>
      </c>
      <c r="B3198" s="3">
        <v>39722</v>
      </c>
      <c r="C3198">
        <v>120.05</v>
      </c>
      <c r="D3198">
        <v>1.4009</v>
      </c>
      <c r="E3198">
        <v>95.33</v>
      </c>
      <c r="F3198">
        <v>278.95</v>
      </c>
      <c r="K3198" s="3"/>
      <c r="O3198" s="3"/>
    </row>
    <row r="3199" spans="1:15">
      <c r="A3199" s="3">
        <v>39723</v>
      </c>
      <c r="B3199" s="3">
        <v>39723</v>
      </c>
      <c r="C3199">
        <v>119.98</v>
      </c>
      <c r="D3199">
        <v>1.3818999999999999</v>
      </c>
      <c r="E3199">
        <v>90.56</v>
      </c>
      <c r="F3199">
        <v>262.75</v>
      </c>
      <c r="K3199" s="3"/>
      <c r="O3199" s="3"/>
    </row>
    <row r="3200" spans="1:15">
      <c r="A3200" s="3">
        <v>39724</v>
      </c>
      <c r="B3200" s="3">
        <v>39724</v>
      </c>
      <c r="C3200">
        <v>119.99</v>
      </c>
      <c r="D3200">
        <v>1.3772</v>
      </c>
      <c r="E3200">
        <v>90.25</v>
      </c>
      <c r="F3200">
        <v>269</v>
      </c>
      <c r="K3200" s="3"/>
      <c r="O3200" s="3"/>
    </row>
    <row r="3201" spans="1:15">
      <c r="A3201" s="3">
        <v>39725</v>
      </c>
      <c r="B3201" s="3">
        <v>39725</v>
      </c>
      <c r="C3201">
        <v>119.99</v>
      </c>
      <c r="D3201">
        <v>1.3772</v>
      </c>
      <c r="E3201">
        <v>90.25</v>
      </c>
      <c r="F3201">
        <v>269</v>
      </c>
      <c r="K3201" s="3"/>
      <c r="O3201" s="3"/>
    </row>
    <row r="3202" spans="1:15">
      <c r="A3202" s="3">
        <v>39726</v>
      </c>
      <c r="B3202" s="3">
        <v>39726</v>
      </c>
      <c r="C3202">
        <v>119.99</v>
      </c>
      <c r="D3202">
        <v>1.3772</v>
      </c>
      <c r="E3202">
        <v>90.25</v>
      </c>
      <c r="F3202">
        <v>269</v>
      </c>
      <c r="K3202" s="3"/>
      <c r="O3202" s="3"/>
    </row>
    <row r="3203" spans="1:15">
      <c r="A3203" s="3">
        <v>39727</v>
      </c>
      <c r="B3203" s="3">
        <v>39727</v>
      </c>
      <c r="C3203">
        <v>120.06</v>
      </c>
      <c r="D3203">
        <v>1.3499000000000001</v>
      </c>
      <c r="E3203">
        <v>83.68</v>
      </c>
      <c r="F3203">
        <v>249.3</v>
      </c>
      <c r="K3203" s="3"/>
      <c r="O3203" s="3"/>
    </row>
    <row r="3204" spans="1:15">
      <c r="A3204" s="3">
        <v>39728</v>
      </c>
      <c r="B3204" s="3">
        <v>39728</v>
      </c>
      <c r="C3204">
        <v>120.06</v>
      </c>
      <c r="D3204">
        <v>1.3588</v>
      </c>
      <c r="E3204">
        <v>84.66</v>
      </c>
      <c r="F3204">
        <v>253.45</v>
      </c>
      <c r="K3204" s="3"/>
      <c r="O3204" s="3"/>
    </row>
    <row r="3205" spans="1:15">
      <c r="A3205" s="3">
        <v>39729</v>
      </c>
      <c r="B3205" s="3">
        <v>39729</v>
      </c>
      <c r="C3205">
        <v>119.98</v>
      </c>
      <c r="D3205">
        <v>1.3653999999999999</v>
      </c>
      <c r="E3205">
        <v>84.36</v>
      </c>
      <c r="F3205">
        <v>235.5</v>
      </c>
      <c r="K3205" s="3"/>
      <c r="O3205" s="3"/>
    </row>
    <row r="3206" spans="1:15">
      <c r="A3206" s="3">
        <v>39730</v>
      </c>
      <c r="B3206" s="3">
        <v>39730</v>
      </c>
      <c r="C3206">
        <v>119.9</v>
      </c>
      <c r="D3206">
        <v>1.3604000000000001</v>
      </c>
      <c r="E3206">
        <v>82.66</v>
      </c>
      <c r="F3206">
        <v>240.6</v>
      </c>
      <c r="K3206" s="3"/>
      <c r="O3206" s="3"/>
    </row>
    <row r="3207" spans="1:15">
      <c r="A3207" s="3">
        <v>39731</v>
      </c>
      <c r="B3207" s="3">
        <v>39731</v>
      </c>
      <c r="C3207">
        <v>119.89</v>
      </c>
      <c r="D3207">
        <v>1.3409</v>
      </c>
      <c r="E3207">
        <v>74.09</v>
      </c>
      <c r="F3207">
        <v>214.45</v>
      </c>
      <c r="K3207" s="3"/>
      <c r="O3207" s="3"/>
    </row>
    <row r="3208" spans="1:15">
      <c r="A3208" s="3">
        <v>39732</v>
      </c>
      <c r="B3208" s="3">
        <v>39732</v>
      </c>
      <c r="C3208">
        <v>119.89</v>
      </c>
      <c r="D3208">
        <v>1.3409</v>
      </c>
      <c r="E3208">
        <v>74.09</v>
      </c>
      <c r="F3208">
        <v>214.45</v>
      </c>
      <c r="K3208" s="3"/>
      <c r="O3208" s="3"/>
    </row>
    <row r="3209" spans="1:15">
      <c r="A3209" s="3">
        <v>39733</v>
      </c>
      <c r="B3209" s="3">
        <v>39733</v>
      </c>
      <c r="C3209">
        <v>119.89</v>
      </c>
      <c r="D3209">
        <v>1.3409</v>
      </c>
      <c r="E3209">
        <v>74.09</v>
      </c>
      <c r="F3209">
        <v>214.45</v>
      </c>
      <c r="K3209" s="3"/>
      <c r="O3209" s="3"/>
    </row>
    <row r="3210" spans="1:15">
      <c r="A3210" s="3">
        <v>39734</v>
      </c>
      <c r="B3210" s="3">
        <v>39734</v>
      </c>
      <c r="C3210">
        <v>119.87</v>
      </c>
      <c r="D3210">
        <v>1.3581000000000001</v>
      </c>
      <c r="E3210">
        <v>77.459999999999994</v>
      </c>
      <c r="F3210">
        <v>231.25</v>
      </c>
      <c r="K3210" s="3"/>
      <c r="O3210" s="3"/>
    </row>
    <row r="3211" spans="1:15">
      <c r="A3211" s="3">
        <v>39735</v>
      </c>
      <c r="B3211" s="3">
        <v>39735</v>
      </c>
      <c r="C3211">
        <v>119.88</v>
      </c>
      <c r="D3211">
        <v>1.3619000000000001</v>
      </c>
      <c r="E3211">
        <v>74.53</v>
      </c>
      <c r="F3211">
        <v>239.45</v>
      </c>
      <c r="K3211" s="3"/>
      <c r="O3211" s="3"/>
    </row>
    <row r="3212" spans="1:15">
      <c r="A3212" s="3">
        <v>39736</v>
      </c>
      <c r="B3212" s="3">
        <v>39736</v>
      </c>
      <c r="C3212">
        <v>119.81</v>
      </c>
      <c r="D3212">
        <v>1.3499000000000001</v>
      </c>
      <c r="E3212">
        <v>70.8</v>
      </c>
      <c r="F3212">
        <v>221.05</v>
      </c>
      <c r="K3212" s="3"/>
      <c r="O3212" s="3"/>
    </row>
    <row r="3213" spans="1:15">
      <c r="A3213" s="3">
        <v>39737</v>
      </c>
      <c r="B3213" s="3">
        <v>39737</v>
      </c>
      <c r="C3213">
        <v>119.79</v>
      </c>
      <c r="D3213">
        <v>1.3455999999999999</v>
      </c>
      <c r="E3213">
        <v>66.319999999999993</v>
      </c>
      <c r="F3213">
        <v>208.55</v>
      </c>
      <c r="K3213" s="3"/>
      <c r="O3213" s="3"/>
    </row>
    <row r="3214" spans="1:15">
      <c r="A3214" s="3">
        <v>39738</v>
      </c>
      <c r="B3214" s="3">
        <v>39738</v>
      </c>
      <c r="C3214">
        <v>119.76</v>
      </c>
      <c r="D3214">
        <v>1.341</v>
      </c>
      <c r="E3214">
        <v>69.599999999999994</v>
      </c>
      <c r="F3214">
        <v>217.95</v>
      </c>
      <c r="K3214" s="3"/>
      <c r="O3214" s="3"/>
    </row>
    <row r="3215" spans="1:15">
      <c r="A3215" s="3">
        <v>39739</v>
      </c>
      <c r="B3215" s="3">
        <v>39739</v>
      </c>
      <c r="C3215">
        <v>119.76</v>
      </c>
      <c r="D3215">
        <v>1.341</v>
      </c>
      <c r="E3215">
        <v>69.599999999999994</v>
      </c>
      <c r="F3215">
        <v>217.95</v>
      </c>
      <c r="K3215" s="3"/>
      <c r="O3215" s="3"/>
    </row>
    <row r="3216" spans="1:15">
      <c r="A3216" s="3">
        <v>39740</v>
      </c>
      <c r="B3216" s="3">
        <v>39740</v>
      </c>
      <c r="C3216">
        <v>119.76</v>
      </c>
      <c r="D3216">
        <v>1.341</v>
      </c>
      <c r="E3216">
        <v>69.599999999999994</v>
      </c>
      <c r="F3216">
        <v>217.95</v>
      </c>
      <c r="K3216" s="3"/>
      <c r="O3216" s="3"/>
    </row>
    <row r="3217" spans="1:15">
      <c r="A3217" s="3">
        <v>39741</v>
      </c>
      <c r="B3217" s="3">
        <v>39741</v>
      </c>
      <c r="C3217">
        <v>119.79</v>
      </c>
      <c r="D3217">
        <v>1.3344</v>
      </c>
      <c r="E3217">
        <v>72.03</v>
      </c>
      <c r="F3217">
        <v>211.65</v>
      </c>
      <c r="K3217" s="3"/>
      <c r="O3217" s="3"/>
    </row>
    <row r="3218" spans="1:15">
      <c r="A3218" s="3">
        <v>39742</v>
      </c>
      <c r="B3218" s="3">
        <v>39742</v>
      </c>
      <c r="C3218">
        <v>119.83</v>
      </c>
      <c r="D3218">
        <v>1.3063</v>
      </c>
      <c r="E3218">
        <v>69.72</v>
      </c>
      <c r="F3218">
        <v>200.7</v>
      </c>
      <c r="K3218" s="3"/>
      <c r="O3218" s="3"/>
    </row>
    <row r="3219" spans="1:15">
      <c r="A3219" s="3">
        <v>39743</v>
      </c>
      <c r="B3219" s="3">
        <v>39743</v>
      </c>
      <c r="C3219">
        <v>119.88</v>
      </c>
      <c r="D3219">
        <v>1.2855000000000001</v>
      </c>
      <c r="E3219">
        <v>64.52</v>
      </c>
      <c r="F3219">
        <v>186.55</v>
      </c>
      <c r="K3219" s="3"/>
      <c r="O3219" s="3"/>
    </row>
    <row r="3220" spans="1:15">
      <c r="A3220" s="3">
        <v>39744</v>
      </c>
      <c r="B3220" s="3">
        <v>39744</v>
      </c>
      <c r="C3220">
        <v>119.78</v>
      </c>
      <c r="D3220">
        <v>1.2934000000000001</v>
      </c>
      <c r="E3220">
        <v>65.92</v>
      </c>
      <c r="F3220">
        <v>180.45</v>
      </c>
      <c r="K3220" s="3"/>
      <c r="O3220" s="3"/>
    </row>
    <row r="3221" spans="1:15">
      <c r="A3221" s="3">
        <v>39745</v>
      </c>
      <c r="B3221" s="3">
        <v>39745</v>
      </c>
      <c r="C3221">
        <v>119.91</v>
      </c>
      <c r="D3221">
        <v>1.2623</v>
      </c>
      <c r="E3221">
        <v>62.05</v>
      </c>
      <c r="F3221">
        <v>168.65</v>
      </c>
      <c r="K3221" s="3"/>
      <c r="O3221" s="3"/>
    </row>
    <row r="3222" spans="1:15">
      <c r="A3222" s="3">
        <v>39746</v>
      </c>
      <c r="B3222" s="3">
        <v>39746</v>
      </c>
      <c r="C3222">
        <v>119.91</v>
      </c>
      <c r="D3222">
        <v>1.2623</v>
      </c>
      <c r="E3222">
        <v>62.05</v>
      </c>
      <c r="F3222">
        <v>168.65</v>
      </c>
      <c r="K3222" s="3"/>
      <c r="O3222" s="3"/>
    </row>
    <row r="3223" spans="1:15">
      <c r="A3223" s="3">
        <v>39747</v>
      </c>
      <c r="B3223" s="3">
        <v>39747</v>
      </c>
      <c r="C3223">
        <v>119.91</v>
      </c>
      <c r="D3223">
        <v>1.2623</v>
      </c>
      <c r="E3223">
        <v>62.05</v>
      </c>
      <c r="F3223">
        <v>168.65</v>
      </c>
      <c r="K3223" s="3"/>
      <c r="O3223" s="3"/>
    </row>
    <row r="3224" spans="1:15">
      <c r="A3224" s="3">
        <v>39748</v>
      </c>
      <c r="B3224" s="3">
        <v>39748</v>
      </c>
      <c r="C3224">
        <v>119.91</v>
      </c>
      <c r="D3224">
        <v>1.2493000000000001</v>
      </c>
      <c r="E3224">
        <v>61.41</v>
      </c>
      <c r="F3224">
        <v>180.5</v>
      </c>
      <c r="K3224" s="3"/>
      <c r="O3224" s="3"/>
    </row>
    <row r="3225" spans="1:15">
      <c r="A3225" s="3">
        <v>39749</v>
      </c>
      <c r="B3225" s="3">
        <v>39749</v>
      </c>
      <c r="C3225">
        <v>119.82</v>
      </c>
      <c r="D3225">
        <v>1.2683</v>
      </c>
      <c r="E3225">
        <v>60.29</v>
      </c>
      <c r="F3225">
        <v>185.85</v>
      </c>
      <c r="K3225" s="3"/>
      <c r="O3225" s="3"/>
    </row>
    <row r="3226" spans="1:15">
      <c r="A3226" s="3">
        <v>39750</v>
      </c>
      <c r="B3226" s="3">
        <v>39750</v>
      </c>
      <c r="C3226">
        <v>119.8</v>
      </c>
      <c r="D3226">
        <v>1.2963</v>
      </c>
      <c r="E3226">
        <v>65.47</v>
      </c>
      <c r="F3226">
        <v>208.8</v>
      </c>
      <c r="K3226" s="3"/>
      <c r="O3226" s="3"/>
    </row>
    <row r="3227" spans="1:15">
      <c r="A3227" s="3">
        <v>39751</v>
      </c>
      <c r="B3227" s="3">
        <v>39751</v>
      </c>
      <c r="C3227">
        <v>119.81</v>
      </c>
      <c r="D3227">
        <v>1.2915000000000001</v>
      </c>
      <c r="E3227">
        <v>63.71</v>
      </c>
      <c r="F3227">
        <v>189.05</v>
      </c>
      <c r="K3227" s="3"/>
      <c r="O3227" s="3"/>
    </row>
    <row r="3228" spans="1:15">
      <c r="A3228" s="3">
        <v>39752</v>
      </c>
      <c r="B3228" s="3">
        <v>39752</v>
      </c>
      <c r="C3228">
        <v>119.96</v>
      </c>
      <c r="D3228">
        <v>1.2726</v>
      </c>
      <c r="E3228">
        <v>65.319999999999993</v>
      </c>
      <c r="F3228">
        <v>182.9</v>
      </c>
      <c r="K3228" s="3"/>
      <c r="O3228" s="3"/>
    </row>
    <row r="3229" spans="1:15">
      <c r="A3229" s="3">
        <v>39753</v>
      </c>
      <c r="B3229" s="3">
        <v>39753</v>
      </c>
      <c r="C3229">
        <v>119.96</v>
      </c>
      <c r="D3229">
        <v>1.2726</v>
      </c>
      <c r="E3229">
        <v>65.319999999999993</v>
      </c>
      <c r="F3229">
        <v>182.9</v>
      </c>
      <c r="K3229" s="3"/>
      <c r="O3229" s="3"/>
    </row>
    <row r="3230" spans="1:15">
      <c r="A3230" s="3">
        <v>39754</v>
      </c>
      <c r="B3230" s="3">
        <v>39754</v>
      </c>
      <c r="C3230">
        <v>119.96</v>
      </c>
      <c r="D3230">
        <v>1.2726</v>
      </c>
      <c r="E3230">
        <v>65.319999999999993</v>
      </c>
      <c r="F3230">
        <v>182.9</v>
      </c>
      <c r="K3230" s="3"/>
      <c r="O3230" s="3"/>
    </row>
    <row r="3231" spans="1:15">
      <c r="A3231" s="3">
        <v>39755</v>
      </c>
      <c r="B3231" s="3">
        <v>39755</v>
      </c>
      <c r="C3231">
        <v>120.07</v>
      </c>
      <c r="D3231">
        <v>1.2643</v>
      </c>
      <c r="E3231">
        <v>60.48</v>
      </c>
      <c r="F3231">
        <v>184</v>
      </c>
      <c r="K3231" s="3"/>
      <c r="O3231" s="3"/>
    </row>
    <row r="3232" spans="1:15">
      <c r="A3232" s="3">
        <v>39756</v>
      </c>
      <c r="B3232" s="3">
        <v>39756</v>
      </c>
      <c r="C3232">
        <v>119.92</v>
      </c>
      <c r="D3232">
        <v>1.2981</v>
      </c>
      <c r="E3232">
        <v>66.44</v>
      </c>
      <c r="F3232">
        <v>195.8</v>
      </c>
      <c r="K3232" s="3"/>
      <c r="O3232" s="3"/>
    </row>
    <row r="3233" spans="1:15">
      <c r="A3233" s="3">
        <v>39757</v>
      </c>
      <c r="B3233" s="3">
        <v>39757</v>
      </c>
      <c r="C3233">
        <v>119.82</v>
      </c>
      <c r="D3233">
        <v>1.2954000000000001</v>
      </c>
      <c r="E3233">
        <v>61.87</v>
      </c>
      <c r="F3233">
        <v>181.9</v>
      </c>
      <c r="K3233" s="3"/>
      <c r="O3233" s="3"/>
    </row>
    <row r="3234" spans="1:15">
      <c r="A3234" s="3">
        <v>39758</v>
      </c>
      <c r="B3234" s="3">
        <v>39758</v>
      </c>
      <c r="C3234">
        <v>119.84</v>
      </c>
      <c r="D3234">
        <v>1.2715000000000001</v>
      </c>
      <c r="E3234">
        <v>57.43</v>
      </c>
      <c r="F3234">
        <v>172.55</v>
      </c>
      <c r="K3234" s="3"/>
      <c r="O3234" s="3"/>
    </row>
    <row r="3235" spans="1:15">
      <c r="A3235" s="3">
        <v>39759</v>
      </c>
      <c r="B3235" s="3">
        <v>39759</v>
      </c>
      <c r="C3235">
        <v>119.91</v>
      </c>
      <c r="D3235">
        <v>1.2718</v>
      </c>
      <c r="E3235">
        <v>57.35</v>
      </c>
      <c r="F3235">
        <v>169.7</v>
      </c>
      <c r="K3235" s="3"/>
      <c r="O3235" s="3"/>
    </row>
    <row r="3236" spans="1:15">
      <c r="A3236" s="3">
        <v>39760</v>
      </c>
      <c r="B3236" s="3">
        <v>39760</v>
      </c>
      <c r="C3236">
        <v>119.91</v>
      </c>
      <c r="D3236">
        <v>1.2718</v>
      </c>
      <c r="E3236">
        <v>57.35</v>
      </c>
      <c r="F3236">
        <v>169.7</v>
      </c>
      <c r="K3236" s="3"/>
      <c r="O3236" s="3"/>
    </row>
    <row r="3237" spans="1:15">
      <c r="A3237" s="3">
        <v>39761</v>
      </c>
      <c r="B3237" s="3">
        <v>39761</v>
      </c>
      <c r="C3237">
        <v>119.91</v>
      </c>
      <c r="D3237">
        <v>1.2718</v>
      </c>
      <c r="E3237">
        <v>57.35</v>
      </c>
      <c r="F3237">
        <v>169.7</v>
      </c>
      <c r="K3237" s="3"/>
      <c r="O3237" s="3"/>
    </row>
    <row r="3238" spans="1:15">
      <c r="A3238" s="3">
        <v>39762</v>
      </c>
      <c r="B3238" s="3">
        <v>39762</v>
      </c>
      <c r="C3238">
        <v>120</v>
      </c>
      <c r="D3238">
        <v>1.2747999999999999</v>
      </c>
      <c r="E3238">
        <v>59.08</v>
      </c>
      <c r="F3238">
        <v>175.2</v>
      </c>
      <c r="K3238" s="3"/>
      <c r="O3238" s="3"/>
    </row>
    <row r="3239" spans="1:15">
      <c r="A3239" s="3">
        <v>39763</v>
      </c>
      <c r="B3239" s="3">
        <v>39763</v>
      </c>
      <c r="C3239">
        <v>120.02</v>
      </c>
      <c r="D3239">
        <v>1.2522</v>
      </c>
      <c r="E3239">
        <v>55.71</v>
      </c>
      <c r="F3239">
        <v>164.8</v>
      </c>
      <c r="K3239" s="3"/>
      <c r="O3239" s="3"/>
    </row>
    <row r="3240" spans="1:15">
      <c r="A3240" s="3">
        <v>39764</v>
      </c>
      <c r="B3240" s="3">
        <v>39764</v>
      </c>
      <c r="C3240">
        <v>120.16</v>
      </c>
      <c r="D3240">
        <v>1.2504999999999999</v>
      </c>
      <c r="E3240">
        <v>52.37</v>
      </c>
      <c r="F3240">
        <v>165.55</v>
      </c>
      <c r="K3240" s="3"/>
      <c r="O3240" s="3"/>
    </row>
    <row r="3241" spans="1:15">
      <c r="A3241" s="3">
        <v>39765</v>
      </c>
      <c r="B3241" s="3">
        <v>39765</v>
      </c>
      <c r="C3241">
        <v>120.15</v>
      </c>
      <c r="D3241">
        <v>1.2768999999999999</v>
      </c>
      <c r="E3241">
        <v>51.99</v>
      </c>
      <c r="F3241">
        <v>162.4</v>
      </c>
      <c r="K3241" s="3"/>
      <c r="O3241" s="3"/>
    </row>
    <row r="3242" spans="1:15">
      <c r="A3242" s="3">
        <v>39766</v>
      </c>
      <c r="B3242" s="3">
        <v>39766</v>
      </c>
      <c r="C3242">
        <v>120.13</v>
      </c>
      <c r="D3242">
        <v>1.2605</v>
      </c>
      <c r="E3242">
        <v>54.24</v>
      </c>
      <c r="F3242">
        <v>170.8</v>
      </c>
      <c r="K3242" s="3"/>
      <c r="O3242" s="3"/>
    </row>
    <row r="3243" spans="1:15">
      <c r="A3243" s="3">
        <v>39767</v>
      </c>
      <c r="B3243" s="3">
        <v>39767</v>
      </c>
      <c r="C3243">
        <v>120.13</v>
      </c>
      <c r="D3243">
        <v>1.2605</v>
      </c>
      <c r="E3243">
        <v>54.24</v>
      </c>
      <c r="F3243">
        <v>170.8</v>
      </c>
      <c r="K3243" s="3"/>
      <c r="O3243" s="3"/>
    </row>
    <row r="3244" spans="1:15">
      <c r="A3244" s="3">
        <v>39768</v>
      </c>
      <c r="B3244" s="3">
        <v>39768</v>
      </c>
      <c r="C3244">
        <v>120.13</v>
      </c>
      <c r="D3244">
        <v>1.2605</v>
      </c>
      <c r="E3244">
        <v>54.24</v>
      </c>
      <c r="F3244">
        <v>170.8</v>
      </c>
      <c r="K3244" s="3"/>
      <c r="O3244" s="3"/>
    </row>
    <row r="3245" spans="1:15">
      <c r="A3245" s="3">
        <v>39769</v>
      </c>
      <c r="B3245" s="3">
        <v>39769</v>
      </c>
      <c r="C3245">
        <v>120.14</v>
      </c>
      <c r="D3245">
        <v>1.2649999999999999</v>
      </c>
      <c r="E3245">
        <v>52.31</v>
      </c>
      <c r="F3245">
        <v>165.65</v>
      </c>
      <c r="K3245" s="3"/>
      <c r="O3245" s="3"/>
    </row>
    <row r="3246" spans="1:15">
      <c r="A3246" s="3">
        <v>39770</v>
      </c>
      <c r="B3246" s="3">
        <v>39770</v>
      </c>
      <c r="C3246">
        <v>120.11</v>
      </c>
      <c r="D3246">
        <v>1.2618</v>
      </c>
      <c r="E3246">
        <v>51.84</v>
      </c>
      <c r="F3246">
        <v>166.2</v>
      </c>
      <c r="K3246" s="3"/>
      <c r="O3246" s="3"/>
    </row>
    <row r="3247" spans="1:15">
      <c r="A3247" s="3">
        <v>39771</v>
      </c>
      <c r="B3247" s="3">
        <v>39771</v>
      </c>
      <c r="C3247">
        <v>120.19</v>
      </c>
      <c r="D3247">
        <v>1.2488999999999999</v>
      </c>
      <c r="E3247">
        <v>51.72</v>
      </c>
      <c r="F3247">
        <v>160.15</v>
      </c>
      <c r="K3247" s="3"/>
      <c r="O3247" s="3"/>
    </row>
    <row r="3248" spans="1:15">
      <c r="A3248" s="3">
        <v>39772</v>
      </c>
      <c r="B3248" s="3">
        <v>39772</v>
      </c>
      <c r="C3248">
        <v>120.23</v>
      </c>
      <c r="D3248">
        <v>1.2453000000000001</v>
      </c>
      <c r="E3248">
        <v>48.08</v>
      </c>
      <c r="F3248">
        <v>157.55000000000001</v>
      </c>
      <c r="K3248" s="3"/>
      <c r="O3248" s="3"/>
    </row>
    <row r="3249" spans="1:15">
      <c r="A3249" s="3">
        <v>39773</v>
      </c>
      <c r="B3249" s="3">
        <v>39773</v>
      </c>
      <c r="C3249">
        <v>120.18</v>
      </c>
      <c r="D3249">
        <v>1.2586999999999999</v>
      </c>
      <c r="E3249">
        <v>49.19</v>
      </c>
      <c r="F3249">
        <v>157.9</v>
      </c>
      <c r="K3249" s="3"/>
      <c r="O3249" s="3"/>
    </row>
    <row r="3250" spans="1:15">
      <c r="A3250" s="3">
        <v>39774</v>
      </c>
      <c r="B3250" s="3">
        <v>39774</v>
      </c>
      <c r="C3250">
        <v>120.18</v>
      </c>
      <c r="D3250">
        <v>1.2586999999999999</v>
      </c>
      <c r="E3250">
        <v>49.19</v>
      </c>
      <c r="F3250">
        <v>157.9</v>
      </c>
      <c r="K3250" s="3"/>
      <c r="O3250" s="3"/>
    </row>
    <row r="3251" spans="1:15">
      <c r="A3251" s="3">
        <v>39775</v>
      </c>
      <c r="B3251" s="3">
        <v>39775</v>
      </c>
      <c r="C3251">
        <v>120.18</v>
      </c>
      <c r="D3251">
        <v>1.2586999999999999</v>
      </c>
      <c r="E3251">
        <v>49.19</v>
      </c>
      <c r="F3251">
        <v>157.9</v>
      </c>
      <c r="K3251" s="3"/>
      <c r="O3251" s="3"/>
    </row>
    <row r="3252" spans="1:15">
      <c r="A3252" s="3">
        <v>39776</v>
      </c>
      <c r="B3252" s="3">
        <v>39776</v>
      </c>
      <c r="C3252">
        <v>120.17</v>
      </c>
      <c r="D3252">
        <v>1.2952999999999999</v>
      </c>
      <c r="E3252">
        <v>53.93</v>
      </c>
      <c r="F3252">
        <v>167.35</v>
      </c>
      <c r="K3252" s="3"/>
      <c r="O3252" s="3"/>
    </row>
    <row r="3253" spans="1:15">
      <c r="A3253" s="3">
        <v>39777</v>
      </c>
      <c r="B3253" s="3">
        <v>39777</v>
      </c>
      <c r="C3253">
        <v>120.27</v>
      </c>
      <c r="D3253">
        <v>1.3065</v>
      </c>
      <c r="E3253">
        <v>50.35</v>
      </c>
      <c r="F3253">
        <v>165.3</v>
      </c>
      <c r="K3253" s="3"/>
      <c r="O3253" s="3"/>
    </row>
    <row r="3254" spans="1:15">
      <c r="A3254" s="3">
        <v>39778</v>
      </c>
      <c r="B3254" s="3">
        <v>39778</v>
      </c>
      <c r="C3254">
        <v>120.29</v>
      </c>
      <c r="D3254">
        <v>1.288</v>
      </c>
      <c r="E3254">
        <v>53.92</v>
      </c>
      <c r="F3254">
        <v>166.8</v>
      </c>
      <c r="K3254" s="3"/>
      <c r="O3254" s="3"/>
    </row>
    <row r="3255" spans="1:15">
      <c r="A3255" s="3">
        <v>39779</v>
      </c>
      <c r="B3255" s="3">
        <v>39779</v>
      </c>
      <c r="C3255">
        <v>120.37</v>
      </c>
      <c r="D3255">
        <v>1.2904</v>
      </c>
      <c r="E3255">
        <v>53.13</v>
      </c>
      <c r="F3255">
        <v>166.8</v>
      </c>
      <c r="K3255" s="3"/>
      <c r="O3255" s="3"/>
    </row>
    <row r="3256" spans="1:15">
      <c r="A3256" s="3">
        <v>39780</v>
      </c>
      <c r="B3256" s="3">
        <v>39780</v>
      </c>
      <c r="C3256">
        <v>120.39</v>
      </c>
      <c r="D3256">
        <v>1.2690999999999999</v>
      </c>
      <c r="E3256">
        <v>53.49</v>
      </c>
      <c r="F3256">
        <v>162.35</v>
      </c>
      <c r="K3256" s="3"/>
      <c r="O3256" s="3"/>
    </row>
    <row r="3257" spans="1:15">
      <c r="A3257" s="3">
        <v>39781</v>
      </c>
      <c r="B3257" s="3">
        <v>39781</v>
      </c>
      <c r="C3257">
        <v>120.39</v>
      </c>
      <c r="D3257">
        <v>1.2690999999999999</v>
      </c>
      <c r="E3257">
        <v>53.49</v>
      </c>
      <c r="F3257">
        <v>162.35</v>
      </c>
      <c r="K3257" s="3"/>
      <c r="O3257" s="3"/>
    </row>
    <row r="3258" spans="1:15">
      <c r="A3258" s="3">
        <v>39782</v>
      </c>
      <c r="B3258" s="3">
        <v>39782</v>
      </c>
      <c r="C3258">
        <v>120.39</v>
      </c>
      <c r="D3258">
        <v>1.2690999999999999</v>
      </c>
      <c r="E3258">
        <v>53.49</v>
      </c>
      <c r="F3258">
        <v>162.35</v>
      </c>
      <c r="K3258" s="3"/>
      <c r="O3258" s="3"/>
    </row>
    <row r="3259" spans="1:15">
      <c r="A3259" s="3">
        <v>39783</v>
      </c>
      <c r="B3259" s="3">
        <v>39783</v>
      </c>
      <c r="C3259">
        <v>120.5</v>
      </c>
      <c r="D3259">
        <v>1.2611000000000001</v>
      </c>
      <c r="E3259">
        <v>47.97</v>
      </c>
      <c r="F3259">
        <v>160.35</v>
      </c>
      <c r="K3259" s="3"/>
      <c r="O3259" s="3"/>
    </row>
    <row r="3260" spans="1:15">
      <c r="A3260" s="3">
        <v>39784</v>
      </c>
      <c r="B3260" s="3">
        <v>39784</v>
      </c>
      <c r="C3260">
        <v>120.51</v>
      </c>
      <c r="D3260">
        <v>1.2714000000000001</v>
      </c>
      <c r="E3260">
        <v>45.44</v>
      </c>
      <c r="F3260">
        <v>157.85</v>
      </c>
      <c r="K3260" s="3"/>
      <c r="O3260" s="3"/>
    </row>
    <row r="3261" spans="1:15">
      <c r="A3261" s="3">
        <v>39785</v>
      </c>
      <c r="B3261" s="3">
        <v>39785</v>
      </c>
      <c r="C3261">
        <v>120.51</v>
      </c>
      <c r="D3261">
        <v>1.2717000000000001</v>
      </c>
      <c r="E3261">
        <v>45.44</v>
      </c>
      <c r="F3261">
        <v>153.35</v>
      </c>
      <c r="K3261" s="3"/>
      <c r="O3261" s="3"/>
    </row>
    <row r="3262" spans="1:15">
      <c r="A3262" s="3">
        <v>39786</v>
      </c>
      <c r="B3262" s="3">
        <v>39786</v>
      </c>
      <c r="C3262">
        <v>120.4</v>
      </c>
      <c r="D3262">
        <v>1.2777000000000001</v>
      </c>
      <c r="E3262">
        <v>42.28</v>
      </c>
      <c r="F3262">
        <v>145.19999999999999</v>
      </c>
      <c r="K3262" s="3"/>
      <c r="O3262" s="3"/>
    </row>
    <row r="3263" spans="1:15">
      <c r="A3263" s="3">
        <v>39787</v>
      </c>
      <c r="B3263" s="3">
        <v>39787</v>
      </c>
      <c r="C3263">
        <v>120.37</v>
      </c>
      <c r="D3263">
        <v>1.2718</v>
      </c>
      <c r="E3263">
        <v>39.74</v>
      </c>
      <c r="F3263">
        <v>135.5</v>
      </c>
      <c r="K3263" s="3"/>
      <c r="O3263" s="3"/>
    </row>
    <row r="3264" spans="1:15">
      <c r="A3264" s="3">
        <v>39788</v>
      </c>
      <c r="B3264" s="3">
        <v>39788</v>
      </c>
      <c r="C3264">
        <v>120.37</v>
      </c>
      <c r="D3264">
        <v>1.2718</v>
      </c>
      <c r="E3264">
        <v>39.74</v>
      </c>
      <c r="F3264">
        <v>135.5</v>
      </c>
      <c r="K3264" s="3"/>
      <c r="O3264" s="3"/>
    </row>
    <row r="3265" spans="1:15">
      <c r="A3265" s="3">
        <v>39789</v>
      </c>
      <c r="B3265" s="3">
        <v>39789</v>
      </c>
      <c r="C3265">
        <v>120.37</v>
      </c>
      <c r="D3265">
        <v>1.2718</v>
      </c>
      <c r="E3265">
        <v>39.74</v>
      </c>
      <c r="F3265">
        <v>135.5</v>
      </c>
      <c r="K3265" s="3"/>
      <c r="O3265" s="3"/>
    </row>
    <row r="3266" spans="1:15">
      <c r="A3266" s="3">
        <v>39790</v>
      </c>
      <c r="B3266" s="3">
        <v>39790</v>
      </c>
      <c r="C3266">
        <v>120.36</v>
      </c>
      <c r="D3266">
        <v>1.2963</v>
      </c>
      <c r="E3266">
        <v>43.42</v>
      </c>
      <c r="F3266">
        <v>147.80000000000001</v>
      </c>
      <c r="K3266" s="3"/>
      <c r="O3266" s="3"/>
    </row>
    <row r="3267" spans="1:15">
      <c r="A3267" s="3">
        <v>39791</v>
      </c>
      <c r="B3267" s="3">
        <v>39791</v>
      </c>
      <c r="C3267">
        <v>120.49</v>
      </c>
      <c r="D3267">
        <v>1.2927</v>
      </c>
      <c r="E3267">
        <v>41.53</v>
      </c>
      <c r="F3267">
        <v>142.15</v>
      </c>
      <c r="K3267" s="3"/>
      <c r="O3267" s="3"/>
    </row>
    <row r="3268" spans="1:15">
      <c r="A3268" s="3">
        <v>39792</v>
      </c>
      <c r="B3268" s="3">
        <v>39792</v>
      </c>
      <c r="C3268">
        <v>120.46</v>
      </c>
      <c r="D3268">
        <v>1.3023</v>
      </c>
      <c r="E3268">
        <v>42.4</v>
      </c>
      <c r="F3268">
        <v>146.9</v>
      </c>
      <c r="K3268" s="3"/>
      <c r="O3268" s="3"/>
    </row>
    <row r="3269" spans="1:15">
      <c r="A3269" s="3">
        <v>39793</v>
      </c>
      <c r="B3269" s="3">
        <v>39793</v>
      </c>
      <c r="C3269">
        <v>120.48</v>
      </c>
      <c r="D3269">
        <v>1.3351999999999999</v>
      </c>
      <c r="E3269">
        <v>47.39</v>
      </c>
      <c r="F3269">
        <v>148.65</v>
      </c>
      <c r="K3269" s="3"/>
      <c r="O3269" s="3"/>
    </row>
    <row r="3270" spans="1:15">
      <c r="A3270" s="3">
        <v>39794</v>
      </c>
      <c r="B3270" s="3">
        <v>39794</v>
      </c>
      <c r="C3270">
        <v>120.52</v>
      </c>
      <c r="D3270">
        <v>1.3369</v>
      </c>
      <c r="E3270">
        <v>46.41</v>
      </c>
      <c r="F3270">
        <v>140.6</v>
      </c>
      <c r="K3270" s="3"/>
      <c r="O3270" s="3"/>
    </row>
    <row r="3271" spans="1:15">
      <c r="A3271" s="3">
        <v>39795</v>
      </c>
      <c r="B3271" s="3">
        <v>39795</v>
      </c>
      <c r="C3271">
        <v>120.52</v>
      </c>
      <c r="D3271">
        <v>1.3369</v>
      </c>
      <c r="E3271">
        <v>46.41</v>
      </c>
      <c r="F3271">
        <v>140.6</v>
      </c>
      <c r="K3271" s="3"/>
      <c r="O3271" s="3"/>
    </row>
    <row r="3272" spans="1:15">
      <c r="A3272" s="3">
        <v>39796</v>
      </c>
      <c r="B3272" s="3">
        <v>39796</v>
      </c>
      <c r="C3272">
        <v>120.52</v>
      </c>
      <c r="D3272">
        <v>1.3369</v>
      </c>
      <c r="E3272">
        <v>46.41</v>
      </c>
      <c r="F3272">
        <v>140.6</v>
      </c>
      <c r="K3272" s="3"/>
      <c r="O3272" s="3"/>
    </row>
    <row r="3273" spans="1:15">
      <c r="A3273" s="3">
        <v>39797</v>
      </c>
      <c r="B3273" s="3">
        <v>39797</v>
      </c>
      <c r="C3273">
        <v>120.71</v>
      </c>
      <c r="D3273">
        <v>1.3688</v>
      </c>
      <c r="E3273">
        <v>44.6</v>
      </c>
      <c r="F3273">
        <v>138.5</v>
      </c>
      <c r="K3273" s="3"/>
      <c r="O3273" s="3"/>
    </row>
    <row r="3274" spans="1:15">
      <c r="A3274" s="3">
        <v>39798</v>
      </c>
      <c r="B3274" s="3">
        <v>39798</v>
      </c>
      <c r="C3274">
        <v>120.71</v>
      </c>
      <c r="D3274">
        <v>1.4001999999999999</v>
      </c>
      <c r="E3274">
        <v>44.56</v>
      </c>
      <c r="F3274">
        <v>135.44999999999999</v>
      </c>
      <c r="K3274" s="3"/>
      <c r="O3274" s="3"/>
    </row>
    <row r="3275" spans="1:15">
      <c r="A3275" s="3">
        <v>39799</v>
      </c>
      <c r="B3275" s="3">
        <v>39799</v>
      </c>
      <c r="C3275">
        <v>120.73</v>
      </c>
      <c r="D3275">
        <v>1.4419999999999999</v>
      </c>
      <c r="E3275">
        <v>45.53</v>
      </c>
      <c r="F3275">
        <v>134.69999999999999</v>
      </c>
      <c r="K3275" s="3"/>
      <c r="O3275" s="3"/>
    </row>
    <row r="3276" spans="1:15">
      <c r="A3276" s="3">
        <v>39800</v>
      </c>
      <c r="B3276" s="3">
        <v>39800</v>
      </c>
      <c r="C3276">
        <v>120.73</v>
      </c>
      <c r="D3276">
        <v>1.4239999999999999</v>
      </c>
      <c r="E3276">
        <v>43.36</v>
      </c>
      <c r="F3276">
        <v>126.95</v>
      </c>
      <c r="K3276" s="3"/>
      <c r="O3276" s="3"/>
    </row>
    <row r="3277" spans="1:15">
      <c r="A3277" s="3">
        <v>39801</v>
      </c>
      <c r="B3277" s="3">
        <v>39801</v>
      </c>
      <c r="C3277">
        <v>120.8</v>
      </c>
      <c r="D3277">
        <v>1.3912</v>
      </c>
      <c r="E3277">
        <v>44</v>
      </c>
      <c r="F3277">
        <v>130.5</v>
      </c>
      <c r="K3277" s="3"/>
      <c r="O3277" s="3"/>
    </row>
    <row r="3278" spans="1:15">
      <c r="A3278" s="3">
        <v>39802</v>
      </c>
      <c r="B3278" s="3">
        <v>39802</v>
      </c>
      <c r="C3278">
        <v>120.8</v>
      </c>
      <c r="D3278">
        <v>1.3912</v>
      </c>
      <c r="E3278">
        <v>44</v>
      </c>
      <c r="F3278">
        <v>130.5</v>
      </c>
      <c r="K3278" s="3"/>
      <c r="O3278" s="3"/>
    </row>
    <row r="3279" spans="1:15">
      <c r="A3279" s="3">
        <v>39803</v>
      </c>
      <c r="B3279" s="3">
        <v>39803</v>
      </c>
      <c r="C3279">
        <v>120.8</v>
      </c>
      <c r="D3279">
        <v>1.3912</v>
      </c>
      <c r="E3279">
        <v>44</v>
      </c>
      <c r="F3279">
        <v>130.5</v>
      </c>
      <c r="K3279" s="3"/>
      <c r="O3279" s="3"/>
    </row>
    <row r="3280" spans="1:15">
      <c r="A3280" s="3">
        <v>39804</v>
      </c>
      <c r="B3280" s="3">
        <v>39804</v>
      </c>
      <c r="C3280">
        <v>120.82</v>
      </c>
      <c r="D3280">
        <v>1.3944000000000001</v>
      </c>
      <c r="E3280">
        <v>41.45</v>
      </c>
      <c r="F3280">
        <v>131.69999999999999</v>
      </c>
      <c r="K3280" s="3"/>
      <c r="O3280" s="3"/>
    </row>
    <row r="3281" spans="1:15">
      <c r="A3281" s="3">
        <v>39805</v>
      </c>
      <c r="B3281" s="3">
        <v>39805</v>
      </c>
      <c r="C3281">
        <v>120.75</v>
      </c>
      <c r="D3281">
        <v>1.3929</v>
      </c>
      <c r="E3281">
        <v>40.36</v>
      </c>
      <c r="F3281">
        <v>125.3</v>
      </c>
      <c r="K3281" s="3"/>
      <c r="O3281" s="3"/>
    </row>
    <row r="3282" spans="1:15">
      <c r="A3282" s="3">
        <v>39806</v>
      </c>
      <c r="B3282" s="3">
        <v>39806</v>
      </c>
      <c r="C3282">
        <v>120.78</v>
      </c>
      <c r="D3282">
        <v>1.4013</v>
      </c>
      <c r="E3282">
        <v>36.61</v>
      </c>
      <c r="F3282">
        <v>124.75</v>
      </c>
      <c r="K3282" s="3"/>
      <c r="O3282" s="3"/>
    </row>
    <row r="3283" spans="1:15">
      <c r="A3283" s="3">
        <v>39807</v>
      </c>
      <c r="B3283" s="3">
        <v>39807</v>
      </c>
      <c r="C3283">
        <v>120.74</v>
      </c>
      <c r="D3283">
        <v>1.4025000000000001</v>
      </c>
      <c r="E3283">
        <v>36.61</v>
      </c>
      <c r="F3283">
        <v>124.75</v>
      </c>
      <c r="K3283" s="3"/>
      <c r="O3283" s="3"/>
    </row>
    <row r="3284" spans="1:15">
      <c r="A3284" s="3">
        <v>39808</v>
      </c>
      <c r="B3284" s="3">
        <v>39808</v>
      </c>
      <c r="C3284">
        <v>120.78</v>
      </c>
      <c r="D3284">
        <v>1.4028</v>
      </c>
      <c r="E3284">
        <v>38.369999999999997</v>
      </c>
      <c r="F3284">
        <v>127.45</v>
      </c>
      <c r="K3284" s="3"/>
      <c r="O3284" s="3"/>
    </row>
    <row r="3285" spans="1:15">
      <c r="A3285" s="3">
        <v>39809</v>
      </c>
      <c r="B3285" s="3">
        <v>39809</v>
      </c>
      <c r="C3285">
        <v>120.78</v>
      </c>
      <c r="D3285">
        <v>1.4028</v>
      </c>
      <c r="E3285">
        <v>38.369999999999997</v>
      </c>
      <c r="F3285">
        <v>127.45</v>
      </c>
      <c r="K3285" s="3"/>
      <c r="O3285" s="3"/>
    </row>
    <row r="3286" spans="1:15">
      <c r="A3286" s="3">
        <v>39810</v>
      </c>
      <c r="B3286" s="3">
        <v>39810</v>
      </c>
      <c r="C3286">
        <v>120.78</v>
      </c>
      <c r="D3286">
        <v>1.4028</v>
      </c>
      <c r="E3286">
        <v>38.369999999999997</v>
      </c>
      <c r="F3286">
        <v>127.45</v>
      </c>
      <c r="K3286" s="3"/>
      <c r="O3286" s="3"/>
    </row>
    <row r="3287" spans="1:15">
      <c r="A3287" s="3">
        <v>39811</v>
      </c>
      <c r="B3287" s="3">
        <v>39811</v>
      </c>
      <c r="C3287">
        <v>120.91</v>
      </c>
      <c r="D3287">
        <v>1.3927</v>
      </c>
      <c r="E3287">
        <v>40.549999999999997</v>
      </c>
      <c r="F3287">
        <v>129.69999999999999</v>
      </c>
      <c r="K3287" s="3"/>
      <c r="O3287" s="3"/>
    </row>
    <row r="3288" spans="1:15">
      <c r="A3288" s="3">
        <v>39812</v>
      </c>
      <c r="B3288" s="3">
        <v>39812</v>
      </c>
      <c r="C3288">
        <v>120.83</v>
      </c>
      <c r="D3288">
        <v>1.4056999999999999</v>
      </c>
      <c r="E3288">
        <v>40.15</v>
      </c>
      <c r="F3288">
        <v>132.05000000000001</v>
      </c>
      <c r="K3288" s="3"/>
      <c r="O3288" s="3"/>
    </row>
    <row r="3289" spans="1:15">
      <c r="A3289" s="3">
        <v>39813</v>
      </c>
      <c r="B3289" s="3">
        <v>39813</v>
      </c>
      <c r="C3289">
        <v>120.88</v>
      </c>
      <c r="D3289">
        <v>1.3971</v>
      </c>
      <c r="E3289">
        <v>45.59</v>
      </c>
      <c r="F3289">
        <v>141</v>
      </c>
      <c r="K3289" s="3"/>
      <c r="O3289" s="3"/>
    </row>
    <row r="3290" spans="1:15">
      <c r="A3290" s="3">
        <v>39814</v>
      </c>
      <c r="B3290" s="3">
        <v>39814</v>
      </c>
      <c r="C3290">
        <v>120.88</v>
      </c>
      <c r="D3290">
        <v>1.4045000000000001</v>
      </c>
      <c r="E3290">
        <v>45.59</v>
      </c>
      <c r="F3290">
        <v>141</v>
      </c>
      <c r="K3290" s="3"/>
      <c r="O3290" s="3"/>
    </row>
    <row r="3291" spans="1:15">
      <c r="A3291" s="3">
        <v>39815</v>
      </c>
      <c r="B3291" s="3">
        <v>39815</v>
      </c>
      <c r="C3291">
        <v>120.88</v>
      </c>
      <c r="D3291">
        <v>1.3920999999999999</v>
      </c>
      <c r="E3291">
        <v>46.91</v>
      </c>
      <c r="F3291">
        <v>146.1</v>
      </c>
      <c r="K3291" s="3"/>
      <c r="O3291" s="3"/>
    </row>
    <row r="3292" spans="1:15">
      <c r="A3292" s="3">
        <v>39816</v>
      </c>
      <c r="B3292" s="3">
        <v>39816</v>
      </c>
      <c r="C3292">
        <v>120.88</v>
      </c>
      <c r="D3292">
        <v>1.3920999999999999</v>
      </c>
      <c r="E3292">
        <v>46.91</v>
      </c>
      <c r="F3292">
        <v>146.1</v>
      </c>
      <c r="K3292" s="3"/>
      <c r="O3292" s="3"/>
    </row>
    <row r="3293" spans="1:15">
      <c r="A3293" s="3">
        <v>39817</v>
      </c>
      <c r="B3293" s="3">
        <v>39817</v>
      </c>
      <c r="C3293">
        <v>120.88</v>
      </c>
      <c r="D3293">
        <v>1.3920999999999999</v>
      </c>
      <c r="E3293">
        <v>46.91</v>
      </c>
      <c r="F3293">
        <v>146.1</v>
      </c>
      <c r="K3293" s="3"/>
      <c r="O3293" s="3"/>
    </row>
    <row r="3294" spans="1:15">
      <c r="A3294" s="3">
        <v>39818</v>
      </c>
      <c r="B3294" s="3">
        <v>39818</v>
      </c>
      <c r="C3294">
        <v>120.99</v>
      </c>
      <c r="D3294">
        <v>1.3634999999999999</v>
      </c>
      <c r="E3294">
        <v>49.62</v>
      </c>
      <c r="F3294">
        <v>145.9</v>
      </c>
      <c r="K3294" s="3"/>
      <c r="O3294" s="3"/>
    </row>
    <row r="3295" spans="1:15">
      <c r="A3295" s="3">
        <v>39819</v>
      </c>
      <c r="B3295" s="3">
        <v>39819</v>
      </c>
      <c r="C3295">
        <v>120.98</v>
      </c>
      <c r="D3295">
        <v>1.3535999999999999</v>
      </c>
      <c r="E3295">
        <v>50.53</v>
      </c>
      <c r="F3295">
        <v>158.30000000000001</v>
      </c>
      <c r="K3295" s="3"/>
      <c r="O3295" s="3"/>
    </row>
    <row r="3296" spans="1:15">
      <c r="A3296" s="3">
        <v>39820</v>
      </c>
      <c r="B3296" s="3">
        <v>39820</v>
      </c>
      <c r="C3296">
        <v>121</v>
      </c>
      <c r="D3296">
        <v>1.3644000000000001</v>
      </c>
      <c r="E3296">
        <v>45.86</v>
      </c>
      <c r="F3296">
        <v>151.15</v>
      </c>
      <c r="K3296" s="3"/>
      <c r="O3296" s="3"/>
    </row>
    <row r="3297" spans="1:15">
      <c r="A3297" s="3">
        <v>39821</v>
      </c>
      <c r="B3297" s="3">
        <v>39821</v>
      </c>
      <c r="C3297">
        <v>121.01</v>
      </c>
      <c r="D3297">
        <v>1.3702000000000001</v>
      </c>
      <c r="E3297">
        <v>44.67</v>
      </c>
      <c r="F3297">
        <v>147.9</v>
      </c>
      <c r="K3297" s="3"/>
      <c r="O3297" s="3"/>
    </row>
    <row r="3298" spans="1:15">
      <c r="A3298" s="3">
        <v>39822</v>
      </c>
      <c r="B3298" s="3">
        <v>39822</v>
      </c>
      <c r="C3298">
        <v>121.04</v>
      </c>
      <c r="D3298">
        <v>1.3475999999999999</v>
      </c>
      <c r="E3298">
        <v>44.42</v>
      </c>
      <c r="F3298">
        <v>155.94999999999999</v>
      </c>
      <c r="K3298" s="3"/>
      <c r="O3298" s="3"/>
    </row>
    <row r="3299" spans="1:15">
      <c r="A3299" s="3">
        <v>39823</v>
      </c>
      <c r="B3299" s="3">
        <v>39823</v>
      </c>
      <c r="C3299">
        <v>121.04</v>
      </c>
      <c r="D3299">
        <v>1.3475999999999999</v>
      </c>
      <c r="E3299">
        <v>44.42</v>
      </c>
      <c r="F3299">
        <v>155.94999999999999</v>
      </c>
      <c r="K3299" s="3"/>
      <c r="O3299" s="3"/>
    </row>
    <row r="3300" spans="1:15">
      <c r="A3300" s="3">
        <v>39824</v>
      </c>
      <c r="B3300" s="3">
        <v>39824</v>
      </c>
      <c r="C3300">
        <v>121.04</v>
      </c>
      <c r="D3300">
        <v>1.3475999999999999</v>
      </c>
      <c r="E3300">
        <v>44.42</v>
      </c>
      <c r="F3300">
        <v>155.94999999999999</v>
      </c>
      <c r="K3300" s="3"/>
      <c r="O3300" s="3"/>
    </row>
    <row r="3301" spans="1:15">
      <c r="A3301" s="3">
        <v>39825</v>
      </c>
      <c r="B3301" s="3">
        <v>39825</v>
      </c>
      <c r="C3301">
        <v>121.11</v>
      </c>
      <c r="D3301">
        <v>1.3362000000000001</v>
      </c>
      <c r="E3301">
        <v>42.91</v>
      </c>
      <c r="F3301">
        <v>148.85</v>
      </c>
      <c r="K3301" s="3"/>
      <c r="O3301" s="3"/>
    </row>
    <row r="3302" spans="1:15">
      <c r="A3302" s="3">
        <v>39826</v>
      </c>
      <c r="B3302" s="3">
        <v>39826</v>
      </c>
      <c r="C3302">
        <v>121.16</v>
      </c>
      <c r="D3302">
        <v>1.3182</v>
      </c>
      <c r="E3302">
        <v>44.83</v>
      </c>
      <c r="F3302">
        <v>154.69999999999999</v>
      </c>
      <c r="K3302" s="3"/>
      <c r="O3302" s="3"/>
    </row>
    <row r="3303" spans="1:15">
      <c r="A3303" s="3">
        <v>39827</v>
      </c>
      <c r="B3303" s="3">
        <v>39827</v>
      </c>
      <c r="C3303">
        <v>121.28</v>
      </c>
      <c r="D3303">
        <v>1.3190999999999999</v>
      </c>
      <c r="E3303">
        <v>45.08</v>
      </c>
      <c r="F3303">
        <v>148.75</v>
      </c>
      <c r="K3303" s="3"/>
      <c r="O3303" s="3"/>
    </row>
    <row r="3304" spans="1:15">
      <c r="A3304" s="3">
        <v>39828</v>
      </c>
      <c r="B3304" s="3">
        <v>39828</v>
      </c>
      <c r="C3304">
        <v>121.45</v>
      </c>
      <c r="D3304">
        <v>1.3115000000000001</v>
      </c>
      <c r="E3304">
        <v>44.69</v>
      </c>
      <c r="F3304">
        <v>145.35</v>
      </c>
      <c r="K3304" s="3"/>
      <c r="O3304" s="3"/>
    </row>
    <row r="3305" spans="1:15">
      <c r="A3305" s="3">
        <v>39829</v>
      </c>
      <c r="B3305" s="3">
        <v>39829</v>
      </c>
      <c r="C3305">
        <v>121.38</v>
      </c>
      <c r="D3305">
        <v>1.3267</v>
      </c>
      <c r="E3305">
        <v>46.57</v>
      </c>
      <c r="F3305">
        <v>152.75</v>
      </c>
      <c r="K3305" s="3"/>
      <c r="O3305" s="3"/>
    </row>
    <row r="3306" spans="1:15">
      <c r="A3306" s="3">
        <v>39830</v>
      </c>
      <c r="B3306" s="3">
        <v>39830</v>
      </c>
      <c r="C3306">
        <v>121.38</v>
      </c>
      <c r="D3306">
        <v>1.3267</v>
      </c>
      <c r="E3306">
        <v>46.57</v>
      </c>
      <c r="F3306">
        <v>152.75</v>
      </c>
      <c r="K3306" s="3"/>
      <c r="O3306" s="3"/>
    </row>
    <row r="3307" spans="1:15">
      <c r="A3307" s="3">
        <v>39831</v>
      </c>
      <c r="B3307" s="3">
        <v>39831</v>
      </c>
      <c r="C3307">
        <v>121.38</v>
      </c>
      <c r="D3307">
        <v>1.3267</v>
      </c>
      <c r="E3307">
        <v>46.57</v>
      </c>
      <c r="F3307">
        <v>152.75</v>
      </c>
      <c r="K3307" s="3"/>
      <c r="O3307" s="3"/>
    </row>
    <row r="3308" spans="1:15">
      <c r="A3308" s="3">
        <v>39832</v>
      </c>
      <c r="B3308" s="3">
        <v>39832</v>
      </c>
      <c r="C3308">
        <v>121.3</v>
      </c>
      <c r="D3308">
        <v>1.3069</v>
      </c>
      <c r="E3308">
        <v>44.5</v>
      </c>
      <c r="F3308">
        <v>152.75</v>
      </c>
      <c r="K3308" s="3"/>
      <c r="O3308" s="3"/>
    </row>
    <row r="3309" spans="1:15">
      <c r="A3309" s="3">
        <v>39833</v>
      </c>
      <c r="B3309" s="3">
        <v>39833</v>
      </c>
      <c r="C3309">
        <v>121.41</v>
      </c>
      <c r="D3309">
        <v>1.2904</v>
      </c>
      <c r="E3309">
        <v>43.62</v>
      </c>
      <c r="F3309">
        <v>150.44999999999999</v>
      </c>
      <c r="K3309" s="3"/>
      <c r="O3309" s="3"/>
    </row>
    <row r="3310" spans="1:15">
      <c r="A3310" s="3">
        <v>39834</v>
      </c>
      <c r="B3310" s="3">
        <v>39834</v>
      </c>
      <c r="C3310">
        <v>121.48</v>
      </c>
      <c r="D3310">
        <v>1.3023</v>
      </c>
      <c r="E3310">
        <v>45.02</v>
      </c>
      <c r="F3310">
        <v>143.35</v>
      </c>
      <c r="K3310" s="3"/>
      <c r="O3310" s="3"/>
    </row>
    <row r="3311" spans="1:15">
      <c r="A3311" s="3">
        <v>39835</v>
      </c>
      <c r="B3311" s="3">
        <v>39835</v>
      </c>
      <c r="C3311">
        <v>121.43</v>
      </c>
      <c r="D3311">
        <v>1.3001</v>
      </c>
      <c r="E3311">
        <v>45.39</v>
      </c>
      <c r="F3311">
        <v>139.6</v>
      </c>
      <c r="K3311" s="3"/>
      <c r="O3311" s="3"/>
    </row>
    <row r="3312" spans="1:15">
      <c r="A3312" s="3">
        <v>39836</v>
      </c>
      <c r="B3312" s="3">
        <v>39836</v>
      </c>
      <c r="C3312">
        <v>121.51</v>
      </c>
      <c r="D3312">
        <v>1.2975000000000001</v>
      </c>
      <c r="E3312">
        <v>48.37</v>
      </c>
      <c r="F3312">
        <v>147.19999999999999</v>
      </c>
      <c r="K3312" s="3"/>
      <c r="O3312" s="3"/>
    </row>
    <row r="3313" spans="1:15">
      <c r="A3313" s="3">
        <v>39837</v>
      </c>
      <c r="B3313" s="3">
        <v>39837</v>
      </c>
      <c r="C3313">
        <v>121.51</v>
      </c>
      <c r="D3313">
        <v>1.2975000000000001</v>
      </c>
      <c r="E3313">
        <v>48.37</v>
      </c>
      <c r="F3313">
        <v>147.19999999999999</v>
      </c>
      <c r="K3313" s="3"/>
      <c r="O3313" s="3"/>
    </row>
    <row r="3314" spans="1:15">
      <c r="A3314" s="3">
        <v>39838</v>
      </c>
      <c r="B3314" s="3">
        <v>39838</v>
      </c>
      <c r="C3314">
        <v>121.51</v>
      </c>
      <c r="D3314">
        <v>1.2975000000000001</v>
      </c>
      <c r="E3314">
        <v>48.37</v>
      </c>
      <c r="F3314">
        <v>147.19999999999999</v>
      </c>
      <c r="K3314" s="3"/>
      <c r="O3314" s="3"/>
    </row>
    <row r="3315" spans="1:15">
      <c r="A3315" s="3">
        <v>39839</v>
      </c>
      <c r="B3315" s="3">
        <v>39839</v>
      </c>
      <c r="C3315">
        <v>121.71</v>
      </c>
      <c r="D3315">
        <v>1.3189</v>
      </c>
      <c r="E3315">
        <v>46.96</v>
      </c>
      <c r="F3315">
        <v>158.65</v>
      </c>
      <c r="K3315" s="3"/>
      <c r="O3315" s="3"/>
    </row>
    <row r="3316" spans="1:15">
      <c r="A3316" s="3">
        <v>39840</v>
      </c>
      <c r="B3316" s="3">
        <v>39840</v>
      </c>
      <c r="C3316">
        <v>121.72</v>
      </c>
      <c r="D3316">
        <v>1.3160000000000001</v>
      </c>
      <c r="E3316">
        <v>43.73</v>
      </c>
      <c r="F3316">
        <v>148.44999999999999</v>
      </c>
      <c r="K3316" s="3"/>
      <c r="O3316" s="3"/>
    </row>
    <row r="3317" spans="1:15">
      <c r="A3317" s="3">
        <v>39841</v>
      </c>
      <c r="B3317" s="3">
        <v>39841</v>
      </c>
      <c r="C3317">
        <v>121.68</v>
      </c>
      <c r="D3317">
        <v>1.3166</v>
      </c>
      <c r="E3317">
        <v>44.9</v>
      </c>
      <c r="F3317">
        <v>149.6</v>
      </c>
      <c r="K3317" s="3"/>
      <c r="O3317" s="3"/>
    </row>
    <row r="3318" spans="1:15">
      <c r="A3318" s="3">
        <v>39842</v>
      </c>
      <c r="B3318" s="3">
        <v>39842</v>
      </c>
      <c r="C3318">
        <v>121.31</v>
      </c>
      <c r="D3318">
        <v>1.2954000000000001</v>
      </c>
      <c r="E3318">
        <v>45.4</v>
      </c>
      <c r="F3318">
        <v>145.75</v>
      </c>
      <c r="K3318" s="3"/>
      <c r="O3318" s="3"/>
    </row>
    <row r="3319" spans="1:15">
      <c r="A3319" s="3">
        <v>39843</v>
      </c>
      <c r="B3319" s="3">
        <v>39843</v>
      </c>
      <c r="C3319">
        <v>121.84</v>
      </c>
      <c r="D3319">
        <v>1.2813000000000001</v>
      </c>
      <c r="E3319">
        <v>45.88</v>
      </c>
      <c r="F3319">
        <v>146.85</v>
      </c>
      <c r="K3319" s="3"/>
      <c r="O3319" s="3"/>
    </row>
    <row r="3320" spans="1:15">
      <c r="A3320" s="3">
        <v>39844</v>
      </c>
      <c r="B3320" s="3">
        <v>39844</v>
      </c>
      <c r="C3320">
        <v>121.84</v>
      </c>
      <c r="D3320">
        <v>1.2813000000000001</v>
      </c>
      <c r="E3320">
        <v>45.88</v>
      </c>
      <c r="F3320">
        <v>146.85</v>
      </c>
      <c r="K3320" s="3"/>
      <c r="O3320" s="3"/>
    </row>
    <row r="3321" spans="1:15">
      <c r="A3321" s="3">
        <v>39845</v>
      </c>
      <c r="B3321" s="3">
        <v>39845</v>
      </c>
      <c r="C3321">
        <v>121.84</v>
      </c>
      <c r="D3321">
        <v>1.2813000000000001</v>
      </c>
      <c r="E3321">
        <v>45.88</v>
      </c>
      <c r="F3321">
        <v>146.85</v>
      </c>
      <c r="K3321" s="3"/>
      <c r="O3321" s="3"/>
    </row>
    <row r="3322" spans="1:15">
      <c r="A3322" s="3">
        <v>39846</v>
      </c>
      <c r="B3322" s="3">
        <v>39846</v>
      </c>
      <c r="C3322">
        <v>122.08</v>
      </c>
      <c r="D3322">
        <v>1.2843</v>
      </c>
      <c r="E3322">
        <v>43.82</v>
      </c>
      <c r="F3322">
        <v>143.1</v>
      </c>
      <c r="K3322" s="3"/>
      <c r="O3322" s="3"/>
    </row>
    <row r="3323" spans="1:15">
      <c r="A3323" s="3">
        <v>39847</v>
      </c>
      <c r="B3323" s="3">
        <v>39847</v>
      </c>
      <c r="C3323">
        <v>123.48</v>
      </c>
      <c r="D3323">
        <v>1.304</v>
      </c>
      <c r="E3323">
        <v>44.08</v>
      </c>
      <c r="F3323">
        <v>152.19999999999999</v>
      </c>
      <c r="K3323" s="3"/>
      <c r="O3323" s="3"/>
    </row>
    <row r="3324" spans="1:15">
      <c r="A3324" s="3">
        <v>39848</v>
      </c>
      <c r="B3324" s="3">
        <v>39848</v>
      </c>
      <c r="C3324">
        <v>149.65</v>
      </c>
      <c r="D3324">
        <v>1.2848999999999999</v>
      </c>
      <c r="E3324">
        <v>44.15</v>
      </c>
      <c r="F3324">
        <v>153.1</v>
      </c>
      <c r="K3324" s="3"/>
      <c r="O3324" s="3"/>
    </row>
    <row r="3325" spans="1:15">
      <c r="A3325" s="3">
        <v>39849</v>
      </c>
      <c r="B3325" s="3">
        <v>39849</v>
      </c>
      <c r="C3325">
        <v>150.11000000000001</v>
      </c>
      <c r="D3325">
        <v>1.2790999999999999</v>
      </c>
      <c r="E3325">
        <v>46.46</v>
      </c>
      <c r="F3325">
        <v>150</v>
      </c>
      <c r="K3325" s="3"/>
      <c r="O3325" s="3"/>
    </row>
    <row r="3326" spans="1:15">
      <c r="A3326" s="3">
        <v>39850</v>
      </c>
      <c r="B3326" s="3">
        <v>39850</v>
      </c>
      <c r="C3326">
        <v>148.83000000000001</v>
      </c>
      <c r="D3326">
        <v>1.294</v>
      </c>
      <c r="E3326">
        <v>46.21</v>
      </c>
      <c r="F3326">
        <v>162.85</v>
      </c>
      <c r="K3326" s="3"/>
      <c r="O3326" s="3"/>
    </row>
    <row r="3327" spans="1:15">
      <c r="A3327" s="3">
        <v>39851</v>
      </c>
      <c r="B3327" s="3">
        <v>39851</v>
      </c>
      <c r="C3327">
        <v>148.83000000000001</v>
      </c>
      <c r="D3327">
        <v>1.294</v>
      </c>
      <c r="E3327">
        <v>46.21</v>
      </c>
      <c r="F3327">
        <v>162.85</v>
      </c>
      <c r="K3327" s="3"/>
      <c r="O3327" s="3"/>
    </row>
    <row r="3328" spans="1:15">
      <c r="A3328" s="3">
        <v>39852</v>
      </c>
      <c r="B3328" s="3">
        <v>39852</v>
      </c>
      <c r="C3328">
        <v>148.83000000000001</v>
      </c>
      <c r="D3328">
        <v>1.294</v>
      </c>
      <c r="E3328">
        <v>46.21</v>
      </c>
      <c r="F3328">
        <v>162.85</v>
      </c>
      <c r="K3328" s="3"/>
      <c r="O3328" s="3"/>
    </row>
    <row r="3329" spans="1:15">
      <c r="A3329" s="3">
        <v>39853</v>
      </c>
      <c r="B3329" s="3">
        <v>39853</v>
      </c>
      <c r="C3329">
        <v>148.38</v>
      </c>
      <c r="D3329">
        <v>1.3003</v>
      </c>
      <c r="E3329">
        <v>46.02</v>
      </c>
      <c r="F3329">
        <v>161.30000000000001</v>
      </c>
      <c r="K3329" s="3"/>
      <c r="O3329" s="3"/>
    </row>
    <row r="3330" spans="1:15">
      <c r="A3330" s="3">
        <v>39854</v>
      </c>
      <c r="B3330" s="3">
        <v>39854</v>
      </c>
      <c r="C3330">
        <v>148.15</v>
      </c>
      <c r="D3330">
        <v>1.2912999999999999</v>
      </c>
      <c r="E3330">
        <v>44.61</v>
      </c>
      <c r="F3330">
        <v>157.6</v>
      </c>
      <c r="K3330" s="3"/>
      <c r="O3330" s="3"/>
    </row>
    <row r="3331" spans="1:15">
      <c r="A3331" s="3">
        <v>39855</v>
      </c>
      <c r="B3331" s="3">
        <v>39855</v>
      </c>
      <c r="C3331">
        <v>148.15</v>
      </c>
      <c r="D3331">
        <v>1.2906</v>
      </c>
      <c r="E3331">
        <v>44.28</v>
      </c>
      <c r="F3331">
        <v>154</v>
      </c>
      <c r="K3331" s="3"/>
      <c r="O3331" s="3"/>
    </row>
    <row r="3332" spans="1:15">
      <c r="A3332" s="3">
        <v>39856</v>
      </c>
      <c r="B3332" s="3">
        <v>39856</v>
      </c>
      <c r="C3332">
        <v>148.54</v>
      </c>
      <c r="D3332">
        <v>1.2861</v>
      </c>
      <c r="E3332">
        <v>44.65</v>
      </c>
      <c r="F3332">
        <v>153.44999999999999</v>
      </c>
      <c r="K3332" s="3"/>
      <c r="O3332" s="3"/>
    </row>
    <row r="3333" spans="1:15">
      <c r="A3333" s="3">
        <v>39857</v>
      </c>
      <c r="B3333" s="3">
        <v>39857</v>
      </c>
      <c r="C3333">
        <v>148.97</v>
      </c>
      <c r="D3333">
        <v>1.2862</v>
      </c>
      <c r="E3333">
        <v>44.81</v>
      </c>
      <c r="F3333">
        <v>153.85</v>
      </c>
      <c r="K3333" s="3"/>
      <c r="O3333" s="3"/>
    </row>
    <row r="3334" spans="1:15">
      <c r="A3334" s="3">
        <v>39858</v>
      </c>
      <c r="B3334" s="3">
        <v>39858</v>
      </c>
      <c r="C3334">
        <v>148.97</v>
      </c>
      <c r="D3334">
        <v>1.2862</v>
      </c>
      <c r="E3334">
        <v>44.81</v>
      </c>
      <c r="F3334">
        <v>153.85</v>
      </c>
      <c r="K3334" s="3"/>
      <c r="O3334" s="3"/>
    </row>
    <row r="3335" spans="1:15">
      <c r="A3335" s="3">
        <v>39859</v>
      </c>
      <c r="B3335" s="3">
        <v>39859</v>
      </c>
      <c r="C3335">
        <v>148.97</v>
      </c>
      <c r="D3335">
        <v>1.2862</v>
      </c>
      <c r="E3335">
        <v>44.81</v>
      </c>
      <c r="F3335">
        <v>153.85</v>
      </c>
      <c r="K3335" s="3"/>
      <c r="O3335" s="3"/>
    </row>
    <row r="3336" spans="1:15">
      <c r="A3336" s="3">
        <v>39860</v>
      </c>
      <c r="B3336" s="3">
        <v>39860</v>
      </c>
      <c r="C3336">
        <v>149.44</v>
      </c>
      <c r="D3336">
        <v>1.2801</v>
      </c>
      <c r="E3336">
        <v>43.28</v>
      </c>
      <c r="F3336">
        <v>153.85</v>
      </c>
      <c r="K3336" s="3"/>
      <c r="O3336" s="3"/>
    </row>
    <row r="3337" spans="1:15">
      <c r="A3337" s="3">
        <v>39861</v>
      </c>
      <c r="B3337" s="3">
        <v>39861</v>
      </c>
      <c r="C3337">
        <v>149.33000000000001</v>
      </c>
      <c r="D3337">
        <v>1.2582</v>
      </c>
      <c r="E3337">
        <v>41.03</v>
      </c>
      <c r="F3337">
        <v>142.30000000000001</v>
      </c>
      <c r="K3337" s="3"/>
      <c r="O3337" s="3"/>
    </row>
    <row r="3338" spans="1:15">
      <c r="A3338" s="3">
        <v>39862</v>
      </c>
      <c r="B3338" s="3">
        <v>39862</v>
      </c>
      <c r="C3338">
        <v>149.37</v>
      </c>
      <c r="D3338">
        <v>1.2529999999999999</v>
      </c>
      <c r="E3338">
        <v>39.549999999999997</v>
      </c>
      <c r="F3338">
        <v>143.6</v>
      </c>
      <c r="K3338" s="3"/>
      <c r="O3338" s="3"/>
    </row>
    <row r="3339" spans="1:15">
      <c r="A3339" s="3">
        <v>39863</v>
      </c>
      <c r="B3339" s="3">
        <v>39863</v>
      </c>
      <c r="C3339">
        <v>149.02000000000001</v>
      </c>
      <c r="D3339">
        <v>1.2674000000000001</v>
      </c>
      <c r="E3339">
        <v>41.99</v>
      </c>
      <c r="F3339">
        <v>147.1</v>
      </c>
      <c r="K3339" s="3"/>
      <c r="O3339" s="3"/>
    </row>
    <row r="3340" spans="1:15">
      <c r="A3340" s="3">
        <v>39864</v>
      </c>
      <c r="B3340" s="3">
        <v>39864</v>
      </c>
      <c r="C3340">
        <v>149.83000000000001</v>
      </c>
      <c r="D3340">
        <v>1.2826</v>
      </c>
      <c r="E3340">
        <v>41.89</v>
      </c>
      <c r="F3340">
        <v>141.6</v>
      </c>
      <c r="K3340" s="3"/>
      <c r="O3340" s="3"/>
    </row>
    <row r="3341" spans="1:15">
      <c r="A3341" s="3">
        <v>39865</v>
      </c>
      <c r="B3341" s="3">
        <v>39865</v>
      </c>
      <c r="C3341">
        <v>149.83000000000001</v>
      </c>
      <c r="D3341">
        <v>1.2826</v>
      </c>
      <c r="E3341">
        <v>41.89</v>
      </c>
      <c r="F3341">
        <v>141.6</v>
      </c>
      <c r="K3341" s="3"/>
      <c r="O3341" s="3"/>
    </row>
    <row r="3342" spans="1:15">
      <c r="A3342" s="3">
        <v>39866</v>
      </c>
      <c r="B3342" s="3">
        <v>39866</v>
      </c>
      <c r="C3342">
        <v>149.83000000000001</v>
      </c>
      <c r="D3342">
        <v>1.2826</v>
      </c>
      <c r="E3342">
        <v>41.89</v>
      </c>
      <c r="F3342">
        <v>141.6</v>
      </c>
      <c r="K3342" s="3"/>
      <c r="O3342" s="3"/>
    </row>
    <row r="3343" spans="1:15">
      <c r="A3343" s="3">
        <v>39867</v>
      </c>
      <c r="B3343" s="3">
        <v>39867</v>
      </c>
      <c r="C3343">
        <v>150.27000000000001</v>
      </c>
      <c r="D3343">
        <v>1.2694000000000001</v>
      </c>
      <c r="E3343">
        <v>40.99</v>
      </c>
      <c r="F3343">
        <v>143.69999999999999</v>
      </c>
      <c r="K3343" s="3"/>
      <c r="O3343" s="3"/>
    </row>
    <row r="3344" spans="1:15">
      <c r="A3344" s="3">
        <v>39868</v>
      </c>
      <c r="B3344" s="3">
        <v>39868</v>
      </c>
      <c r="C3344">
        <v>149.97</v>
      </c>
      <c r="D3344">
        <v>1.2846</v>
      </c>
      <c r="E3344">
        <v>42.5</v>
      </c>
      <c r="F3344">
        <v>148.69999999999999</v>
      </c>
      <c r="K3344" s="3"/>
      <c r="O3344" s="3"/>
    </row>
    <row r="3345" spans="1:15">
      <c r="A3345" s="3">
        <v>39869</v>
      </c>
      <c r="B3345" s="3">
        <v>39869</v>
      </c>
      <c r="C3345">
        <v>150.22999999999999</v>
      </c>
      <c r="D3345">
        <v>1.2723</v>
      </c>
      <c r="E3345">
        <v>44.29</v>
      </c>
      <c r="F3345">
        <v>152.44999999999999</v>
      </c>
      <c r="K3345" s="3"/>
      <c r="O3345" s="3"/>
    </row>
    <row r="3346" spans="1:15">
      <c r="A3346" s="3">
        <v>39870</v>
      </c>
      <c r="B3346" s="3">
        <v>39870</v>
      </c>
      <c r="C3346">
        <v>150.38</v>
      </c>
      <c r="D3346">
        <v>1.2744</v>
      </c>
      <c r="E3346">
        <v>46.51</v>
      </c>
      <c r="F3346">
        <v>156.5</v>
      </c>
      <c r="K3346" s="3"/>
      <c r="O3346" s="3"/>
    </row>
    <row r="3347" spans="1:15">
      <c r="A3347" s="3">
        <v>39871</v>
      </c>
      <c r="B3347" s="3">
        <v>39871</v>
      </c>
      <c r="C3347">
        <v>150.55000000000001</v>
      </c>
      <c r="D3347">
        <v>1.2668999999999999</v>
      </c>
      <c r="E3347">
        <v>46.35</v>
      </c>
      <c r="F3347">
        <v>152.6</v>
      </c>
      <c r="K3347" s="3"/>
      <c r="O3347" s="3"/>
    </row>
    <row r="3348" spans="1:15">
      <c r="A3348" s="3">
        <v>39872</v>
      </c>
      <c r="B3348" s="3">
        <v>39872</v>
      </c>
      <c r="C3348">
        <v>150.55000000000001</v>
      </c>
      <c r="D3348">
        <v>1.2668999999999999</v>
      </c>
      <c r="E3348">
        <v>46.35</v>
      </c>
      <c r="F3348">
        <v>152.6</v>
      </c>
      <c r="K3348" s="3"/>
      <c r="O3348" s="3"/>
    </row>
    <row r="3349" spans="1:15">
      <c r="A3349" s="3">
        <v>39873</v>
      </c>
      <c r="B3349" s="3">
        <v>39873</v>
      </c>
      <c r="C3349">
        <v>150.55000000000001</v>
      </c>
      <c r="D3349">
        <v>1.2668999999999999</v>
      </c>
      <c r="E3349">
        <v>46.35</v>
      </c>
      <c r="F3349">
        <v>152.6</v>
      </c>
      <c r="K3349" s="3"/>
      <c r="O3349" s="3"/>
    </row>
    <row r="3350" spans="1:15">
      <c r="A3350" s="3">
        <v>39874</v>
      </c>
      <c r="B3350" s="3">
        <v>39874</v>
      </c>
      <c r="C3350">
        <v>150.61000000000001</v>
      </c>
      <c r="D3350">
        <v>1.2578</v>
      </c>
      <c r="E3350">
        <v>42.21</v>
      </c>
      <c r="F3350">
        <v>150.75</v>
      </c>
      <c r="K3350" s="3"/>
      <c r="O3350" s="3"/>
    </row>
    <row r="3351" spans="1:15">
      <c r="A3351" s="3">
        <v>39875</v>
      </c>
      <c r="B3351" s="3">
        <v>39875</v>
      </c>
      <c r="C3351">
        <v>150.5</v>
      </c>
      <c r="D3351">
        <v>1.2561</v>
      </c>
      <c r="E3351">
        <v>43.7</v>
      </c>
      <c r="F3351">
        <v>159.6</v>
      </c>
      <c r="K3351" s="3"/>
      <c r="O3351" s="3"/>
    </row>
    <row r="3352" spans="1:15">
      <c r="A3352" s="3">
        <v>39876</v>
      </c>
      <c r="B3352" s="3">
        <v>39876</v>
      </c>
      <c r="C3352">
        <v>150.44</v>
      </c>
      <c r="D3352">
        <v>1.2661</v>
      </c>
      <c r="E3352">
        <v>46.12</v>
      </c>
      <c r="F3352">
        <v>168.55</v>
      </c>
      <c r="K3352" s="3"/>
      <c r="O3352" s="3"/>
    </row>
    <row r="3353" spans="1:15">
      <c r="A3353" s="3">
        <v>39877</v>
      </c>
      <c r="B3353" s="3">
        <v>39877</v>
      </c>
      <c r="C3353">
        <v>150.4</v>
      </c>
      <c r="D3353">
        <v>1.254</v>
      </c>
      <c r="E3353">
        <v>43.64</v>
      </c>
      <c r="F3353">
        <v>164.6</v>
      </c>
      <c r="K3353" s="3"/>
      <c r="O3353" s="3"/>
    </row>
    <row r="3354" spans="1:15">
      <c r="A3354" s="3">
        <v>39878</v>
      </c>
      <c r="B3354" s="3">
        <v>39878</v>
      </c>
      <c r="C3354">
        <v>150.51</v>
      </c>
      <c r="D3354">
        <v>1.2653000000000001</v>
      </c>
      <c r="E3354">
        <v>44.85</v>
      </c>
      <c r="F3354">
        <v>168.05</v>
      </c>
      <c r="K3354" s="3"/>
      <c r="O3354" s="3"/>
    </row>
    <row r="3355" spans="1:15">
      <c r="A3355" s="3">
        <v>39879</v>
      </c>
      <c r="B3355" s="3">
        <v>39879</v>
      </c>
      <c r="C3355">
        <v>150.51</v>
      </c>
      <c r="D3355">
        <v>1.2653000000000001</v>
      </c>
      <c r="E3355">
        <v>44.85</v>
      </c>
      <c r="F3355">
        <v>168.05</v>
      </c>
      <c r="K3355" s="3"/>
      <c r="O3355" s="3"/>
    </row>
    <row r="3356" spans="1:15">
      <c r="A3356" s="3">
        <v>39880</v>
      </c>
      <c r="B3356" s="3">
        <v>39880</v>
      </c>
      <c r="C3356">
        <v>150.51</v>
      </c>
      <c r="D3356">
        <v>1.2653000000000001</v>
      </c>
      <c r="E3356">
        <v>44.85</v>
      </c>
      <c r="F3356">
        <v>168.05</v>
      </c>
      <c r="K3356" s="3"/>
      <c r="O3356" s="3"/>
    </row>
    <row r="3357" spans="1:15">
      <c r="A3357" s="3">
        <v>39881</v>
      </c>
      <c r="B3357" s="3">
        <v>39881</v>
      </c>
      <c r="C3357">
        <v>150.66</v>
      </c>
      <c r="D3357">
        <v>1.2611000000000001</v>
      </c>
      <c r="E3357">
        <v>44.13</v>
      </c>
      <c r="F3357">
        <v>162.94999999999999</v>
      </c>
      <c r="K3357" s="3"/>
      <c r="O3357" s="3"/>
    </row>
    <row r="3358" spans="1:15">
      <c r="A3358" s="3">
        <v>39882</v>
      </c>
      <c r="B3358" s="3">
        <v>39882</v>
      </c>
      <c r="C3358">
        <v>150.53</v>
      </c>
      <c r="D3358">
        <v>1.2682</v>
      </c>
      <c r="E3358">
        <v>43.96</v>
      </c>
      <c r="F3358">
        <v>167.45</v>
      </c>
      <c r="K3358" s="3"/>
      <c r="O3358" s="3"/>
    </row>
    <row r="3359" spans="1:15">
      <c r="A3359" s="3">
        <v>39883</v>
      </c>
      <c r="B3359" s="3">
        <v>39883</v>
      </c>
      <c r="C3359">
        <v>150.5</v>
      </c>
      <c r="D3359">
        <v>1.2837000000000001</v>
      </c>
      <c r="E3359">
        <v>41.4</v>
      </c>
      <c r="F3359">
        <v>161.6</v>
      </c>
      <c r="K3359" s="3"/>
      <c r="O3359" s="3"/>
    </row>
    <row r="3360" spans="1:15">
      <c r="A3360" s="3">
        <v>39884</v>
      </c>
      <c r="B3360" s="3">
        <v>39884</v>
      </c>
      <c r="C3360">
        <v>150.44999999999999</v>
      </c>
      <c r="D3360">
        <v>1.2912999999999999</v>
      </c>
      <c r="E3360">
        <v>45.09</v>
      </c>
      <c r="F3360">
        <v>161.75</v>
      </c>
      <c r="K3360" s="3"/>
      <c r="O3360" s="3"/>
    </row>
    <row r="3361" spans="1:15">
      <c r="A3361" s="3">
        <v>39885</v>
      </c>
      <c r="B3361" s="3">
        <v>39885</v>
      </c>
      <c r="C3361">
        <v>150.19999999999999</v>
      </c>
      <c r="D3361">
        <v>1.2927999999999999</v>
      </c>
      <c r="E3361">
        <v>44.93</v>
      </c>
      <c r="F3361">
        <v>165.85</v>
      </c>
      <c r="K3361" s="3"/>
      <c r="O3361" s="3"/>
    </row>
    <row r="3362" spans="1:15">
      <c r="A3362" s="3">
        <v>39886</v>
      </c>
      <c r="B3362" s="3">
        <v>39886</v>
      </c>
      <c r="C3362">
        <v>150.19999999999999</v>
      </c>
      <c r="D3362">
        <v>1.2927999999999999</v>
      </c>
      <c r="E3362">
        <v>44.93</v>
      </c>
      <c r="F3362">
        <v>165.85</v>
      </c>
      <c r="K3362" s="3"/>
      <c r="O3362" s="3"/>
    </row>
    <row r="3363" spans="1:15">
      <c r="A3363" s="3">
        <v>39887</v>
      </c>
      <c r="B3363" s="3">
        <v>39887</v>
      </c>
      <c r="C3363">
        <v>150.19999999999999</v>
      </c>
      <c r="D3363">
        <v>1.2927999999999999</v>
      </c>
      <c r="E3363">
        <v>44.93</v>
      </c>
      <c r="F3363">
        <v>165.85</v>
      </c>
      <c r="K3363" s="3"/>
      <c r="O3363" s="3"/>
    </row>
    <row r="3364" spans="1:15">
      <c r="A3364" s="3">
        <v>39888</v>
      </c>
      <c r="B3364" s="3">
        <v>39888</v>
      </c>
      <c r="C3364">
        <v>150.35</v>
      </c>
      <c r="D3364">
        <v>1.2968</v>
      </c>
      <c r="E3364">
        <v>43.98</v>
      </c>
      <c r="F3364">
        <v>173.95</v>
      </c>
      <c r="K3364" s="3"/>
      <c r="O3364" s="3"/>
    </row>
    <row r="3365" spans="1:15">
      <c r="A3365" s="3">
        <v>39889</v>
      </c>
      <c r="B3365" s="3">
        <v>39889</v>
      </c>
      <c r="C3365">
        <v>150.47999999999999</v>
      </c>
      <c r="D3365">
        <v>1.3017000000000001</v>
      </c>
      <c r="E3365">
        <v>48.24</v>
      </c>
      <c r="F3365">
        <v>171.75</v>
      </c>
      <c r="K3365" s="3"/>
      <c r="O3365" s="3"/>
    </row>
    <row r="3366" spans="1:15">
      <c r="A3366" s="3">
        <v>39890</v>
      </c>
      <c r="B3366" s="3">
        <v>39890</v>
      </c>
      <c r="C3366">
        <v>150.38999999999999</v>
      </c>
      <c r="D3366">
        <v>1.3473999999999999</v>
      </c>
      <c r="E3366">
        <v>47.66</v>
      </c>
      <c r="F3366">
        <v>170.9</v>
      </c>
      <c r="K3366" s="3"/>
      <c r="O3366" s="3"/>
    </row>
    <row r="3367" spans="1:15">
      <c r="A3367" s="3">
        <v>39891</v>
      </c>
      <c r="B3367" s="3">
        <v>39891</v>
      </c>
      <c r="C3367">
        <v>151.03</v>
      </c>
      <c r="D3367">
        <v>1.3665</v>
      </c>
      <c r="E3367">
        <v>50.67</v>
      </c>
      <c r="F3367">
        <v>179.8</v>
      </c>
      <c r="K3367" s="3"/>
      <c r="O3367" s="3"/>
    </row>
    <row r="3368" spans="1:15">
      <c r="A3368" s="3">
        <v>39892</v>
      </c>
      <c r="B3368" s="3">
        <v>39892</v>
      </c>
      <c r="C3368">
        <v>151.28</v>
      </c>
      <c r="D3368">
        <v>1.3582000000000001</v>
      </c>
      <c r="E3368">
        <v>51.22</v>
      </c>
      <c r="F3368">
        <v>178.75</v>
      </c>
      <c r="K3368" s="3"/>
      <c r="O3368" s="3"/>
    </row>
    <row r="3369" spans="1:15">
      <c r="A3369" s="3">
        <v>39893</v>
      </c>
      <c r="B3369" s="3">
        <v>39893</v>
      </c>
      <c r="C3369">
        <v>151.28</v>
      </c>
      <c r="D3369">
        <v>1.3582000000000001</v>
      </c>
      <c r="E3369">
        <v>51.22</v>
      </c>
      <c r="F3369">
        <v>178.75</v>
      </c>
      <c r="K3369" s="3"/>
      <c r="O3369" s="3"/>
    </row>
    <row r="3370" spans="1:15">
      <c r="A3370" s="3">
        <v>39894</v>
      </c>
      <c r="B3370" s="3">
        <v>39894</v>
      </c>
      <c r="C3370">
        <v>151.28</v>
      </c>
      <c r="D3370">
        <v>1.3582000000000001</v>
      </c>
      <c r="E3370">
        <v>51.22</v>
      </c>
      <c r="F3370">
        <v>178.75</v>
      </c>
      <c r="K3370" s="3"/>
      <c r="O3370" s="3"/>
    </row>
    <row r="3371" spans="1:15">
      <c r="A3371" s="3">
        <v>39895</v>
      </c>
      <c r="B3371" s="3">
        <v>39895</v>
      </c>
      <c r="C3371">
        <v>151.28</v>
      </c>
      <c r="D3371">
        <v>1.3633</v>
      </c>
      <c r="E3371">
        <v>53.47</v>
      </c>
      <c r="F3371">
        <v>183.2</v>
      </c>
      <c r="K3371" s="3"/>
      <c r="O3371" s="3"/>
    </row>
    <row r="3372" spans="1:15">
      <c r="A3372" s="3">
        <v>39896</v>
      </c>
      <c r="B3372" s="3">
        <v>39896</v>
      </c>
      <c r="C3372">
        <v>151.47999999999999</v>
      </c>
      <c r="D3372">
        <v>1.3468</v>
      </c>
      <c r="E3372">
        <v>53.5</v>
      </c>
      <c r="F3372">
        <v>179.85</v>
      </c>
      <c r="K3372" s="3"/>
      <c r="O3372" s="3"/>
    </row>
    <row r="3373" spans="1:15">
      <c r="A3373" s="3">
        <v>39897</v>
      </c>
      <c r="B3373" s="3">
        <v>39897</v>
      </c>
      <c r="C3373">
        <v>151.31</v>
      </c>
      <c r="D3373">
        <v>1.3583000000000001</v>
      </c>
      <c r="E3373">
        <v>51.75</v>
      </c>
      <c r="F3373">
        <v>179.7</v>
      </c>
      <c r="K3373" s="3"/>
      <c r="O3373" s="3"/>
    </row>
    <row r="3374" spans="1:15">
      <c r="A3374" s="3">
        <v>39898</v>
      </c>
      <c r="B3374" s="3">
        <v>39898</v>
      </c>
      <c r="C3374">
        <v>151.41</v>
      </c>
      <c r="D3374">
        <v>1.3526</v>
      </c>
      <c r="E3374">
        <v>53.46</v>
      </c>
      <c r="F3374">
        <v>184.95</v>
      </c>
      <c r="K3374" s="3"/>
      <c r="O3374" s="3"/>
    </row>
    <row r="3375" spans="1:15">
      <c r="A3375" s="3">
        <v>39899</v>
      </c>
      <c r="B3375" s="3">
        <v>39899</v>
      </c>
      <c r="C3375">
        <v>151.53</v>
      </c>
      <c r="D3375">
        <v>1.3287</v>
      </c>
      <c r="E3375">
        <v>51.98</v>
      </c>
      <c r="F3375">
        <v>183.35</v>
      </c>
      <c r="K3375" s="3"/>
      <c r="O3375" s="3"/>
    </row>
    <row r="3376" spans="1:15">
      <c r="A3376" s="3">
        <v>39900</v>
      </c>
      <c r="B3376" s="3">
        <v>39900</v>
      </c>
      <c r="C3376">
        <v>151.53</v>
      </c>
      <c r="D3376">
        <v>1.3287</v>
      </c>
      <c r="E3376">
        <v>51.98</v>
      </c>
      <c r="F3376">
        <v>183.35</v>
      </c>
      <c r="K3376" s="3"/>
      <c r="O3376" s="3"/>
    </row>
    <row r="3377" spans="1:15">
      <c r="A3377" s="3">
        <v>39901</v>
      </c>
      <c r="B3377" s="3">
        <v>39901</v>
      </c>
      <c r="C3377">
        <v>151.53</v>
      </c>
      <c r="D3377">
        <v>1.3287</v>
      </c>
      <c r="E3377">
        <v>51.98</v>
      </c>
      <c r="F3377">
        <v>183.35</v>
      </c>
      <c r="K3377" s="3"/>
      <c r="O3377" s="3"/>
    </row>
    <row r="3378" spans="1:15">
      <c r="A3378" s="3">
        <v>39902</v>
      </c>
      <c r="B3378" s="3">
        <v>39902</v>
      </c>
      <c r="C3378">
        <v>151.38999999999999</v>
      </c>
      <c r="D3378">
        <v>1.3199000000000001</v>
      </c>
      <c r="E3378">
        <v>47.99</v>
      </c>
      <c r="F3378">
        <v>176.6</v>
      </c>
      <c r="K3378" s="3"/>
      <c r="O3378" s="3"/>
    </row>
    <row r="3379" spans="1:15">
      <c r="A3379" s="3">
        <v>39903</v>
      </c>
      <c r="B3379" s="3">
        <v>39903</v>
      </c>
      <c r="C3379">
        <v>150.91</v>
      </c>
      <c r="D3379">
        <v>1.325</v>
      </c>
      <c r="E3379">
        <v>49.23</v>
      </c>
      <c r="F3379">
        <v>184.45</v>
      </c>
      <c r="K3379" s="3"/>
      <c r="O3379" s="3"/>
    </row>
    <row r="3380" spans="1:15">
      <c r="A3380" s="3">
        <v>39904</v>
      </c>
      <c r="B3380" s="3">
        <v>39904</v>
      </c>
      <c r="C3380">
        <v>151.09</v>
      </c>
      <c r="D3380">
        <v>1.3249</v>
      </c>
      <c r="E3380">
        <v>48.44</v>
      </c>
      <c r="F3380">
        <v>184.9</v>
      </c>
      <c r="K3380" s="3"/>
      <c r="O3380" s="3"/>
    </row>
    <row r="3381" spans="1:15">
      <c r="A3381" s="3">
        <v>39905</v>
      </c>
      <c r="B3381" s="3">
        <v>39905</v>
      </c>
      <c r="C3381">
        <v>151.03</v>
      </c>
      <c r="D3381">
        <v>1.3461000000000001</v>
      </c>
      <c r="E3381">
        <v>52.75</v>
      </c>
      <c r="F3381">
        <v>189</v>
      </c>
      <c r="K3381" s="3"/>
      <c r="O3381" s="3"/>
    </row>
    <row r="3382" spans="1:15">
      <c r="A3382" s="3">
        <v>39906</v>
      </c>
      <c r="B3382" s="3">
        <v>39906</v>
      </c>
      <c r="C3382">
        <v>151</v>
      </c>
      <c r="D3382">
        <v>1.3486</v>
      </c>
      <c r="E3382">
        <v>53.47</v>
      </c>
      <c r="F3382">
        <v>200.05</v>
      </c>
      <c r="K3382" s="3"/>
      <c r="O3382" s="3"/>
    </row>
    <row r="3383" spans="1:15">
      <c r="A3383" s="3">
        <v>39907</v>
      </c>
      <c r="B3383" s="3">
        <v>39907</v>
      </c>
      <c r="C3383">
        <v>151</v>
      </c>
      <c r="D3383">
        <v>1.3486</v>
      </c>
      <c r="E3383">
        <v>53.47</v>
      </c>
      <c r="F3383">
        <v>200.05</v>
      </c>
      <c r="K3383" s="3"/>
      <c r="O3383" s="3"/>
    </row>
    <row r="3384" spans="1:15">
      <c r="A3384" s="3">
        <v>39908</v>
      </c>
      <c r="B3384" s="3">
        <v>39908</v>
      </c>
      <c r="C3384">
        <v>151</v>
      </c>
      <c r="D3384">
        <v>1.3486</v>
      </c>
      <c r="E3384">
        <v>53.47</v>
      </c>
      <c r="F3384">
        <v>200.05</v>
      </c>
      <c r="K3384" s="3"/>
      <c r="O3384" s="3"/>
    </row>
    <row r="3385" spans="1:15">
      <c r="A3385" s="3">
        <v>39909</v>
      </c>
      <c r="B3385" s="3">
        <v>39909</v>
      </c>
      <c r="C3385">
        <v>151.15</v>
      </c>
      <c r="D3385">
        <v>1.3415999999999999</v>
      </c>
      <c r="E3385">
        <v>52.24</v>
      </c>
      <c r="F3385">
        <v>195.9</v>
      </c>
      <c r="K3385" s="3"/>
      <c r="O3385" s="3"/>
    </row>
    <row r="3386" spans="1:15">
      <c r="A3386" s="3">
        <v>39910</v>
      </c>
      <c r="B3386" s="3">
        <v>39910</v>
      </c>
      <c r="C3386">
        <v>151.06</v>
      </c>
      <c r="D3386">
        <v>1.3271999999999999</v>
      </c>
      <c r="E3386">
        <v>51.22</v>
      </c>
      <c r="F3386">
        <v>199</v>
      </c>
      <c r="K3386" s="3"/>
      <c r="O3386" s="3"/>
    </row>
    <row r="3387" spans="1:15">
      <c r="A3387" s="3">
        <v>39911</v>
      </c>
      <c r="B3387" s="3">
        <v>39911</v>
      </c>
      <c r="C3387">
        <v>150.97</v>
      </c>
      <c r="D3387">
        <v>1.3282</v>
      </c>
      <c r="E3387">
        <v>51.59</v>
      </c>
      <c r="F3387">
        <v>199.85</v>
      </c>
      <c r="K3387" s="3"/>
      <c r="O3387" s="3"/>
    </row>
    <row r="3388" spans="1:15">
      <c r="A3388" s="3">
        <v>39912</v>
      </c>
      <c r="B3388" s="3">
        <v>39912</v>
      </c>
      <c r="C3388">
        <v>150.88999999999999</v>
      </c>
      <c r="D3388">
        <v>1.3169</v>
      </c>
      <c r="E3388">
        <v>54.06</v>
      </c>
      <c r="F3388">
        <v>207.1</v>
      </c>
      <c r="K3388" s="3"/>
      <c r="O3388" s="3"/>
    </row>
    <row r="3389" spans="1:15">
      <c r="A3389" s="3">
        <v>39913</v>
      </c>
      <c r="B3389" s="3">
        <v>39913</v>
      </c>
      <c r="C3389">
        <v>150.86000000000001</v>
      </c>
      <c r="D3389">
        <v>1.3189</v>
      </c>
      <c r="E3389">
        <v>54.06</v>
      </c>
      <c r="F3389">
        <v>207.1</v>
      </c>
      <c r="K3389" s="3"/>
      <c r="O3389" s="3"/>
    </row>
    <row r="3390" spans="1:15">
      <c r="A3390" s="3">
        <v>39914</v>
      </c>
      <c r="B3390" s="3">
        <v>39914</v>
      </c>
      <c r="C3390">
        <v>150.86000000000001</v>
      </c>
      <c r="D3390">
        <v>1.3189</v>
      </c>
      <c r="E3390">
        <v>54.06</v>
      </c>
      <c r="F3390">
        <v>207.1</v>
      </c>
      <c r="K3390" s="3"/>
      <c r="O3390" s="3"/>
    </row>
    <row r="3391" spans="1:15">
      <c r="A3391" s="3">
        <v>39915</v>
      </c>
      <c r="B3391" s="3">
        <v>39915</v>
      </c>
      <c r="C3391">
        <v>150.86000000000001</v>
      </c>
      <c r="D3391">
        <v>1.3189</v>
      </c>
      <c r="E3391">
        <v>54.06</v>
      </c>
      <c r="F3391">
        <v>207.1</v>
      </c>
      <c r="K3391" s="3"/>
      <c r="O3391" s="3"/>
    </row>
    <row r="3392" spans="1:15">
      <c r="A3392" s="3">
        <v>39916</v>
      </c>
      <c r="B3392" s="3">
        <v>39916</v>
      </c>
      <c r="C3392">
        <v>150.77000000000001</v>
      </c>
      <c r="D3392">
        <v>1.3368</v>
      </c>
      <c r="E3392">
        <v>52.14</v>
      </c>
      <c r="F3392">
        <v>212.55</v>
      </c>
      <c r="K3392" s="3"/>
      <c r="O3392" s="3"/>
    </row>
    <row r="3393" spans="1:15">
      <c r="A3393" s="3">
        <v>39917</v>
      </c>
      <c r="B3393" s="3">
        <v>39917</v>
      </c>
      <c r="C3393">
        <v>150.47</v>
      </c>
      <c r="D3393">
        <v>1.3259000000000001</v>
      </c>
      <c r="E3393">
        <v>51.96</v>
      </c>
      <c r="F3393">
        <v>211.5</v>
      </c>
      <c r="K3393" s="3"/>
      <c r="O3393" s="3"/>
    </row>
    <row r="3394" spans="1:15">
      <c r="A3394" s="3">
        <v>39918</v>
      </c>
      <c r="B3394" s="3">
        <v>39918</v>
      </c>
      <c r="C3394">
        <v>150.21</v>
      </c>
      <c r="D3394">
        <v>1.3227</v>
      </c>
      <c r="E3394">
        <v>51.79</v>
      </c>
      <c r="F3394">
        <v>219.9</v>
      </c>
      <c r="K3394" s="3"/>
      <c r="O3394" s="3"/>
    </row>
    <row r="3395" spans="1:15">
      <c r="A3395" s="3">
        <v>39919</v>
      </c>
      <c r="B3395" s="3">
        <v>39919</v>
      </c>
      <c r="C3395">
        <v>150.13999999999999</v>
      </c>
      <c r="D3395">
        <v>1.3186</v>
      </c>
      <c r="E3395">
        <v>53.06</v>
      </c>
      <c r="F3395">
        <v>216.95</v>
      </c>
      <c r="K3395" s="3"/>
      <c r="O3395" s="3"/>
    </row>
    <row r="3396" spans="1:15">
      <c r="A3396" s="3">
        <v>39920</v>
      </c>
      <c r="B3396" s="3">
        <v>39920</v>
      </c>
      <c r="C3396">
        <v>150.30000000000001</v>
      </c>
      <c r="D3396">
        <v>1.3044</v>
      </c>
      <c r="E3396">
        <v>53.35</v>
      </c>
      <c r="F3396">
        <v>219.4</v>
      </c>
      <c r="K3396" s="3"/>
      <c r="O3396" s="3"/>
    </row>
    <row r="3397" spans="1:15">
      <c r="A3397" s="3">
        <v>39921</v>
      </c>
      <c r="B3397" s="3">
        <v>39921</v>
      </c>
      <c r="C3397">
        <v>150.30000000000001</v>
      </c>
      <c r="D3397">
        <v>1.3044</v>
      </c>
      <c r="E3397">
        <v>53.35</v>
      </c>
      <c r="F3397">
        <v>219.4</v>
      </c>
      <c r="K3397" s="3"/>
      <c r="O3397" s="3"/>
    </row>
    <row r="3398" spans="1:15">
      <c r="A3398" s="3">
        <v>39922</v>
      </c>
      <c r="B3398" s="3">
        <v>39922</v>
      </c>
      <c r="C3398">
        <v>150.30000000000001</v>
      </c>
      <c r="D3398">
        <v>1.3044</v>
      </c>
      <c r="E3398">
        <v>53.35</v>
      </c>
      <c r="F3398">
        <v>219.4</v>
      </c>
      <c r="K3398" s="3"/>
      <c r="O3398" s="3"/>
    </row>
    <row r="3399" spans="1:15">
      <c r="A3399" s="3">
        <v>39923</v>
      </c>
      <c r="B3399" s="3">
        <v>39923</v>
      </c>
      <c r="C3399">
        <v>150.4</v>
      </c>
      <c r="D3399">
        <v>1.2921</v>
      </c>
      <c r="E3399">
        <v>49.86</v>
      </c>
      <c r="F3399">
        <v>210.35</v>
      </c>
      <c r="K3399" s="3"/>
      <c r="O3399" s="3"/>
    </row>
    <row r="3400" spans="1:15">
      <c r="A3400" s="3">
        <v>39924</v>
      </c>
      <c r="B3400" s="3">
        <v>39924</v>
      </c>
      <c r="C3400">
        <v>150.69999999999999</v>
      </c>
      <c r="D3400">
        <v>1.2948</v>
      </c>
      <c r="E3400">
        <v>49.82</v>
      </c>
      <c r="F3400">
        <v>208.7</v>
      </c>
      <c r="K3400" s="3"/>
      <c r="O3400" s="3"/>
    </row>
    <row r="3401" spans="1:15">
      <c r="A3401" s="3">
        <v>39925</v>
      </c>
      <c r="B3401" s="3">
        <v>39925</v>
      </c>
      <c r="C3401">
        <v>150.72</v>
      </c>
      <c r="D3401">
        <v>1.3005</v>
      </c>
      <c r="E3401">
        <v>49.81</v>
      </c>
      <c r="F3401">
        <v>205.95</v>
      </c>
      <c r="K3401" s="3"/>
      <c r="O3401" s="3"/>
    </row>
    <row r="3402" spans="1:15">
      <c r="A3402" s="3">
        <v>39926</v>
      </c>
      <c r="B3402" s="3">
        <v>39926</v>
      </c>
      <c r="C3402">
        <v>150.5</v>
      </c>
      <c r="D3402">
        <v>1.3144</v>
      </c>
      <c r="E3402">
        <v>50.11</v>
      </c>
      <c r="F3402">
        <v>199.2</v>
      </c>
      <c r="K3402" s="3"/>
      <c r="O3402" s="3"/>
    </row>
    <row r="3403" spans="1:15">
      <c r="A3403" s="3">
        <v>39927</v>
      </c>
      <c r="B3403" s="3">
        <v>39927</v>
      </c>
      <c r="C3403">
        <v>150.66</v>
      </c>
      <c r="D3403">
        <v>1.3242</v>
      </c>
      <c r="E3403">
        <v>51.67</v>
      </c>
      <c r="F3403">
        <v>205.05</v>
      </c>
      <c r="K3403" s="3"/>
      <c r="O3403" s="3"/>
    </row>
    <row r="3404" spans="1:15">
      <c r="A3404" s="3">
        <v>39928</v>
      </c>
      <c r="B3404" s="3">
        <v>39928</v>
      </c>
      <c r="C3404">
        <v>150.66</v>
      </c>
      <c r="D3404">
        <v>1.3242</v>
      </c>
      <c r="E3404">
        <v>51.67</v>
      </c>
      <c r="F3404">
        <v>205.05</v>
      </c>
      <c r="K3404" s="3"/>
      <c r="O3404" s="3"/>
    </row>
    <row r="3405" spans="1:15">
      <c r="A3405" s="3">
        <v>39929</v>
      </c>
      <c r="B3405" s="3">
        <v>39929</v>
      </c>
      <c r="C3405">
        <v>150.66</v>
      </c>
      <c r="D3405">
        <v>1.3242</v>
      </c>
      <c r="E3405">
        <v>51.67</v>
      </c>
      <c r="F3405">
        <v>205.05</v>
      </c>
      <c r="K3405" s="3"/>
      <c r="O3405" s="3"/>
    </row>
    <row r="3406" spans="1:15">
      <c r="A3406" s="3">
        <v>39930</v>
      </c>
      <c r="B3406" s="3">
        <v>39930</v>
      </c>
      <c r="C3406">
        <v>150.63999999999999</v>
      </c>
      <c r="D3406">
        <v>1.3036000000000001</v>
      </c>
      <c r="E3406">
        <v>50.32</v>
      </c>
      <c r="F3406">
        <v>198.65</v>
      </c>
      <c r="K3406" s="3"/>
      <c r="O3406" s="3"/>
    </row>
    <row r="3407" spans="1:15">
      <c r="A3407" s="3">
        <v>39931</v>
      </c>
      <c r="B3407" s="3">
        <v>39931</v>
      </c>
      <c r="C3407">
        <v>150.63999999999999</v>
      </c>
      <c r="D3407">
        <v>1.3149</v>
      </c>
      <c r="E3407">
        <v>49.99</v>
      </c>
      <c r="F3407">
        <v>191.6</v>
      </c>
      <c r="K3407" s="3"/>
      <c r="O3407" s="3"/>
    </row>
    <row r="3408" spans="1:15">
      <c r="A3408" s="3">
        <v>39932</v>
      </c>
      <c r="B3408" s="3">
        <v>39932</v>
      </c>
      <c r="C3408">
        <v>150.66</v>
      </c>
      <c r="D3408">
        <v>1.3270999999999999</v>
      </c>
      <c r="E3408">
        <v>50.78</v>
      </c>
      <c r="F3408">
        <v>201</v>
      </c>
      <c r="K3408" s="3"/>
      <c r="O3408" s="3"/>
    </row>
    <row r="3409" spans="1:15">
      <c r="A3409" s="3">
        <v>39933</v>
      </c>
      <c r="B3409" s="3">
        <v>39933</v>
      </c>
      <c r="C3409">
        <v>150.72</v>
      </c>
      <c r="D3409">
        <v>1.323</v>
      </c>
      <c r="E3409">
        <v>50.8</v>
      </c>
      <c r="F3409">
        <v>205.3</v>
      </c>
      <c r="K3409" s="3"/>
      <c r="O3409" s="3"/>
    </row>
    <row r="3410" spans="1:15">
      <c r="A3410" s="3">
        <v>39934</v>
      </c>
      <c r="B3410" s="3">
        <v>39934</v>
      </c>
      <c r="C3410">
        <v>150.72</v>
      </c>
      <c r="D3410">
        <v>1.3272999999999999</v>
      </c>
      <c r="E3410">
        <v>52.85</v>
      </c>
      <c r="F3410">
        <v>210.15</v>
      </c>
      <c r="K3410" s="3"/>
      <c r="O3410" s="3"/>
    </row>
    <row r="3411" spans="1:15">
      <c r="A3411" s="3">
        <v>39935</v>
      </c>
      <c r="B3411" s="3">
        <v>39935</v>
      </c>
      <c r="C3411">
        <v>150.72</v>
      </c>
      <c r="D3411">
        <v>1.3272999999999999</v>
      </c>
      <c r="E3411">
        <v>52.85</v>
      </c>
      <c r="F3411">
        <v>210.15</v>
      </c>
      <c r="K3411" s="3"/>
      <c r="O3411" s="3"/>
    </row>
    <row r="3412" spans="1:15">
      <c r="A3412" s="3">
        <v>39936</v>
      </c>
      <c r="B3412" s="3">
        <v>39936</v>
      </c>
      <c r="C3412">
        <v>150.72</v>
      </c>
      <c r="D3412">
        <v>1.3272999999999999</v>
      </c>
      <c r="E3412">
        <v>52.85</v>
      </c>
      <c r="F3412">
        <v>210.15</v>
      </c>
      <c r="K3412" s="3"/>
      <c r="O3412" s="3"/>
    </row>
    <row r="3413" spans="1:15">
      <c r="A3413" s="3">
        <v>39937</v>
      </c>
      <c r="B3413" s="3">
        <v>39937</v>
      </c>
      <c r="C3413">
        <v>150.62</v>
      </c>
      <c r="D3413">
        <v>1.3406</v>
      </c>
      <c r="E3413">
        <v>54.58</v>
      </c>
      <c r="F3413">
        <v>214.5</v>
      </c>
      <c r="K3413" s="3"/>
      <c r="O3413" s="3"/>
    </row>
    <row r="3414" spans="1:15">
      <c r="A3414" s="3">
        <v>39938</v>
      </c>
      <c r="B3414" s="3">
        <v>39938</v>
      </c>
      <c r="C3414">
        <v>150.61000000000001</v>
      </c>
      <c r="D3414">
        <v>1.333</v>
      </c>
      <c r="E3414">
        <v>54.12</v>
      </c>
      <c r="F3414">
        <v>208.45</v>
      </c>
      <c r="K3414" s="3"/>
      <c r="O3414" s="3"/>
    </row>
    <row r="3415" spans="1:15">
      <c r="A3415" s="3">
        <v>39939</v>
      </c>
      <c r="B3415" s="3">
        <v>39939</v>
      </c>
      <c r="C3415">
        <v>150.58000000000001</v>
      </c>
      <c r="D3415">
        <v>1.3334999999999999</v>
      </c>
      <c r="E3415">
        <v>56.15</v>
      </c>
      <c r="F3415">
        <v>218.85</v>
      </c>
      <c r="K3415" s="3"/>
      <c r="O3415" s="3"/>
    </row>
    <row r="3416" spans="1:15">
      <c r="A3416" s="3">
        <v>39940</v>
      </c>
      <c r="B3416" s="3">
        <v>39940</v>
      </c>
      <c r="C3416">
        <v>150.49</v>
      </c>
      <c r="D3416">
        <v>1.339</v>
      </c>
      <c r="E3416">
        <v>56.47</v>
      </c>
      <c r="F3416">
        <v>216.55</v>
      </c>
      <c r="K3416" s="3"/>
      <c r="O3416" s="3"/>
    </row>
    <row r="3417" spans="1:15">
      <c r="A3417" s="3">
        <v>39941</v>
      </c>
      <c r="B3417" s="3">
        <v>39941</v>
      </c>
      <c r="C3417">
        <v>150.53</v>
      </c>
      <c r="D3417">
        <v>1.3633999999999999</v>
      </c>
      <c r="E3417">
        <v>58.14</v>
      </c>
      <c r="F3417">
        <v>214.7</v>
      </c>
      <c r="K3417" s="3"/>
      <c r="O3417" s="3"/>
    </row>
    <row r="3418" spans="1:15">
      <c r="A3418" s="3">
        <v>39942</v>
      </c>
      <c r="B3418" s="3">
        <v>39942</v>
      </c>
      <c r="C3418">
        <v>150.53</v>
      </c>
      <c r="D3418">
        <v>1.3633999999999999</v>
      </c>
      <c r="E3418">
        <v>58.14</v>
      </c>
      <c r="F3418">
        <v>214.7</v>
      </c>
      <c r="K3418" s="3"/>
      <c r="O3418" s="3"/>
    </row>
    <row r="3419" spans="1:15">
      <c r="A3419" s="3">
        <v>39943</v>
      </c>
      <c r="B3419" s="3">
        <v>39943</v>
      </c>
      <c r="C3419">
        <v>150.53</v>
      </c>
      <c r="D3419">
        <v>1.3633999999999999</v>
      </c>
      <c r="E3419">
        <v>58.14</v>
      </c>
      <c r="F3419">
        <v>214.7</v>
      </c>
      <c r="K3419" s="3"/>
      <c r="O3419" s="3"/>
    </row>
    <row r="3420" spans="1:15">
      <c r="A3420" s="3">
        <v>39944</v>
      </c>
      <c r="B3420" s="3">
        <v>39944</v>
      </c>
      <c r="C3420">
        <v>150.47999999999999</v>
      </c>
      <c r="D3420">
        <v>1.3582000000000001</v>
      </c>
      <c r="E3420">
        <v>57.48</v>
      </c>
      <c r="F3420">
        <v>209.35</v>
      </c>
      <c r="K3420" s="3"/>
      <c r="O3420" s="3"/>
    </row>
    <row r="3421" spans="1:15">
      <c r="A3421" s="3">
        <v>39945</v>
      </c>
      <c r="B3421" s="3">
        <v>39945</v>
      </c>
      <c r="C3421">
        <v>150.21</v>
      </c>
      <c r="D3421">
        <v>1.3648</v>
      </c>
      <c r="E3421">
        <v>57.94</v>
      </c>
      <c r="F3421">
        <v>209</v>
      </c>
      <c r="K3421" s="3"/>
      <c r="O3421" s="3"/>
    </row>
    <row r="3422" spans="1:15">
      <c r="A3422" s="3">
        <v>39946</v>
      </c>
      <c r="B3422" s="3">
        <v>39946</v>
      </c>
      <c r="C3422">
        <v>150.01</v>
      </c>
      <c r="D3422">
        <v>1.36</v>
      </c>
      <c r="E3422">
        <v>57.34</v>
      </c>
      <c r="F3422">
        <v>203.7</v>
      </c>
      <c r="K3422" s="3"/>
      <c r="O3422" s="3"/>
    </row>
    <row r="3423" spans="1:15">
      <c r="A3423" s="3">
        <v>39947</v>
      </c>
      <c r="B3423" s="3">
        <v>39947</v>
      </c>
      <c r="C3423">
        <v>150.21</v>
      </c>
      <c r="D3423">
        <v>1.3638999999999999</v>
      </c>
      <c r="E3423">
        <v>56.69</v>
      </c>
      <c r="F3423">
        <v>203.5</v>
      </c>
      <c r="K3423" s="3"/>
      <c r="O3423" s="3"/>
    </row>
    <row r="3424" spans="1:15">
      <c r="A3424" s="3">
        <v>39948</v>
      </c>
      <c r="B3424" s="3">
        <v>39948</v>
      </c>
      <c r="C3424">
        <v>150.26</v>
      </c>
      <c r="D3424">
        <v>1.3494999999999999</v>
      </c>
      <c r="E3424">
        <v>55.98</v>
      </c>
      <c r="F3424">
        <v>202.8</v>
      </c>
      <c r="K3424" s="3"/>
      <c r="O3424" s="3"/>
    </row>
    <row r="3425" spans="1:15">
      <c r="A3425" s="3">
        <v>39949</v>
      </c>
      <c r="B3425" s="3">
        <v>39949</v>
      </c>
      <c r="C3425">
        <v>150.26</v>
      </c>
      <c r="D3425">
        <v>1.3494999999999999</v>
      </c>
      <c r="E3425">
        <v>55.98</v>
      </c>
      <c r="F3425">
        <v>202.8</v>
      </c>
      <c r="K3425" s="3"/>
      <c r="O3425" s="3"/>
    </row>
    <row r="3426" spans="1:15">
      <c r="A3426" s="3">
        <v>39950</v>
      </c>
      <c r="B3426" s="3">
        <v>39950</v>
      </c>
      <c r="C3426">
        <v>150.26</v>
      </c>
      <c r="D3426">
        <v>1.3494999999999999</v>
      </c>
      <c r="E3426">
        <v>55.98</v>
      </c>
      <c r="F3426">
        <v>202.8</v>
      </c>
      <c r="K3426" s="3"/>
      <c r="O3426" s="3"/>
    </row>
    <row r="3427" spans="1:15">
      <c r="A3427" s="3">
        <v>39951</v>
      </c>
      <c r="B3427" s="3">
        <v>39951</v>
      </c>
      <c r="C3427">
        <v>150.35</v>
      </c>
      <c r="D3427">
        <v>1.3562000000000001</v>
      </c>
      <c r="E3427">
        <v>58.47</v>
      </c>
      <c r="F3427">
        <v>207.55</v>
      </c>
      <c r="K3427" s="3"/>
      <c r="O3427" s="3"/>
    </row>
    <row r="3428" spans="1:15">
      <c r="A3428" s="3">
        <v>39952</v>
      </c>
      <c r="B3428" s="3">
        <v>39952</v>
      </c>
      <c r="C3428">
        <v>150.43</v>
      </c>
      <c r="D3428">
        <v>1.363</v>
      </c>
      <c r="E3428">
        <v>58.92</v>
      </c>
      <c r="F3428">
        <v>206.95</v>
      </c>
      <c r="K3428" s="3"/>
      <c r="O3428" s="3"/>
    </row>
    <row r="3429" spans="1:15">
      <c r="A3429" s="3">
        <v>39953</v>
      </c>
      <c r="B3429" s="3">
        <v>39953</v>
      </c>
      <c r="C3429">
        <v>150.52000000000001</v>
      </c>
      <c r="D3429">
        <v>1.3779999999999999</v>
      </c>
      <c r="E3429">
        <v>60.59</v>
      </c>
      <c r="F3429">
        <v>210.85</v>
      </c>
      <c r="K3429" s="3"/>
      <c r="O3429" s="3"/>
    </row>
    <row r="3430" spans="1:15">
      <c r="A3430" s="3">
        <v>39954</v>
      </c>
      <c r="B3430" s="3">
        <v>39954</v>
      </c>
      <c r="C3430">
        <v>150.37</v>
      </c>
      <c r="D3430">
        <v>1.389</v>
      </c>
      <c r="E3430">
        <v>59.93</v>
      </c>
      <c r="F3430">
        <v>205.4</v>
      </c>
      <c r="K3430" s="3"/>
      <c r="O3430" s="3"/>
    </row>
    <row r="3431" spans="1:15">
      <c r="A3431" s="3">
        <v>39955</v>
      </c>
      <c r="B3431" s="3">
        <v>39955</v>
      </c>
      <c r="C3431">
        <v>150.22999999999999</v>
      </c>
      <c r="D3431">
        <v>1.3997999999999999</v>
      </c>
      <c r="E3431">
        <v>60.78</v>
      </c>
      <c r="F3431">
        <v>210.25</v>
      </c>
      <c r="K3431" s="3"/>
      <c r="O3431" s="3"/>
    </row>
    <row r="3432" spans="1:15">
      <c r="A3432" s="3">
        <v>39956</v>
      </c>
      <c r="B3432" s="3">
        <v>39956</v>
      </c>
      <c r="C3432">
        <v>150.22999999999999</v>
      </c>
      <c r="D3432">
        <v>1.3997999999999999</v>
      </c>
      <c r="E3432">
        <v>60.78</v>
      </c>
      <c r="F3432">
        <v>210.25</v>
      </c>
      <c r="K3432" s="3"/>
      <c r="O3432" s="3"/>
    </row>
    <row r="3433" spans="1:15">
      <c r="A3433" s="3">
        <v>39957</v>
      </c>
      <c r="B3433" s="3">
        <v>39957</v>
      </c>
      <c r="C3433">
        <v>150.22999999999999</v>
      </c>
      <c r="D3433">
        <v>1.3997999999999999</v>
      </c>
      <c r="E3433">
        <v>60.78</v>
      </c>
      <c r="F3433">
        <v>210.25</v>
      </c>
      <c r="K3433" s="3"/>
      <c r="O3433" s="3"/>
    </row>
    <row r="3434" spans="1:15">
      <c r="A3434" s="3">
        <v>39958</v>
      </c>
      <c r="B3434" s="3">
        <v>39958</v>
      </c>
      <c r="C3434">
        <v>149.97</v>
      </c>
      <c r="D3434">
        <v>1.4016999999999999</v>
      </c>
      <c r="E3434">
        <v>60.21</v>
      </c>
      <c r="F3434">
        <v>210.25</v>
      </c>
      <c r="K3434" s="3"/>
      <c r="O3434" s="3"/>
    </row>
    <row r="3435" spans="1:15">
      <c r="A3435" s="3">
        <v>39959</v>
      </c>
      <c r="B3435" s="3">
        <v>39959</v>
      </c>
      <c r="C3435">
        <v>150.02000000000001</v>
      </c>
      <c r="D3435">
        <v>1.3985000000000001</v>
      </c>
      <c r="E3435">
        <v>61.24</v>
      </c>
      <c r="F3435">
        <v>214.75</v>
      </c>
      <c r="K3435" s="3"/>
      <c r="O3435" s="3"/>
    </row>
    <row r="3436" spans="1:15">
      <c r="A3436" s="3">
        <v>39960</v>
      </c>
      <c r="B3436" s="3">
        <v>39960</v>
      </c>
      <c r="C3436">
        <v>150.33000000000001</v>
      </c>
      <c r="D3436">
        <v>1.3825000000000001</v>
      </c>
      <c r="E3436">
        <v>62.5</v>
      </c>
      <c r="F3436">
        <v>211.65</v>
      </c>
      <c r="K3436" s="3"/>
      <c r="O3436" s="3"/>
    </row>
    <row r="3437" spans="1:15">
      <c r="A3437" s="3">
        <v>39961</v>
      </c>
      <c r="B3437" s="3">
        <v>39961</v>
      </c>
      <c r="C3437">
        <v>150.35</v>
      </c>
      <c r="D3437">
        <v>1.3940999999999999</v>
      </c>
      <c r="E3437">
        <v>64.39</v>
      </c>
      <c r="F3437">
        <v>213.7</v>
      </c>
      <c r="K3437" s="3"/>
      <c r="O3437" s="3"/>
    </row>
    <row r="3438" spans="1:15">
      <c r="A3438" s="3">
        <v>39962</v>
      </c>
      <c r="B3438" s="3">
        <v>39962</v>
      </c>
      <c r="C3438">
        <v>150.52000000000001</v>
      </c>
      <c r="D3438">
        <v>1.4157999999999999</v>
      </c>
      <c r="E3438">
        <v>65.52</v>
      </c>
      <c r="F3438">
        <v>219.75</v>
      </c>
      <c r="K3438" s="3"/>
      <c r="O3438" s="3"/>
    </row>
    <row r="3439" spans="1:15">
      <c r="A3439" s="3">
        <v>39963</v>
      </c>
      <c r="B3439" s="3">
        <v>39963</v>
      </c>
      <c r="C3439">
        <v>150.52000000000001</v>
      </c>
      <c r="D3439">
        <v>1.4157999999999999</v>
      </c>
      <c r="E3439">
        <v>65.52</v>
      </c>
      <c r="F3439">
        <v>219.75</v>
      </c>
      <c r="K3439" s="3"/>
      <c r="O3439" s="3"/>
    </row>
    <row r="3440" spans="1:15">
      <c r="A3440" s="3">
        <v>39964</v>
      </c>
      <c r="B3440" s="3">
        <v>39964</v>
      </c>
      <c r="C3440">
        <v>150.52000000000001</v>
      </c>
      <c r="D3440">
        <v>1.4157999999999999</v>
      </c>
      <c r="E3440">
        <v>65.52</v>
      </c>
      <c r="F3440">
        <v>219.75</v>
      </c>
      <c r="K3440" s="3"/>
      <c r="O3440" s="3"/>
    </row>
    <row r="3441" spans="1:15">
      <c r="A3441" s="3">
        <v>39965</v>
      </c>
      <c r="B3441" s="3">
        <v>39965</v>
      </c>
      <c r="C3441">
        <v>150.28</v>
      </c>
      <c r="D3441">
        <v>1.4158999999999999</v>
      </c>
      <c r="E3441">
        <v>67.97</v>
      </c>
      <c r="F3441">
        <v>231.9</v>
      </c>
      <c r="K3441" s="3"/>
      <c r="O3441" s="3"/>
    </row>
    <row r="3442" spans="1:15">
      <c r="A3442" s="3">
        <v>39966</v>
      </c>
      <c r="B3442" s="3">
        <v>39966</v>
      </c>
      <c r="C3442">
        <v>150.44999999999999</v>
      </c>
      <c r="D3442">
        <v>1.4302999999999999</v>
      </c>
      <c r="E3442">
        <v>68.17</v>
      </c>
      <c r="F3442">
        <v>229.75</v>
      </c>
      <c r="K3442" s="3"/>
      <c r="O3442" s="3"/>
    </row>
    <row r="3443" spans="1:15">
      <c r="A3443" s="3">
        <v>39967</v>
      </c>
      <c r="B3443" s="3">
        <v>39967</v>
      </c>
      <c r="C3443">
        <v>150.27000000000001</v>
      </c>
      <c r="D3443">
        <v>1.4161999999999999</v>
      </c>
      <c r="E3443">
        <v>65.88</v>
      </c>
      <c r="F3443">
        <v>221.2</v>
      </c>
      <c r="K3443" s="3"/>
      <c r="O3443" s="3"/>
    </row>
    <row r="3444" spans="1:15">
      <c r="A3444" s="3">
        <v>39968</v>
      </c>
      <c r="B3444" s="3">
        <v>39968</v>
      </c>
      <c r="C3444">
        <v>150.25</v>
      </c>
      <c r="D3444">
        <v>1.4182999999999999</v>
      </c>
      <c r="E3444">
        <v>68.709999999999994</v>
      </c>
      <c r="F3444">
        <v>230.1</v>
      </c>
      <c r="K3444" s="3"/>
      <c r="O3444" s="3"/>
    </row>
    <row r="3445" spans="1:15">
      <c r="A3445" s="3">
        <v>39969</v>
      </c>
      <c r="B3445" s="3">
        <v>39969</v>
      </c>
      <c r="C3445">
        <v>150.33000000000001</v>
      </c>
      <c r="D3445">
        <v>1.3968</v>
      </c>
      <c r="E3445">
        <v>68.34</v>
      </c>
      <c r="F3445">
        <v>228.4</v>
      </c>
      <c r="K3445" s="3"/>
      <c r="O3445" s="3"/>
    </row>
    <row r="3446" spans="1:15">
      <c r="A3446" s="3">
        <v>39970</v>
      </c>
      <c r="B3446" s="3">
        <v>39970</v>
      </c>
      <c r="C3446">
        <v>150.33000000000001</v>
      </c>
      <c r="D3446">
        <v>1.3968</v>
      </c>
      <c r="E3446">
        <v>68.34</v>
      </c>
      <c r="F3446">
        <v>228.4</v>
      </c>
      <c r="K3446" s="3"/>
      <c r="O3446" s="3"/>
    </row>
    <row r="3447" spans="1:15">
      <c r="A3447" s="3">
        <v>39971</v>
      </c>
      <c r="B3447" s="3">
        <v>39971</v>
      </c>
      <c r="C3447">
        <v>150.33000000000001</v>
      </c>
      <c r="D3447">
        <v>1.3968</v>
      </c>
      <c r="E3447">
        <v>68.34</v>
      </c>
      <c r="F3447">
        <v>228.4</v>
      </c>
      <c r="K3447" s="3"/>
      <c r="O3447" s="3"/>
    </row>
    <row r="3448" spans="1:15">
      <c r="A3448" s="3">
        <v>39972</v>
      </c>
      <c r="B3448" s="3">
        <v>39972</v>
      </c>
      <c r="C3448">
        <v>150.36000000000001</v>
      </c>
      <c r="D3448">
        <v>1.39</v>
      </c>
      <c r="E3448">
        <v>67.88</v>
      </c>
      <c r="F3448">
        <v>225.3</v>
      </c>
      <c r="K3448" s="3"/>
      <c r="O3448" s="3"/>
    </row>
    <row r="3449" spans="1:15">
      <c r="A3449" s="3">
        <v>39973</v>
      </c>
      <c r="B3449" s="3">
        <v>39973</v>
      </c>
      <c r="C3449">
        <v>150.33000000000001</v>
      </c>
      <c r="D3449">
        <v>1.4065000000000001</v>
      </c>
      <c r="E3449">
        <v>69.62</v>
      </c>
      <c r="F3449">
        <v>236.55</v>
      </c>
      <c r="K3449" s="3"/>
      <c r="O3449" s="3"/>
    </row>
    <row r="3450" spans="1:15">
      <c r="A3450" s="3">
        <v>39974</v>
      </c>
      <c r="B3450" s="3">
        <v>39974</v>
      </c>
      <c r="C3450">
        <v>150.38</v>
      </c>
      <c r="D3450">
        <v>1.3984000000000001</v>
      </c>
      <c r="E3450">
        <v>70.8</v>
      </c>
      <c r="F3450">
        <v>236.7</v>
      </c>
      <c r="K3450" s="3"/>
      <c r="O3450" s="3"/>
    </row>
    <row r="3451" spans="1:15">
      <c r="A3451" s="3">
        <v>39975</v>
      </c>
      <c r="B3451" s="3">
        <v>39975</v>
      </c>
      <c r="C3451">
        <v>150.41</v>
      </c>
      <c r="D3451">
        <v>1.4108000000000001</v>
      </c>
      <c r="E3451">
        <v>71.790000000000006</v>
      </c>
      <c r="F3451">
        <v>244.5</v>
      </c>
      <c r="K3451" s="3"/>
      <c r="O3451" s="3"/>
    </row>
    <row r="3452" spans="1:15">
      <c r="A3452" s="3">
        <v>39976</v>
      </c>
      <c r="B3452" s="3">
        <v>39976</v>
      </c>
      <c r="C3452">
        <v>150.27000000000001</v>
      </c>
      <c r="D3452">
        <v>1.4016</v>
      </c>
      <c r="E3452">
        <v>70.92</v>
      </c>
      <c r="F3452">
        <v>237.35</v>
      </c>
      <c r="K3452" s="3"/>
      <c r="O3452" s="3"/>
    </row>
    <row r="3453" spans="1:15">
      <c r="A3453" s="3">
        <v>39977</v>
      </c>
      <c r="B3453" s="3">
        <v>39977</v>
      </c>
      <c r="C3453">
        <v>150.27000000000001</v>
      </c>
      <c r="D3453">
        <v>1.4016</v>
      </c>
      <c r="E3453">
        <v>70.92</v>
      </c>
      <c r="F3453">
        <v>237.35</v>
      </c>
      <c r="K3453" s="3"/>
      <c r="O3453" s="3"/>
    </row>
    <row r="3454" spans="1:15">
      <c r="A3454" s="3">
        <v>39978</v>
      </c>
      <c r="B3454" s="3">
        <v>39978</v>
      </c>
      <c r="C3454">
        <v>150.27000000000001</v>
      </c>
      <c r="D3454">
        <v>1.4016</v>
      </c>
      <c r="E3454">
        <v>70.92</v>
      </c>
      <c r="F3454">
        <v>237.35</v>
      </c>
      <c r="K3454" s="3"/>
      <c r="O3454" s="3"/>
    </row>
    <row r="3455" spans="1:15">
      <c r="A3455" s="3">
        <v>39979</v>
      </c>
      <c r="B3455" s="3">
        <v>39979</v>
      </c>
      <c r="C3455">
        <v>150.30000000000001</v>
      </c>
      <c r="D3455">
        <v>1.3803000000000001</v>
      </c>
      <c r="E3455">
        <v>69.44</v>
      </c>
      <c r="F3455">
        <v>228.5</v>
      </c>
      <c r="K3455" s="3"/>
      <c r="O3455" s="3"/>
    </row>
    <row r="3456" spans="1:15">
      <c r="A3456" s="3">
        <v>39980</v>
      </c>
      <c r="B3456" s="3">
        <v>39980</v>
      </c>
      <c r="C3456">
        <v>150.27000000000001</v>
      </c>
      <c r="D3456">
        <v>1.3836999999999999</v>
      </c>
      <c r="E3456">
        <v>70.239999999999995</v>
      </c>
      <c r="F3456">
        <v>225.55</v>
      </c>
      <c r="K3456" s="3"/>
      <c r="O3456" s="3"/>
    </row>
    <row r="3457" spans="1:15">
      <c r="A3457" s="3">
        <v>39981</v>
      </c>
      <c r="B3457" s="3">
        <v>39981</v>
      </c>
      <c r="C3457">
        <v>150.28</v>
      </c>
      <c r="D3457">
        <v>1.3942000000000001</v>
      </c>
      <c r="E3457">
        <v>70.849999999999994</v>
      </c>
      <c r="F3457">
        <v>225.95</v>
      </c>
      <c r="K3457" s="3"/>
      <c r="O3457" s="3"/>
    </row>
    <row r="3458" spans="1:15">
      <c r="A3458" s="3">
        <v>39982</v>
      </c>
      <c r="B3458" s="3">
        <v>39982</v>
      </c>
      <c r="C3458">
        <v>150.29</v>
      </c>
      <c r="D3458">
        <v>1.39</v>
      </c>
      <c r="E3458">
        <v>71.06</v>
      </c>
      <c r="F3458">
        <v>227.2</v>
      </c>
      <c r="K3458" s="3"/>
      <c r="O3458" s="3"/>
    </row>
    <row r="3459" spans="1:15">
      <c r="A3459" s="3">
        <v>39983</v>
      </c>
      <c r="B3459" s="3">
        <v>39983</v>
      </c>
      <c r="C3459">
        <v>150.31</v>
      </c>
      <c r="D3459">
        <v>1.3936999999999999</v>
      </c>
      <c r="E3459">
        <v>69.19</v>
      </c>
      <c r="F3459">
        <v>225.05</v>
      </c>
      <c r="K3459" s="3"/>
      <c r="O3459" s="3"/>
    </row>
    <row r="3460" spans="1:15">
      <c r="A3460" s="3">
        <v>39984</v>
      </c>
      <c r="B3460" s="3">
        <v>39984</v>
      </c>
      <c r="C3460">
        <v>150.31</v>
      </c>
      <c r="D3460">
        <v>1.3936999999999999</v>
      </c>
      <c r="E3460">
        <v>69.19</v>
      </c>
      <c r="F3460">
        <v>225.05</v>
      </c>
      <c r="K3460" s="3"/>
      <c r="O3460" s="3"/>
    </row>
    <row r="3461" spans="1:15">
      <c r="A3461" s="3">
        <v>39985</v>
      </c>
      <c r="B3461" s="3">
        <v>39985</v>
      </c>
      <c r="C3461">
        <v>150.31</v>
      </c>
      <c r="D3461">
        <v>1.3936999999999999</v>
      </c>
      <c r="E3461">
        <v>69.19</v>
      </c>
      <c r="F3461">
        <v>225.05</v>
      </c>
      <c r="K3461" s="3"/>
      <c r="O3461" s="3"/>
    </row>
    <row r="3462" spans="1:15">
      <c r="A3462" s="3">
        <v>39986</v>
      </c>
      <c r="B3462" s="3">
        <v>39986</v>
      </c>
      <c r="C3462">
        <v>150.49</v>
      </c>
      <c r="D3462">
        <v>1.3865000000000001</v>
      </c>
      <c r="E3462">
        <v>66.98</v>
      </c>
      <c r="F3462">
        <v>213.2</v>
      </c>
      <c r="K3462" s="3"/>
      <c r="O3462" s="3"/>
    </row>
    <row r="3463" spans="1:15">
      <c r="A3463" s="3">
        <v>39987</v>
      </c>
      <c r="B3463" s="3">
        <v>39987</v>
      </c>
      <c r="C3463">
        <v>150.53</v>
      </c>
      <c r="D3463">
        <v>1.4077</v>
      </c>
      <c r="E3463">
        <v>68.8</v>
      </c>
      <c r="F3463">
        <v>219.85</v>
      </c>
      <c r="K3463" s="3"/>
      <c r="O3463" s="3"/>
    </row>
    <row r="3464" spans="1:15">
      <c r="A3464" s="3">
        <v>39988</v>
      </c>
      <c r="B3464" s="3">
        <v>39988</v>
      </c>
      <c r="C3464">
        <v>150.47999999999999</v>
      </c>
      <c r="D3464">
        <v>1.393</v>
      </c>
      <c r="E3464">
        <v>68.33</v>
      </c>
      <c r="F3464">
        <v>226.75</v>
      </c>
      <c r="K3464" s="3"/>
      <c r="O3464" s="3"/>
    </row>
    <row r="3465" spans="1:15">
      <c r="A3465" s="3">
        <v>39989</v>
      </c>
      <c r="B3465" s="3">
        <v>39989</v>
      </c>
      <c r="C3465">
        <v>150.4</v>
      </c>
      <c r="D3465">
        <v>1.3988</v>
      </c>
      <c r="E3465">
        <v>69.78</v>
      </c>
      <c r="F3465">
        <v>230.15</v>
      </c>
      <c r="K3465" s="3"/>
      <c r="O3465" s="3"/>
    </row>
    <row r="3466" spans="1:15">
      <c r="A3466" s="3">
        <v>39990</v>
      </c>
      <c r="B3466" s="3">
        <v>39990</v>
      </c>
      <c r="C3466">
        <v>150.44999999999999</v>
      </c>
      <c r="D3466">
        <v>1.4056</v>
      </c>
      <c r="E3466">
        <v>68.92</v>
      </c>
      <c r="F3466">
        <v>229.35</v>
      </c>
      <c r="K3466" s="3"/>
      <c r="O3466" s="3"/>
    </row>
    <row r="3467" spans="1:15">
      <c r="A3467" s="3">
        <v>39991</v>
      </c>
      <c r="B3467" s="3">
        <v>39991</v>
      </c>
      <c r="C3467">
        <v>150.44999999999999</v>
      </c>
      <c r="D3467">
        <v>1.4056</v>
      </c>
      <c r="E3467">
        <v>68.92</v>
      </c>
      <c r="F3467">
        <v>229.35</v>
      </c>
      <c r="K3467" s="3"/>
      <c r="O3467" s="3"/>
    </row>
    <row r="3468" spans="1:15">
      <c r="A3468" s="3">
        <v>39992</v>
      </c>
      <c r="B3468" s="3">
        <v>39992</v>
      </c>
      <c r="C3468">
        <v>150.44999999999999</v>
      </c>
      <c r="D3468">
        <v>1.4056</v>
      </c>
      <c r="E3468">
        <v>68.92</v>
      </c>
      <c r="F3468">
        <v>229.35</v>
      </c>
      <c r="K3468" s="3"/>
      <c r="O3468" s="3"/>
    </row>
    <row r="3469" spans="1:15">
      <c r="A3469" s="3">
        <v>39993</v>
      </c>
      <c r="B3469" s="3">
        <v>39993</v>
      </c>
      <c r="C3469">
        <v>150.51</v>
      </c>
      <c r="D3469">
        <v>1.4083000000000001</v>
      </c>
      <c r="E3469">
        <v>70.989999999999995</v>
      </c>
      <c r="F3469">
        <v>231.25</v>
      </c>
      <c r="K3469" s="3"/>
      <c r="O3469" s="3"/>
    </row>
    <row r="3470" spans="1:15">
      <c r="A3470" s="3">
        <v>39994</v>
      </c>
      <c r="B3470" s="3">
        <v>39994</v>
      </c>
      <c r="C3470">
        <v>150.43</v>
      </c>
      <c r="D3470">
        <v>1.4033</v>
      </c>
      <c r="E3470">
        <v>69.3</v>
      </c>
      <c r="F3470">
        <v>225.8</v>
      </c>
      <c r="K3470" s="3"/>
      <c r="O3470" s="3"/>
    </row>
    <row r="3471" spans="1:15">
      <c r="A3471" s="3">
        <v>39995</v>
      </c>
      <c r="B3471" s="3">
        <v>39995</v>
      </c>
      <c r="C3471">
        <v>150.38999999999999</v>
      </c>
      <c r="D3471">
        <v>1.4141999999999999</v>
      </c>
      <c r="E3471">
        <v>68.790000000000006</v>
      </c>
      <c r="F3471">
        <v>231.5</v>
      </c>
      <c r="K3471" s="3"/>
      <c r="O3471" s="3"/>
    </row>
    <row r="3472" spans="1:15">
      <c r="A3472" s="3">
        <v>39996</v>
      </c>
      <c r="B3472" s="3">
        <v>39996</v>
      </c>
      <c r="C3472">
        <v>150.33000000000001</v>
      </c>
      <c r="D3472">
        <v>1.4003000000000001</v>
      </c>
      <c r="E3472">
        <v>66.650000000000006</v>
      </c>
      <c r="F3472">
        <v>229</v>
      </c>
      <c r="K3472" s="3"/>
      <c r="O3472" s="3"/>
    </row>
    <row r="3473" spans="1:15">
      <c r="A3473" s="3">
        <v>39997</v>
      </c>
      <c r="B3473" s="3">
        <v>39997</v>
      </c>
      <c r="C3473">
        <v>150.41999999999999</v>
      </c>
      <c r="D3473">
        <v>1.3979999999999999</v>
      </c>
      <c r="E3473">
        <v>65.61</v>
      </c>
      <c r="F3473">
        <v>229</v>
      </c>
      <c r="K3473" s="3"/>
      <c r="O3473" s="3"/>
    </row>
    <row r="3474" spans="1:15">
      <c r="A3474" s="3">
        <v>39998</v>
      </c>
      <c r="B3474" s="3">
        <v>39998</v>
      </c>
      <c r="C3474">
        <v>150.41999999999999</v>
      </c>
      <c r="D3474">
        <v>1.3979999999999999</v>
      </c>
      <c r="E3474">
        <v>65.61</v>
      </c>
      <c r="F3474">
        <v>229</v>
      </c>
      <c r="K3474" s="3"/>
      <c r="O3474" s="3"/>
    </row>
    <row r="3475" spans="1:15">
      <c r="A3475" s="3">
        <v>39999</v>
      </c>
      <c r="B3475" s="3">
        <v>39999</v>
      </c>
      <c r="C3475">
        <v>150.41999999999999</v>
      </c>
      <c r="D3475">
        <v>1.3979999999999999</v>
      </c>
      <c r="E3475">
        <v>65.61</v>
      </c>
      <c r="F3475">
        <v>229</v>
      </c>
      <c r="K3475" s="3"/>
      <c r="O3475" s="3"/>
    </row>
    <row r="3476" spans="1:15">
      <c r="A3476" s="3">
        <v>40000</v>
      </c>
      <c r="B3476" s="3">
        <v>40000</v>
      </c>
      <c r="C3476">
        <v>150.41999999999999</v>
      </c>
      <c r="D3476">
        <v>1.3984000000000001</v>
      </c>
      <c r="E3476">
        <v>64.05</v>
      </c>
      <c r="F3476">
        <v>225.05</v>
      </c>
      <c r="K3476" s="3"/>
      <c r="O3476" s="3"/>
    </row>
    <row r="3477" spans="1:15">
      <c r="A3477" s="3">
        <v>40001</v>
      </c>
      <c r="B3477" s="3">
        <v>40001</v>
      </c>
      <c r="C3477">
        <v>150.55000000000001</v>
      </c>
      <c r="D3477">
        <v>1.3924000000000001</v>
      </c>
      <c r="E3477">
        <v>63.23</v>
      </c>
      <c r="F3477">
        <v>221.4</v>
      </c>
      <c r="K3477" s="3"/>
      <c r="O3477" s="3"/>
    </row>
    <row r="3478" spans="1:15">
      <c r="A3478" s="3">
        <v>40002</v>
      </c>
      <c r="B3478" s="3">
        <v>40002</v>
      </c>
      <c r="C3478">
        <v>150.55000000000001</v>
      </c>
      <c r="D3478">
        <v>1.3884000000000001</v>
      </c>
      <c r="E3478">
        <v>60.43</v>
      </c>
      <c r="F3478">
        <v>214.8</v>
      </c>
      <c r="K3478" s="3"/>
      <c r="O3478" s="3"/>
    </row>
    <row r="3479" spans="1:15">
      <c r="A3479" s="3">
        <v>40003</v>
      </c>
      <c r="B3479" s="3">
        <v>40003</v>
      </c>
      <c r="C3479">
        <v>150.66999999999999</v>
      </c>
      <c r="D3479">
        <v>1.4019999999999999</v>
      </c>
      <c r="E3479">
        <v>61.1</v>
      </c>
      <c r="F3479">
        <v>222.65</v>
      </c>
      <c r="K3479" s="3"/>
      <c r="O3479" s="3"/>
    </row>
    <row r="3480" spans="1:15">
      <c r="A3480" s="3">
        <v>40004</v>
      </c>
      <c r="B3480" s="3">
        <v>40004</v>
      </c>
      <c r="C3480">
        <v>150.56</v>
      </c>
      <c r="D3480">
        <v>1.3935999999999999</v>
      </c>
      <c r="E3480">
        <v>60.52</v>
      </c>
      <c r="F3480">
        <v>220.05</v>
      </c>
      <c r="K3480" s="3"/>
      <c r="O3480" s="3"/>
    </row>
    <row r="3481" spans="1:15">
      <c r="A3481" s="3">
        <v>40005</v>
      </c>
      <c r="B3481" s="3">
        <v>40005</v>
      </c>
      <c r="C3481">
        <v>150.56</v>
      </c>
      <c r="D3481">
        <v>1.3935999999999999</v>
      </c>
      <c r="E3481">
        <v>60.52</v>
      </c>
      <c r="F3481">
        <v>220.05</v>
      </c>
      <c r="K3481" s="3"/>
      <c r="O3481" s="3"/>
    </row>
    <row r="3482" spans="1:15">
      <c r="A3482" s="3">
        <v>40006</v>
      </c>
      <c r="B3482" s="3">
        <v>40006</v>
      </c>
      <c r="C3482">
        <v>150.56</v>
      </c>
      <c r="D3482">
        <v>1.3935999999999999</v>
      </c>
      <c r="E3482">
        <v>60.52</v>
      </c>
      <c r="F3482">
        <v>220.05</v>
      </c>
      <c r="K3482" s="3"/>
      <c r="O3482" s="3"/>
    </row>
    <row r="3483" spans="1:15">
      <c r="A3483" s="3">
        <v>40007</v>
      </c>
      <c r="B3483" s="3">
        <v>40007</v>
      </c>
      <c r="C3483">
        <v>150.55000000000001</v>
      </c>
      <c r="D3483">
        <v>1.3977999999999999</v>
      </c>
      <c r="E3483">
        <v>60.69</v>
      </c>
      <c r="F3483">
        <v>221.3</v>
      </c>
      <c r="K3483" s="3"/>
      <c r="O3483" s="3"/>
    </row>
    <row r="3484" spans="1:15">
      <c r="A3484" s="3">
        <v>40008</v>
      </c>
      <c r="B3484" s="3">
        <v>40008</v>
      </c>
      <c r="C3484">
        <v>150.77000000000001</v>
      </c>
      <c r="D3484">
        <v>1.3967000000000001</v>
      </c>
      <c r="E3484">
        <v>60.86</v>
      </c>
      <c r="F3484">
        <v>229</v>
      </c>
      <c r="K3484" s="3"/>
      <c r="O3484" s="3"/>
    </row>
    <row r="3485" spans="1:15">
      <c r="A3485" s="3">
        <v>40009</v>
      </c>
      <c r="B3485" s="3">
        <v>40009</v>
      </c>
      <c r="C3485">
        <v>152.97999999999999</v>
      </c>
      <c r="D3485">
        <v>1.4107000000000001</v>
      </c>
      <c r="E3485">
        <v>63.09</v>
      </c>
      <c r="F3485">
        <v>238.25</v>
      </c>
      <c r="K3485" s="3"/>
      <c r="O3485" s="3"/>
    </row>
    <row r="3486" spans="1:15">
      <c r="A3486" s="3">
        <v>40010</v>
      </c>
      <c r="B3486" s="3">
        <v>40010</v>
      </c>
      <c r="C3486">
        <v>150.80000000000001</v>
      </c>
      <c r="D3486">
        <v>1.4148000000000001</v>
      </c>
      <c r="E3486">
        <v>62.75</v>
      </c>
      <c r="F3486">
        <v>238</v>
      </c>
      <c r="K3486" s="3"/>
      <c r="O3486" s="3"/>
    </row>
    <row r="3487" spans="1:15">
      <c r="A3487" s="3">
        <v>40011</v>
      </c>
      <c r="B3487" s="3">
        <v>40011</v>
      </c>
      <c r="C3487">
        <v>150.82</v>
      </c>
      <c r="D3487">
        <v>1.4101999999999999</v>
      </c>
      <c r="E3487">
        <v>65.38</v>
      </c>
      <c r="F3487">
        <v>241.4</v>
      </c>
      <c r="K3487" s="3"/>
      <c r="O3487" s="3"/>
    </row>
    <row r="3488" spans="1:15">
      <c r="A3488" s="3">
        <v>40012</v>
      </c>
      <c r="B3488" s="3">
        <v>40012</v>
      </c>
      <c r="C3488">
        <v>150.82</v>
      </c>
      <c r="D3488">
        <v>1.4101999999999999</v>
      </c>
      <c r="E3488">
        <v>65.38</v>
      </c>
      <c r="F3488">
        <v>241.4</v>
      </c>
      <c r="K3488" s="3"/>
      <c r="O3488" s="3"/>
    </row>
    <row r="3489" spans="1:15">
      <c r="A3489" s="3">
        <v>40013</v>
      </c>
      <c r="B3489" s="3">
        <v>40013</v>
      </c>
      <c r="C3489">
        <v>150.82</v>
      </c>
      <c r="D3489">
        <v>1.4101999999999999</v>
      </c>
      <c r="E3489">
        <v>65.38</v>
      </c>
      <c r="F3489">
        <v>241.4</v>
      </c>
      <c r="K3489" s="3"/>
      <c r="O3489" s="3"/>
    </row>
    <row r="3490" spans="1:15">
      <c r="A3490" s="3">
        <v>40014</v>
      </c>
      <c r="B3490" s="3">
        <v>40014</v>
      </c>
      <c r="C3490">
        <v>150.93</v>
      </c>
      <c r="D3490">
        <v>1.4231</v>
      </c>
      <c r="E3490">
        <v>66.44</v>
      </c>
      <c r="F3490">
        <v>246</v>
      </c>
      <c r="K3490" s="3"/>
      <c r="O3490" s="3"/>
    </row>
    <row r="3491" spans="1:15">
      <c r="A3491" s="3">
        <v>40015</v>
      </c>
      <c r="B3491" s="3">
        <v>40015</v>
      </c>
      <c r="C3491">
        <v>150.88999999999999</v>
      </c>
      <c r="D3491">
        <v>1.4226000000000001</v>
      </c>
      <c r="E3491">
        <v>66.87</v>
      </c>
      <c r="F3491">
        <v>244.35</v>
      </c>
      <c r="K3491" s="3"/>
      <c r="O3491" s="3"/>
    </row>
    <row r="3492" spans="1:15">
      <c r="A3492" s="3">
        <v>40016</v>
      </c>
      <c r="B3492" s="3">
        <v>40016</v>
      </c>
      <c r="C3492">
        <v>150.74</v>
      </c>
      <c r="D3492">
        <v>1.4219999999999999</v>
      </c>
      <c r="E3492">
        <v>67.209999999999994</v>
      </c>
      <c r="F3492">
        <v>251.8</v>
      </c>
      <c r="K3492" s="3"/>
      <c r="O3492" s="3"/>
    </row>
    <row r="3493" spans="1:15">
      <c r="A3493" s="3">
        <v>40017</v>
      </c>
      <c r="B3493" s="3">
        <v>40017</v>
      </c>
      <c r="C3493">
        <v>150.61000000000001</v>
      </c>
      <c r="D3493">
        <v>1.4142999999999999</v>
      </c>
      <c r="E3493">
        <v>69.25</v>
      </c>
      <c r="F3493">
        <v>251.9</v>
      </c>
      <c r="K3493" s="3"/>
      <c r="O3493" s="3"/>
    </row>
    <row r="3494" spans="1:15">
      <c r="A3494" s="3">
        <v>40018</v>
      </c>
      <c r="B3494" s="3">
        <v>40018</v>
      </c>
      <c r="C3494">
        <v>150.75</v>
      </c>
      <c r="D3494">
        <v>1.4201999999999999</v>
      </c>
      <c r="E3494">
        <v>70.319999999999993</v>
      </c>
      <c r="F3494">
        <v>251.7</v>
      </c>
      <c r="K3494" s="3"/>
      <c r="O3494" s="3"/>
    </row>
    <row r="3495" spans="1:15">
      <c r="A3495" s="3">
        <v>40019</v>
      </c>
      <c r="B3495" s="3">
        <v>40019</v>
      </c>
      <c r="C3495">
        <v>150.75</v>
      </c>
      <c r="D3495">
        <v>1.4201999999999999</v>
      </c>
      <c r="E3495">
        <v>70.319999999999993</v>
      </c>
      <c r="F3495">
        <v>251.7</v>
      </c>
      <c r="K3495" s="3"/>
      <c r="O3495" s="3"/>
    </row>
    <row r="3496" spans="1:15">
      <c r="A3496" s="3">
        <v>40020</v>
      </c>
      <c r="B3496" s="3">
        <v>40020</v>
      </c>
      <c r="C3496">
        <v>150.75</v>
      </c>
      <c r="D3496">
        <v>1.4201999999999999</v>
      </c>
      <c r="E3496">
        <v>70.319999999999993</v>
      </c>
      <c r="F3496">
        <v>251.7</v>
      </c>
      <c r="K3496" s="3"/>
      <c r="O3496" s="3"/>
    </row>
    <row r="3497" spans="1:15">
      <c r="A3497" s="3">
        <v>40021</v>
      </c>
      <c r="B3497" s="3">
        <v>40021</v>
      </c>
      <c r="C3497">
        <v>150.84</v>
      </c>
      <c r="D3497">
        <v>1.4232</v>
      </c>
      <c r="E3497">
        <v>70.81</v>
      </c>
      <c r="F3497">
        <v>254</v>
      </c>
      <c r="K3497" s="3"/>
      <c r="O3497" s="3"/>
    </row>
    <row r="3498" spans="1:15">
      <c r="A3498" s="3">
        <v>40022</v>
      </c>
      <c r="B3498" s="3">
        <v>40022</v>
      </c>
      <c r="C3498">
        <v>150.75</v>
      </c>
      <c r="D3498">
        <v>1.4167000000000001</v>
      </c>
      <c r="E3498">
        <v>69.88</v>
      </c>
      <c r="F3498">
        <v>251.5</v>
      </c>
      <c r="K3498" s="3"/>
      <c r="O3498" s="3"/>
    </row>
    <row r="3499" spans="1:15">
      <c r="A3499" s="3">
        <v>40023</v>
      </c>
      <c r="B3499" s="3">
        <v>40023</v>
      </c>
      <c r="C3499">
        <v>150.76</v>
      </c>
      <c r="D3499">
        <v>1.405</v>
      </c>
      <c r="E3499">
        <v>66.53</v>
      </c>
      <c r="F3499">
        <v>247.2</v>
      </c>
      <c r="K3499" s="3"/>
      <c r="O3499" s="3"/>
    </row>
    <row r="3500" spans="1:15">
      <c r="A3500" s="3">
        <v>40024</v>
      </c>
      <c r="B3500" s="3">
        <v>40024</v>
      </c>
      <c r="C3500">
        <v>150.78</v>
      </c>
      <c r="D3500">
        <v>1.4075</v>
      </c>
      <c r="E3500">
        <v>70.11</v>
      </c>
      <c r="F3500">
        <v>256.39999999999998</v>
      </c>
      <c r="K3500" s="3"/>
      <c r="O3500" s="3"/>
    </row>
    <row r="3501" spans="1:15">
      <c r="A3501" s="3">
        <v>40025</v>
      </c>
      <c r="B3501" s="3">
        <v>40025</v>
      </c>
      <c r="C3501">
        <v>150.76</v>
      </c>
      <c r="D3501">
        <v>1.4257</v>
      </c>
      <c r="E3501">
        <v>71.7</v>
      </c>
      <c r="F3501">
        <v>262.35000000000002</v>
      </c>
      <c r="K3501" s="3"/>
      <c r="O3501" s="3"/>
    </row>
    <row r="3502" spans="1:15">
      <c r="A3502" s="3">
        <v>40026</v>
      </c>
      <c r="B3502" s="3">
        <v>40026</v>
      </c>
      <c r="C3502">
        <v>150.76</v>
      </c>
      <c r="D3502">
        <v>1.4257</v>
      </c>
      <c r="E3502">
        <v>71.7</v>
      </c>
      <c r="F3502">
        <v>262.35000000000002</v>
      </c>
      <c r="K3502" s="3"/>
      <c r="O3502" s="3"/>
    </row>
    <row r="3503" spans="1:15">
      <c r="A3503" s="3">
        <v>40027</v>
      </c>
      <c r="B3503" s="3">
        <v>40027</v>
      </c>
      <c r="C3503">
        <v>150.76</v>
      </c>
      <c r="D3503">
        <v>1.4257</v>
      </c>
      <c r="E3503">
        <v>71.7</v>
      </c>
      <c r="F3503">
        <v>262.35000000000002</v>
      </c>
      <c r="K3503" s="3"/>
      <c r="O3503" s="3"/>
    </row>
    <row r="3504" spans="1:15">
      <c r="A3504" s="3">
        <v>40028</v>
      </c>
      <c r="B3504" s="3">
        <v>40028</v>
      </c>
      <c r="C3504">
        <v>150.81</v>
      </c>
      <c r="D3504">
        <v>1.4412</v>
      </c>
      <c r="E3504">
        <v>73.55</v>
      </c>
      <c r="F3504">
        <v>273.85000000000002</v>
      </c>
      <c r="K3504" s="3"/>
      <c r="O3504" s="3"/>
    </row>
    <row r="3505" spans="1:15">
      <c r="A3505" s="3">
        <v>40029</v>
      </c>
      <c r="B3505" s="3">
        <v>40029</v>
      </c>
      <c r="C3505">
        <v>150.86000000000001</v>
      </c>
      <c r="D3505">
        <v>1.4408000000000001</v>
      </c>
      <c r="E3505">
        <v>74.28</v>
      </c>
      <c r="F3505">
        <v>279.55</v>
      </c>
      <c r="K3505" s="3"/>
      <c r="O3505" s="3"/>
    </row>
    <row r="3506" spans="1:15">
      <c r="A3506" s="3">
        <v>40030</v>
      </c>
      <c r="B3506" s="3">
        <v>40030</v>
      </c>
      <c r="C3506">
        <v>150.77000000000001</v>
      </c>
      <c r="D3506">
        <v>1.4403999999999999</v>
      </c>
      <c r="E3506">
        <v>75.510000000000005</v>
      </c>
      <c r="F3506">
        <v>281.2</v>
      </c>
      <c r="K3506" s="3"/>
      <c r="O3506" s="3"/>
    </row>
    <row r="3507" spans="1:15">
      <c r="A3507" s="3">
        <v>40031</v>
      </c>
      <c r="B3507" s="3">
        <v>40031</v>
      </c>
      <c r="C3507">
        <v>150.81</v>
      </c>
      <c r="D3507">
        <v>1.4345000000000001</v>
      </c>
      <c r="E3507">
        <v>74.83</v>
      </c>
      <c r="F3507">
        <v>275.2</v>
      </c>
      <c r="K3507" s="3"/>
      <c r="O3507" s="3"/>
    </row>
    <row r="3508" spans="1:15">
      <c r="A3508" s="3">
        <v>40032</v>
      </c>
      <c r="B3508" s="3">
        <v>40032</v>
      </c>
      <c r="C3508">
        <v>150.77000000000001</v>
      </c>
      <c r="D3508">
        <v>1.4182999999999999</v>
      </c>
      <c r="E3508">
        <v>73.59</v>
      </c>
      <c r="F3508">
        <v>278.55</v>
      </c>
      <c r="K3508" s="3"/>
      <c r="O3508" s="3"/>
    </row>
    <row r="3509" spans="1:15">
      <c r="A3509" s="3">
        <v>40033</v>
      </c>
      <c r="B3509" s="3">
        <v>40033</v>
      </c>
      <c r="C3509">
        <v>150.77000000000001</v>
      </c>
      <c r="D3509">
        <v>1.4182999999999999</v>
      </c>
      <c r="E3509">
        <v>73.59</v>
      </c>
      <c r="F3509">
        <v>278.55</v>
      </c>
      <c r="K3509" s="3"/>
      <c r="O3509" s="3"/>
    </row>
    <row r="3510" spans="1:15">
      <c r="A3510" s="3">
        <v>40034</v>
      </c>
      <c r="B3510" s="3">
        <v>40034</v>
      </c>
      <c r="C3510">
        <v>150.77000000000001</v>
      </c>
      <c r="D3510">
        <v>1.4182999999999999</v>
      </c>
      <c r="E3510">
        <v>73.59</v>
      </c>
      <c r="F3510">
        <v>278.55</v>
      </c>
      <c r="K3510" s="3"/>
      <c r="O3510" s="3"/>
    </row>
    <row r="3511" spans="1:15">
      <c r="A3511" s="3">
        <v>40035</v>
      </c>
      <c r="B3511" s="3">
        <v>40035</v>
      </c>
      <c r="C3511">
        <v>150.76</v>
      </c>
      <c r="D3511">
        <v>1.4139999999999999</v>
      </c>
      <c r="E3511">
        <v>73.5</v>
      </c>
      <c r="F3511">
        <v>277.05</v>
      </c>
      <c r="K3511" s="3"/>
      <c r="O3511" s="3"/>
    </row>
    <row r="3512" spans="1:15">
      <c r="A3512" s="3">
        <v>40036</v>
      </c>
      <c r="B3512" s="3">
        <v>40036</v>
      </c>
      <c r="C3512">
        <v>150.77000000000001</v>
      </c>
      <c r="D3512">
        <v>1.4149</v>
      </c>
      <c r="E3512">
        <v>72.459999999999994</v>
      </c>
      <c r="F3512">
        <v>273.64999999999998</v>
      </c>
      <c r="K3512" s="3"/>
      <c r="O3512" s="3"/>
    </row>
    <row r="3513" spans="1:15">
      <c r="A3513" s="3">
        <v>40037</v>
      </c>
      <c r="B3513" s="3">
        <v>40037</v>
      </c>
      <c r="C3513">
        <v>150.81</v>
      </c>
      <c r="D3513">
        <v>1.4188000000000001</v>
      </c>
      <c r="E3513">
        <v>72.89</v>
      </c>
      <c r="F3513">
        <v>282.35000000000002</v>
      </c>
      <c r="K3513" s="3"/>
      <c r="O3513" s="3"/>
    </row>
    <row r="3514" spans="1:15">
      <c r="A3514" s="3">
        <v>40038</v>
      </c>
      <c r="B3514" s="3">
        <v>40038</v>
      </c>
      <c r="C3514">
        <v>150.77000000000001</v>
      </c>
      <c r="D3514">
        <v>1.4292</v>
      </c>
      <c r="E3514">
        <v>73.48</v>
      </c>
      <c r="F3514">
        <v>291.39999999999998</v>
      </c>
      <c r="K3514" s="3"/>
      <c r="O3514" s="3"/>
    </row>
    <row r="3515" spans="1:15">
      <c r="A3515" s="3">
        <v>40039</v>
      </c>
      <c r="B3515" s="3">
        <v>40039</v>
      </c>
      <c r="C3515">
        <v>150.81</v>
      </c>
      <c r="D3515">
        <v>1.4202999999999999</v>
      </c>
      <c r="E3515">
        <v>72.41</v>
      </c>
      <c r="F3515">
        <v>283.60000000000002</v>
      </c>
      <c r="K3515" s="3"/>
      <c r="O3515" s="3"/>
    </row>
    <row r="3516" spans="1:15">
      <c r="A3516" s="3">
        <v>40040</v>
      </c>
      <c r="B3516" s="3">
        <v>40040</v>
      </c>
      <c r="C3516">
        <v>150.81</v>
      </c>
      <c r="D3516">
        <v>1.4202999999999999</v>
      </c>
      <c r="E3516">
        <v>72.41</v>
      </c>
      <c r="F3516">
        <v>283.60000000000002</v>
      </c>
      <c r="K3516" s="3"/>
      <c r="O3516" s="3"/>
    </row>
    <row r="3517" spans="1:15">
      <c r="A3517" s="3">
        <v>40041</v>
      </c>
      <c r="B3517" s="3">
        <v>40041</v>
      </c>
      <c r="C3517">
        <v>150.81</v>
      </c>
      <c r="D3517">
        <v>1.4202999999999999</v>
      </c>
      <c r="E3517">
        <v>72.41</v>
      </c>
      <c r="F3517">
        <v>283.60000000000002</v>
      </c>
      <c r="K3517" s="3"/>
      <c r="O3517" s="3"/>
    </row>
    <row r="3518" spans="1:15">
      <c r="A3518" s="3">
        <v>40042</v>
      </c>
      <c r="B3518" s="3">
        <v>40042</v>
      </c>
      <c r="C3518">
        <v>150.84</v>
      </c>
      <c r="D3518">
        <v>1.4081999999999999</v>
      </c>
      <c r="E3518">
        <v>70.540000000000006</v>
      </c>
      <c r="F3518">
        <v>277.05</v>
      </c>
      <c r="K3518" s="3"/>
      <c r="O3518" s="3"/>
    </row>
    <row r="3519" spans="1:15">
      <c r="A3519" s="3">
        <v>40043</v>
      </c>
      <c r="B3519" s="3">
        <v>40043</v>
      </c>
      <c r="C3519">
        <v>150.85</v>
      </c>
      <c r="D3519">
        <v>1.4136</v>
      </c>
      <c r="E3519">
        <v>72.37</v>
      </c>
      <c r="F3519">
        <v>276.14999999999998</v>
      </c>
      <c r="K3519" s="3"/>
      <c r="O3519" s="3"/>
    </row>
    <row r="3520" spans="1:15">
      <c r="A3520" s="3">
        <v>40044</v>
      </c>
      <c r="B3520" s="3">
        <v>40044</v>
      </c>
      <c r="C3520">
        <v>150.88999999999999</v>
      </c>
      <c r="D3520">
        <v>1.4224000000000001</v>
      </c>
      <c r="E3520">
        <v>74.59</v>
      </c>
      <c r="F3520">
        <v>276.05</v>
      </c>
      <c r="K3520" s="3"/>
      <c r="O3520" s="3"/>
    </row>
    <row r="3521" spans="1:15">
      <c r="A3521" s="3">
        <v>40045</v>
      </c>
      <c r="B3521" s="3">
        <v>40045</v>
      </c>
      <c r="C3521">
        <v>150.80000000000001</v>
      </c>
      <c r="D3521">
        <v>1.4254</v>
      </c>
      <c r="E3521">
        <v>73.33</v>
      </c>
      <c r="F3521">
        <v>274.14999999999998</v>
      </c>
      <c r="K3521" s="3"/>
      <c r="O3521" s="3"/>
    </row>
    <row r="3522" spans="1:15">
      <c r="A3522" s="3">
        <v>40046</v>
      </c>
      <c r="B3522" s="3">
        <v>40046</v>
      </c>
      <c r="C3522">
        <v>150.79</v>
      </c>
      <c r="D3522">
        <v>1.4326000000000001</v>
      </c>
      <c r="E3522">
        <v>74.19</v>
      </c>
      <c r="F3522">
        <v>288.05</v>
      </c>
      <c r="K3522" s="3"/>
      <c r="O3522" s="3"/>
    </row>
    <row r="3523" spans="1:15">
      <c r="A3523" s="3">
        <v>40047</v>
      </c>
      <c r="B3523" s="3">
        <v>40047</v>
      </c>
      <c r="C3523">
        <v>150.79</v>
      </c>
      <c r="D3523">
        <v>1.4326000000000001</v>
      </c>
      <c r="E3523">
        <v>74.19</v>
      </c>
      <c r="F3523">
        <v>288.05</v>
      </c>
      <c r="K3523" s="3"/>
      <c r="O3523" s="3"/>
    </row>
    <row r="3524" spans="1:15">
      <c r="A3524" s="3">
        <v>40048</v>
      </c>
      <c r="B3524" s="3">
        <v>40048</v>
      </c>
      <c r="C3524">
        <v>150.79</v>
      </c>
      <c r="D3524">
        <v>1.4326000000000001</v>
      </c>
      <c r="E3524">
        <v>74.19</v>
      </c>
      <c r="F3524">
        <v>288.05</v>
      </c>
      <c r="K3524" s="3"/>
      <c r="O3524" s="3"/>
    </row>
    <row r="3525" spans="1:15">
      <c r="A3525" s="3">
        <v>40049</v>
      </c>
      <c r="B3525" s="3">
        <v>40049</v>
      </c>
      <c r="C3525">
        <v>150.75</v>
      </c>
      <c r="D3525">
        <v>1.4303999999999999</v>
      </c>
      <c r="E3525">
        <v>74.260000000000005</v>
      </c>
      <c r="F3525">
        <v>291.5</v>
      </c>
      <c r="K3525" s="3"/>
      <c r="O3525" s="3"/>
    </row>
    <row r="3526" spans="1:15">
      <c r="A3526" s="3">
        <v>40050</v>
      </c>
      <c r="B3526" s="3">
        <v>40050</v>
      </c>
      <c r="C3526">
        <v>150.71</v>
      </c>
      <c r="D3526">
        <v>1.4297</v>
      </c>
      <c r="E3526">
        <v>71.819999999999993</v>
      </c>
      <c r="F3526">
        <v>285.60000000000002</v>
      </c>
      <c r="K3526" s="3"/>
      <c r="O3526" s="3"/>
    </row>
    <row r="3527" spans="1:15">
      <c r="A3527" s="3">
        <v>40051</v>
      </c>
      <c r="B3527" s="3">
        <v>40051</v>
      </c>
      <c r="C3527">
        <v>150.77000000000001</v>
      </c>
      <c r="D3527">
        <v>1.4255</v>
      </c>
      <c r="E3527">
        <v>71.650000000000006</v>
      </c>
      <c r="F3527">
        <v>285.7</v>
      </c>
      <c r="K3527" s="3"/>
      <c r="O3527" s="3"/>
    </row>
    <row r="3528" spans="1:15">
      <c r="A3528" s="3">
        <v>40052</v>
      </c>
      <c r="B3528" s="3">
        <v>40052</v>
      </c>
      <c r="C3528">
        <v>150.78</v>
      </c>
      <c r="D3528">
        <v>1.4340999999999999</v>
      </c>
      <c r="E3528">
        <v>72.510000000000005</v>
      </c>
      <c r="F3528">
        <v>284.85000000000002</v>
      </c>
      <c r="K3528" s="3"/>
      <c r="O3528" s="3"/>
    </row>
    <row r="3529" spans="1:15">
      <c r="A3529" s="3">
        <v>40053</v>
      </c>
      <c r="B3529" s="3">
        <v>40053</v>
      </c>
      <c r="C3529">
        <v>150.83000000000001</v>
      </c>
      <c r="D3529">
        <v>1.4302999999999999</v>
      </c>
      <c r="E3529">
        <v>72.790000000000006</v>
      </c>
      <c r="F3529">
        <v>292.3</v>
      </c>
      <c r="K3529" s="3"/>
      <c r="O3529" s="3"/>
    </row>
    <row r="3530" spans="1:15">
      <c r="A3530" s="3">
        <v>40054</v>
      </c>
      <c r="B3530" s="3">
        <v>40054</v>
      </c>
      <c r="C3530">
        <v>150.83000000000001</v>
      </c>
      <c r="D3530">
        <v>1.4302999999999999</v>
      </c>
      <c r="E3530">
        <v>72.790000000000006</v>
      </c>
      <c r="F3530">
        <v>292.3</v>
      </c>
      <c r="K3530" s="3"/>
      <c r="O3530" s="3"/>
    </row>
    <row r="3531" spans="1:15">
      <c r="A3531" s="3">
        <v>40055</v>
      </c>
      <c r="B3531" s="3">
        <v>40055</v>
      </c>
      <c r="C3531">
        <v>150.83000000000001</v>
      </c>
      <c r="D3531">
        <v>1.4302999999999999</v>
      </c>
      <c r="E3531">
        <v>72.790000000000006</v>
      </c>
      <c r="F3531">
        <v>292.3</v>
      </c>
      <c r="K3531" s="3"/>
      <c r="O3531" s="3"/>
    </row>
    <row r="3532" spans="1:15">
      <c r="A3532" s="3">
        <v>40056</v>
      </c>
      <c r="B3532" s="3">
        <v>40056</v>
      </c>
      <c r="C3532">
        <v>150.83000000000001</v>
      </c>
      <c r="D3532">
        <v>1.4334</v>
      </c>
      <c r="E3532">
        <v>69.650000000000006</v>
      </c>
      <c r="F3532">
        <v>280.8</v>
      </c>
      <c r="K3532" s="3"/>
      <c r="O3532" s="3"/>
    </row>
    <row r="3533" spans="1:15">
      <c r="A3533" s="3">
        <v>40057</v>
      </c>
      <c r="B3533" s="3">
        <v>40057</v>
      </c>
      <c r="C3533">
        <v>150.75</v>
      </c>
      <c r="D3533">
        <v>1.4224000000000001</v>
      </c>
      <c r="E3533">
        <v>67.73</v>
      </c>
      <c r="F3533">
        <v>279.64999999999998</v>
      </c>
      <c r="K3533" s="3"/>
      <c r="O3533" s="3"/>
    </row>
    <row r="3534" spans="1:15">
      <c r="A3534" s="3">
        <v>40058</v>
      </c>
      <c r="B3534" s="3">
        <v>40058</v>
      </c>
      <c r="C3534">
        <v>150.75</v>
      </c>
      <c r="D3534">
        <v>1.4263999999999999</v>
      </c>
      <c r="E3534">
        <v>67.66</v>
      </c>
      <c r="F3534">
        <v>280.25</v>
      </c>
      <c r="K3534" s="3"/>
      <c r="O3534" s="3"/>
    </row>
    <row r="3535" spans="1:15">
      <c r="A3535" s="3">
        <v>40059</v>
      </c>
      <c r="B3535" s="3">
        <v>40059</v>
      </c>
      <c r="C3535">
        <v>150.83000000000001</v>
      </c>
      <c r="D3535">
        <v>1.4252</v>
      </c>
      <c r="E3535">
        <v>67.12</v>
      </c>
      <c r="F3535">
        <v>284.35000000000002</v>
      </c>
      <c r="K3535" s="3"/>
      <c r="O3535" s="3"/>
    </row>
    <row r="3536" spans="1:15">
      <c r="A3536" s="3">
        <v>40060</v>
      </c>
      <c r="B3536" s="3">
        <v>40060</v>
      </c>
      <c r="C3536">
        <v>150.82</v>
      </c>
      <c r="D3536">
        <v>1.4297</v>
      </c>
      <c r="E3536">
        <v>66.819999999999993</v>
      </c>
      <c r="F3536">
        <v>284.35000000000002</v>
      </c>
      <c r="K3536" s="3"/>
      <c r="O3536" s="3"/>
    </row>
    <row r="3537" spans="1:15">
      <c r="A3537" s="3">
        <v>40061</v>
      </c>
      <c r="B3537" s="3">
        <v>40061</v>
      </c>
      <c r="C3537">
        <v>150.82</v>
      </c>
      <c r="D3537">
        <v>1.4297</v>
      </c>
      <c r="E3537">
        <v>66.819999999999993</v>
      </c>
      <c r="F3537">
        <v>284.35000000000002</v>
      </c>
      <c r="K3537" s="3"/>
      <c r="O3537" s="3"/>
    </row>
    <row r="3538" spans="1:15">
      <c r="A3538" s="3">
        <v>40062</v>
      </c>
      <c r="B3538" s="3">
        <v>40062</v>
      </c>
      <c r="C3538">
        <v>150.82</v>
      </c>
      <c r="D3538">
        <v>1.4297</v>
      </c>
      <c r="E3538">
        <v>66.819999999999993</v>
      </c>
      <c r="F3538">
        <v>284.35000000000002</v>
      </c>
      <c r="K3538" s="3"/>
      <c r="O3538" s="3"/>
    </row>
    <row r="3539" spans="1:15">
      <c r="A3539" s="3">
        <v>40063</v>
      </c>
      <c r="B3539" s="3">
        <v>40063</v>
      </c>
      <c r="C3539">
        <v>150.81</v>
      </c>
      <c r="D3539">
        <v>1.4332</v>
      </c>
      <c r="E3539">
        <v>66.53</v>
      </c>
      <c r="F3539">
        <v>284.35000000000002</v>
      </c>
      <c r="K3539" s="3"/>
      <c r="O3539" s="3"/>
    </row>
    <row r="3540" spans="1:15">
      <c r="A3540" s="3">
        <v>40064</v>
      </c>
      <c r="B3540" s="3">
        <v>40064</v>
      </c>
      <c r="C3540">
        <v>150.87</v>
      </c>
      <c r="D3540">
        <v>1.4478</v>
      </c>
      <c r="E3540">
        <v>69.42</v>
      </c>
      <c r="F3540">
        <v>293.45</v>
      </c>
      <c r="K3540" s="3"/>
      <c r="O3540" s="3"/>
    </row>
    <row r="3541" spans="1:15">
      <c r="A3541" s="3">
        <v>40065</v>
      </c>
      <c r="B3541" s="3">
        <v>40065</v>
      </c>
      <c r="C3541">
        <v>150.87</v>
      </c>
      <c r="D3541">
        <v>1.4557</v>
      </c>
      <c r="E3541">
        <v>69.83</v>
      </c>
      <c r="F3541">
        <v>290.60000000000002</v>
      </c>
      <c r="K3541" s="3"/>
      <c r="O3541" s="3"/>
    </row>
    <row r="3542" spans="1:15">
      <c r="A3542" s="3">
        <v>40066</v>
      </c>
      <c r="B3542" s="3">
        <v>40066</v>
      </c>
      <c r="C3542">
        <v>150.87</v>
      </c>
      <c r="D3542">
        <v>1.4581999999999999</v>
      </c>
      <c r="E3542">
        <v>69.86</v>
      </c>
      <c r="F3542">
        <v>285.95</v>
      </c>
      <c r="K3542" s="3"/>
      <c r="O3542" s="3"/>
    </row>
    <row r="3543" spans="1:15">
      <c r="A3543" s="3">
        <v>40067</v>
      </c>
      <c r="B3543" s="3">
        <v>40067</v>
      </c>
      <c r="C3543">
        <v>150.91999999999999</v>
      </c>
      <c r="D3543">
        <v>1.4571000000000001</v>
      </c>
      <c r="E3543">
        <v>67.69</v>
      </c>
      <c r="F3543">
        <v>282.75</v>
      </c>
      <c r="K3543" s="3"/>
      <c r="O3543" s="3"/>
    </row>
    <row r="3544" spans="1:15">
      <c r="A3544" s="3">
        <v>40068</v>
      </c>
      <c r="B3544" s="3">
        <v>40068</v>
      </c>
      <c r="C3544">
        <v>150.91999999999999</v>
      </c>
      <c r="D3544">
        <v>1.4571000000000001</v>
      </c>
      <c r="E3544">
        <v>67.69</v>
      </c>
      <c r="F3544">
        <v>282.75</v>
      </c>
      <c r="K3544" s="3"/>
      <c r="O3544" s="3"/>
    </row>
    <row r="3545" spans="1:15">
      <c r="A3545" s="3">
        <v>40069</v>
      </c>
      <c r="B3545" s="3">
        <v>40069</v>
      </c>
      <c r="C3545">
        <v>150.91999999999999</v>
      </c>
      <c r="D3545">
        <v>1.4571000000000001</v>
      </c>
      <c r="E3545">
        <v>67.69</v>
      </c>
      <c r="F3545">
        <v>282.75</v>
      </c>
      <c r="K3545" s="3"/>
      <c r="O3545" s="3"/>
    </row>
    <row r="3546" spans="1:15">
      <c r="A3546" s="3">
        <v>40070</v>
      </c>
      <c r="B3546" s="3">
        <v>40070</v>
      </c>
      <c r="C3546">
        <v>150.87</v>
      </c>
      <c r="D3546">
        <v>1.4618</v>
      </c>
      <c r="E3546">
        <v>67.44</v>
      </c>
      <c r="F3546">
        <v>278.7</v>
      </c>
      <c r="K3546" s="3"/>
      <c r="O3546" s="3"/>
    </row>
    <row r="3547" spans="1:15">
      <c r="A3547" s="3">
        <v>40071</v>
      </c>
      <c r="B3547" s="3">
        <v>40071</v>
      </c>
      <c r="C3547">
        <v>150.91999999999999</v>
      </c>
      <c r="D3547">
        <v>1.4658</v>
      </c>
      <c r="E3547">
        <v>67.349999999999994</v>
      </c>
      <c r="F3547">
        <v>282.85000000000002</v>
      </c>
      <c r="K3547" s="3"/>
      <c r="O3547" s="3"/>
    </row>
    <row r="3548" spans="1:15">
      <c r="A3548" s="3">
        <v>40072</v>
      </c>
      <c r="B3548" s="3">
        <v>40072</v>
      </c>
      <c r="C3548">
        <v>150.88999999999999</v>
      </c>
      <c r="D3548">
        <v>1.4709000000000001</v>
      </c>
      <c r="E3548">
        <v>71.67</v>
      </c>
      <c r="F3548">
        <v>292.05</v>
      </c>
      <c r="K3548" s="3"/>
      <c r="O3548" s="3"/>
    </row>
    <row r="3549" spans="1:15">
      <c r="A3549" s="3">
        <v>40073</v>
      </c>
      <c r="B3549" s="3">
        <v>40073</v>
      </c>
      <c r="C3549">
        <v>150.91999999999999</v>
      </c>
      <c r="D3549">
        <v>1.4741</v>
      </c>
      <c r="E3549">
        <v>71.55</v>
      </c>
      <c r="F3549">
        <v>288</v>
      </c>
      <c r="K3549" s="3"/>
      <c r="O3549" s="3"/>
    </row>
    <row r="3550" spans="1:15">
      <c r="A3550" s="3">
        <v>40074</v>
      </c>
      <c r="B3550" s="3">
        <v>40074</v>
      </c>
      <c r="C3550">
        <v>150.86000000000001</v>
      </c>
      <c r="D3550">
        <v>1.4712000000000001</v>
      </c>
      <c r="E3550">
        <v>71.319999999999993</v>
      </c>
      <c r="F3550">
        <v>277.10000000000002</v>
      </c>
      <c r="K3550" s="3"/>
      <c r="O3550" s="3"/>
    </row>
    <row r="3551" spans="1:15">
      <c r="A3551" s="3">
        <v>40075</v>
      </c>
      <c r="B3551" s="3">
        <v>40075</v>
      </c>
      <c r="C3551">
        <v>150.86000000000001</v>
      </c>
      <c r="D3551">
        <v>1.4712000000000001</v>
      </c>
      <c r="E3551">
        <v>71.319999999999993</v>
      </c>
      <c r="F3551">
        <v>277.10000000000002</v>
      </c>
      <c r="K3551" s="3"/>
      <c r="O3551" s="3"/>
    </row>
    <row r="3552" spans="1:15">
      <c r="A3552" s="3">
        <v>40076</v>
      </c>
      <c r="B3552" s="3">
        <v>40076</v>
      </c>
      <c r="C3552">
        <v>150.86000000000001</v>
      </c>
      <c r="D3552">
        <v>1.4712000000000001</v>
      </c>
      <c r="E3552">
        <v>71.319999999999993</v>
      </c>
      <c r="F3552">
        <v>277.10000000000002</v>
      </c>
      <c r="K3552" s="3"/>
      <c r="O3552" s="3"/>
    </row>
    <row r="3553" spans="1:15">
      <c r="A3553" s="3">
        <v>40077</v>
      </c>
      <c r="B3553" s="3">
        <v>40077</v>
      </c>
      <c r="C3553">
        <v>150.88</v>
      </c>
      <c r="D3553">
        <v>1.468</v>
      </c>
      <c r="E3553">
        <v>68.69</v>
      </c>
      <c r="F3553">
        <v>279.25</v>
      </c>
      <c r="K3553" s="3"/>
      <c r="O3553" s="3"/>
    </row>
    <row r="3554" spans="1:15">
      <c r="A3554" s="3">
        <v>40078</v>
      </c>
      <c r="B3554" s="3">
        <v>40078</v>
      </c>
      <c r="C3554">
        <v>150.88999999999999</v>
      </c>
      <c r="D3554">
        <v>1.4790000000000001</v>
      </c>
      <c r="E3554">
        <v>70.53</v>
      </c>
      <c r="F3554">
        <v>285.25</v>
      </c>
      <c r="K3554" s="3"/>
      <c r="O3554" s="3"/>
    </row>
    <row r="3555" spans="1:15">
      <c r="A3555" s="3">
        <v>40079</v>
      </c>
      <c r="B3555" s="3">
        <v>40079</v>
      </c>
      <c r="C3555">
        <v>150.91999999999999</v>
      </c>
      <c r="D3555">
        <v>1.4735</v>
      </c>
      <c r="E3555">
        <v>67.989999999999995</v>
      </c>
      <c r="F3555">
        <v>279.64999999999998</v>
      </c>
      <c r="K3555" s="3"/>
      <c r="O3555" s="3"/>
    </row>
    <row r="3556" spans="1:15">
      <c r="A3556" s="3">
        <v>40080</v>
      </c>
      <c r="B3556" s="3">
        <v>40080</v>
      </c>
      <c r="C3556">
        <v>150.97</v>
      </c>
      <c r="D3556">
        <v>1.4665999999999999</v>
      </c>
      <c r="E3556">
        <v>64.819999999999993</v>
      </c>
      <c r="F3556">
        <v>269.95</v>
      </c>
      <c r="K3556" s="3"/>
      <c r="O3556" s="3"/>
    </row>
    <row r="3557" spans="1:15">
      <c r="A3557" s="3">
        <v>40081</v>
      </c>
      <c r="B3557" s="3">
        <v>40081</v>
      </c>
      <c r="C3557">
        <v>150.97</v>
      </c>
      <c r="D3557">
        <v>1.4689000000000001</v>
      </c>
      <c r="E3557">
        <v>65.11</v>
      </c>
      <c r="F3557">
        <v>273.10000000000002</v>
      </c>
      <c r="K3557" s="3"/>
      <c r="O3557" s="3"/>
    </row>
    <row r="3558" spans="1:15">
      <c r="A3558" s="3">
        <v>40082</v>
      </c>
      <c r="B3558" s="3">
        <v>40082</v>
      </c>
      <c r="C3558">
        <v>150.97</v>
      </c>
      <c r="D3558">
        <v>1.4689000000000001</v>
      </c>
      <c r="E3558">
        <v>65.11</v>
      </c>
      <c r="F3558">
        <v>273.10000000000002</v>
      </c>
      <c r="K3558" s="3"/>
      <c r="O3558" s="3"/>
    </row>
    <row r="3559" spans="1:15">
      <c r="A3559" s="3">
        <v>40083</v>
      </c>
      <c r="B3559" s="3">
        <v>40083</v>
      </c>
      <c r="C3559">
        <v>150.97</v>
      </c>
      <c r="D3559">
        <v>1.4689000000000001</v>
      </c>
      <c r="E3559">
        <v>65.11</v>
      </c>
      <c r="F3559">
        <v>273.10000000000002</v>
      </c>
      <c r="K3559" s="3"/>
      <c r="O3559" s="3"/>
    </row>
    <row r="3560" spans="1:15">
      <c r="A3560" s="3">
        <v>40084</v>
      </c>
      <c r="B3560" s="3">
        <v>40084</v>
      </c>
      <c r="C3560">
        <v>150.96</v>
      </c>
      <c r="D3560">
        <v>1.4621999999999999</v>
      </c>
      <c r="E3560">
        <v>65.540000000000006</v>
      </c>
      <c r="F3560">
        <v>271.39999999999998</v>
      </c>
      <c r="K3560" s="3"/>
      <c r="O3560" s="3"/>
    </row>
    <row r="3561" spans="1:15">
      <c r="A3561" s="3">
        <v>40085</v>
      </c>
      <c r="B3561" s="3">
        <v>40085</v>
      </c>
      <c r="C3561">
        <v>150.97</v>
      </c>
      <c r="D3561">
        <v>1.4587000000000001</v>
      </c>
      <c r="E3561">
        <v>65.489999999999995</v>
      </c>
      <c r="F3561">
        <v>272.89999999999998</v>
      </c>
      <c r="K3561" s="3"/>
      <c r="O3561" s="3"/>
    </row>
    <row r="3562" spans="1:15">
      <c r="A3562" s="3">
        <v>40086</v>
      </c>
      <c r="B3562" s="3">
        <v>40086</v>
      </c>
      <c r="C3562">
        <v>150.96</v>
      </c>
      <c r="D3562">
        <v>1.464</v>
      </c>
      <c r="E3562">
        <v>69.069999999999993</v>
      </c>
      <c r="F3562">
        <v>281.89999999999998</v>
      </c>
      <c r="K3562" s="3"/>
      <c r="O3562" s="3"/>
    </row>
    <row r="3563" spans="1:15">
      <c r="A3563" s="3">
        <v>40087</v>
      </c>
      <c r="B3563" s="3">
        <v>40087</v>
      </c>
      <c r="C3563">
        <v>150.96</v>
      </c>
      <c r="D3563">
        <v>1.4544999999999999</v>
      </c>
      <c r="E3563">
        <v>69.19</v>
      </c>
      <c r="F3563">
        <v>273.7</v>
      </c>
      <c r="K3563" s="3"/>
      <c r="O3563" s="3"/>
    </row>
    <row r="3564" spans="1:15">
      <c r="A3564" s="3">
        <v>40088</v>
      </c>
      <c r="B3564" s="3">
        <v>40088</v>
      </c>
      <c r="C3564">
        <v>151.01</v>
      </c>
      <c r="D3564">
        <v>1.4576</v>
      </c>
      <c r="E3564">
        <v>68.069999999999993</v>
      </c>
      <c r="F3564">
        <v>268.14999999999998</v>
      </c>
      <c r="K3564" s="3"/>
      <c r="O3564" s="3"/>
    </row>
    <row r="3565" spans="1:15">
      <c r="A3565" s="3">
        <v>40089</v>
      </c>
      <c r="B3565" s="3">
        <v>40089</v>
      </c>
      <c r="C3565">
        <v>151.01</v>
      </c>
      <c r="D3565">
        <v>1.4576</v>
      </c>
      <c r="E3565">
        <v>68.069999999999993</v>
      </c>
      <c r="F3565">
        <v>268.14999999999998</v>
      </c>
      <c r="K3565" s="3"/>
      <c r="O3565" s="3"/>
    </row>
    <row r="3566" spans="1:15">
      <c r="A3566" s="3">
        <v>40090</v>
      </c>
      <c r="B3566" s="3">
        <v>40090</v>
      </c>
      <c r="C3566">
        <v>151.01</v>
      </c>
      <c r="D3566">
        <v>1.4576</v>
      </c>
      <c r="E3566">
        <v>68.069999999999993</v>
      </c>
      <c r="F3566">
        <v>268.14999999999998</v>
      </c>
      <c r="K3566" s="3"/>
      <c r="O3566" s="3"/>
    </row>
    <row r="3567" spans="1:15">
      <c r="A3567" s="3">
        <v>40091</v>
      </c>
      <c r="B3567" s="3">
        <v>40091</v>
      </c>
      <c r="C3567">
        <v>150.96</v>
      </c>
      <c r="D3567">
        <v>1.4648000000000001</v>
      </c>
      <c r="E3567">
        <v>68.040000000000006</v>
      </c>
      <c r="F3567">
        <v>272.7</v>
      </c>
      <c r="K3567" s="3"/>
      <c r="O3567" s="3"/>
    </row>
    <row r="3568" spans="1:15">
      <c r="A3568" s="3">
        <v>40092</v>
      </c>
      <c r="B3568" s="3">
        <v>40092</v>
      </c>
      <c r="C3568">
        <v>150.93</v>
      </c>
      <c r="D3568">
        <v>1.4722</v>
      </c>
      <c r="E3568">
        <v>68.56</v>
      </c>
      <c r="F3568">
        <v>278.45</v>
      </c>
      <c r="K3568" s="3"/>
      <c r="O3568" s="3"/>
    </row>
    <row r="3569" spans="1:15">
      <c r="A3569" s="3">
        <v>40093</v>
      </c>
      <c r="B3569" s="3">
        <v>40093</v>
      </c>
      <c r="C3569">
        <v>150.94</v>
      </c>
      <c r="D3569">
        <v>1.4691000000000001</v>
      </c>
      <c r="E3569">
        <v>67.2</v>
      </c>
      <c r="F3569">
        <v>277.95</v>
      </c>
      <c r="K3569" s="3"/>
      <c r="O3569" s="3"/>
    </row>
    <row r="3570" spans="1:15">
      <c r="A3570" s="3">
        <v>40094</v>
      </c>
      <c r="B3570" s="3">
        <v>40094</v>
      </c>
      <c r="C3570">
        <v>150.87</v>
      </c>
      <c r="D3570">
        <v>1.4794</v>
      </c>
      <c r="E3570">
        <v>69.77</v>
      </c>
      <c r="F3570">
        <v>289.85000000000002</v>
      </c>
      <c r="K3570" s="3"/>
      <c r="O3570" s="3"/>
    </row>
    <row r="3571" spans="1:15">
      <c r="A3571" s="3">
        <v>40095</v>
      </c>
      <c r="B3571" s="3">
        <v>40095</v>
      </c>
      <c r="C3571">
        <v>150.75</v>
      </c>
      <c r="D3571">
        <v>1.4732000000000001</v>
      </c>
      <c r="E3571">
        <v>70</v>
      </c>
      <c r="F3571">
        <v>283.8</v>
      </c>
      <c r="K3571" s="3"/>
      <c r="O3571" s="3"/>
    </row>
    <row r="3572" spans="1:15">
      <c r="A3572" s="3">
        <v>40096</v>
      </c>
      <c r="B3572" s="3">
        <v>40096</v>
      </c>
      <c r="C3572">
        <v>150.75</v>
      </c>
      <c r="D3572">
        <v>1.4732000000000001</v>
      </c>
      <c r="E3572">
        <v>70</v>
      </c>
      <c r="F3572">
        <v>283.8</v>
      </c>
      <c r="K3572" s="3"/>
      <c r="O3572" s="3"/>
    </row>
    <row r="3573" spans="1:15">
      <c r="A3573" s="3">
        <v>40097</v>
      </c>
      <c r="B3573" s="3">
        <v>40097</v>
      </c>
      <c r="C3573">
        <v>150.75</v>
      </c>
      <c r="D3573">
        <v>1.4732000000000001</v>
      </c>
      <c r="E3573">
        <v>70</v>
      </c>
      <c r="F3573">
        <v>283.8</v>
      </c>
      <c r="K3573" s="3"/>
      <c r="O3573" s="3"/>
    </row>
    <row r="3574" spans="1:15">
      <c r="A3574" s="3">
        <v>40098</v>
      </c>
      <c r="B3574" s="3">
        <v>40098</v>
      </c>
      <c r="C3574">
        <v>150.71</v>
      </c>
      <c r="D3574">
        <v>1.4773000000000001</v>
      </c>
      <c r="E3574">
        <v>71.36</v>
      </c>
      <c r="F3574">
        <v>285.7</v>
      </c>
      <c r="K3574" s="3"/>
      <c r="O3574" s="3"/>
    </row>
    <row r="3575" spans="1:15">
      <c r="A3575" s="3">
        <v>40099</v>
      </c>
      <c r="B3575" s="3">
        <v>40099</v>
      </c>
      <c r="C3575">
        <v>150.75</v>
      </c>
      <c r="D3575">
        <v>1.4854000000000001</v>
      </c>
      <c r="E3575">
        <v>72.400000000000006</v>
      </c>
      <c r="F3575">
        <v>279.45</v>
      </c>
      <c r="K3575" s="3"/>
      <c r="O3575" s="3"/>
    </row>
    <row r="3576" spans="1:15">
      <c r="A3576" s="3">
        <v>40100</v>
      </c>
      <c r="B3576" s="3">
        <v>40100</v>
      </c>
      <c r="C3576">
        <v>150.79</v>
      </c>
      <c r="D3576">
        <v>1.4924999999999999</v>
      </c>
      <c r="E3576">
        <v>73.099999999999994</v>
      </c>
      <c r="F3576">
        <v>284.45</v>
      </c>
      <c r="K3576" s="3"/>
      <c r="O3576" s="3"/>
    </row>
    <row r="3577" spans="1:15">
      <c r="A3577" s="3">
        <v>40101</v>
      </c>
      <c r="B3577" s="3">
        <v>40101</v>
      </c>
      <c r="C3577">
        <v>150.75</v>
      </c>
      <c r="D3577">
        <v>1.4946999999999999</v>
      </c>
      <c r="E3577">
        <v>74.45</v>
      </c>
      <c r="F3577">
        <v>285.89999999999998</v>
      </c>
      <c r="K3577" s="3"/>
      <c r="O3577" s="3"/>
    </row>
    <row r="3578" spans="1:15">
      <c r="A3578" s="3">
        <v>40102</v>
      </c>
      <c r="B3578" s="3">
        <v>40102</v>
      </c>
      <c r="C3578">
        <v>150.75</v>
      </c>
      <c r="D3578">
        <v>1.4904999999999999</v>
      </c>
      <c r="E3578">
        <v>76.989999999999995</v>
      </c>
      <c r="F3578">
        <v>284.55</v>
      </c>
      <c r="K3578" s="3"/>
      <c r="O3578" s="3"/>
    </row>
    <row r="3579" spans="1:15">
      <c r="A3579" s="3">
        <v>40103</v>
      </c>
      <c r="B3579" s="3">
        <v>40103</v>
      </c>
      <c r="C3579">
        <v>150.75</v>
      </c>
      <c r="D3579">
        <v>1.4904999999999999</v>
      </c>
      <c r="E3579">
        <v>76.989999999999995</v>
      </c>
      <c r="F3579">
        <v>284.55</v>
      </c>
      <c r="K3579" s="3"/>
      <c r="O3579" s="3"/>
    </row>
    <row r="3580" spans="1:15">
      <c r="A3580" s="3">
        <v>40104</v>
      </c>
      <c r="B3580" s="3">
        <v>40104</v>
      </c>
      <c r="C3580">
        <v>150.75</v>
      </c>
      <c r="D3580">
        <v>1.4904999999999999</v>
      </c>
      <c r="E3580">
        <v>76.989999999999995</v>
      </c>
      <c r="F3580">
        <v>284.55</v>
      </c>
      <c r="K3580" s="3"/>
      <c r="O3580" s="3"/>
    </row>
    <row r="3581" spans="1:15">
      <c r="A3581" s="3">
        <v>40105</v>
      </c>
      <c r="B3581" s="3">
        <v>40105</v>
      </c>
      <c r="C3581">
        <v>150.80000000000001</v>
      </c>
      <c r="D3581">
        <v>1.4964999999999999</v>
      </c>
      <c r="E3581">
        <v>77.77</v>
      </c>
      <c r="F3581">
        <v>296.64999999999998</v>
      </c>
      <c r="K3581" s="3"/>
      <c r="O3581" s="3"/>
    </row>
    <row r="3582" spans="1:15">
      <c r="A3582" s="3">
        <v>40106</v>
      </c>
      <c r="B3582" s="3">
        <v>40106</v>
      </c>
      <c r="C3582">
        <v>150.76</v>
      </c>
      <c r="D3582">
        <v>1.4944999999999999</v>
      </c>
      <c r="E3582">
        <v>77.239999999999995</v>
      </c>
      <c r="F3582">
        <v>293.2</v>
      </c>
      <c r="K3582" s="3"/>
      <c r="O3582" s="3"/>
    </row>
    <row r="3583" spans="1:15">
      <c r="A3583" s="3">
        <v>40107</v>
      </c>
      <c r="B3583" s="3">
        <v>40107</v>
      </c>
      <c r="C3583">
        <v>150.69</v>
      </c>
      <c r="D3583">
        <v>1.5016</v>
      </c>
      <c r="E3583">
        <v>79.69</v>
      </c>
      <c r="F3583">
        <v>303.60000000000002</v>
      </c>
      <c r="K3583" s="3"/>
      <c r="O3583" s="3"/>
    </row>
    <row r="3584" spans="1:15">
      <c r="A3584" s="3">
        <v>40108</v>
      </c>
      <c r="B3584" s="3">
        <v>40108</v>
      </c>
      <c r="C3584">
        <v>150.66999999999999</v>
      </c>
      <c r="D3584">
        <v>1.5033000000000001</v>
      </c>
      <c r="E3584">
        <v>79.510000000000005</v>
      </c>
      <c r="F3584">
        <v>299.8</v>
      </c>
      <c r="K3584" s="3"/>
      <c r="O3584" s="3"/>
    </row>
    <row r="3585" spans="1:15">
      <c r="A3585" s="3">
        <v>40109</v>
      </c>
      <c r="B3585" s="3">
        <v>40109</v>
      </c>
      <c r="C3585">
        <v>150.68</v>
      </c>
      <c r="D3585">
        <v>1.5007999999999999</v>
      </c>
      <c r="E3585">
        <v>78.92</v>
      </c>
      <c r="F3585">
        <v>303.45</v>
      </c>
      <c r="K3585" s="3"/>
      <c r="O3585" s="3"/>
    </row>
    <row r="3586" spans="1:15">
      <c r="A3586" s="3">
        <v>40110</v>
      </c>
      <c r="B3586" s="3">
        <v>40110</v>
      </c>
      <c r="C3586">
        <v>150.68</v>
      </c>
      <c r="D3586">
        <v>1.5007999999999999</v>
      </c>
      <c r="E3586">
        <v>78.92</v>
      </c>
      <c r="F3586">
        <v>303.45</v>
      </c>
      <c r="K3586" s="3"/>
      <c r="O3586" s="3"/>
    </row>
    <row r="3587" spans="1:15">
      <c r="A3587" s="3">
        <v>40111</v>
      </c>
      <c r="B3587" s="3">
        <v>40111</v>
      </c>
      <c r="C3587">
        <v>150.68</v>
      </c>
      <c r="D3587">
        <v>1.5007999999999999</v>
      </c>
      <c r="E3587">
        <v>78.92</v>
      </c>
      <c r="F3587">
        <v>303.45</v>
      </c>
      <c r="K3587" s="3"/>
      <c r="O3587" s="3"/>
    </row>
    <row r="3588" spans="1:15">
      <c r="A3588" s="3">
        <v>40112</v>
      </c>
      <c r="B3588" s="3">
        <v>40112</v>
      </c>
      <c r="C3588">
        <v>150.69</v>
      </c>
      <c r="D3588">
        <v>1.4876</v>
      </c>
      <c r="E3588">
        <v>77.260000000000005</v>
      </c>
      <c r="F3588">
        <v>301.10000000000002</v>
      </c>
      <c r="K3588" s="3"/>
      <c r="O3588" s="3"/>
    </row>
    <row r="3589" spans="1:15">
      <c r="A3589" s="3">
        <v>40113</v>
      </c>
      <c r="B3589" s="3">
        <v>40113</v>
      </c>
      <c r="C3589">
        <v>150.72</v>
      </c>
      <c r="D3589">
        <v>1.4803999999999999</v>
      </c>
      <c r="E3589">
        <v>77.92</v>
      </c>
      <c r="F3589">
        <v>299.89999999999998</v>
      </c>
      <c r="K3589" s="3"/>
      <c r="O3589" s="3"/>
    </row>
    <row r="3590" spans="1:15">
      <c r="A3590" s="3">
        <v>40114</v>
      </c>
      <c r="B3590" s="3">
        <v>40114</v>
      </c>
      <c r="C3590">
        <v>150.75</v>
      </c>
      <c r="D3590">
        <v>1.4705999999999999</v>
      </c>
      <c r="E3590">
        <v>75.86</v>
      </c>
      <c r="F3590">
        <v>293.05</v>
      </c>
      <c r="K3590" s="3"/>
      <c r="O3590" s="3"/>
    </row>
    <row r="3591" spans="1:15">
      <c r="A3591" s="3">
        <v>40115</v>
      </c>
      <c r="B3591" s="3">
        <v>40115</v>
      </c>
      <c r="C3591">
        <v>150.79</v>
      </c>
      <c r="D3591">
        <v>1.4822</v>
      </c>
      <c r="E3591">
        <v>78.040000000000006</v>
      </c>
      <c r="F3591">
        <v>302.95</v>
      </c>
      <c r="K3591" s="3"/>
      <c r="O3591" s="3"/>
    </row>
    <row r="3592" spans="1:15">
      <c r="A3592" s="3">
        <v>40116</v>
      </c>
      <c r="B3592" s="3">
        <v>40116</v>
      </c>
      <c r="C3592">
        <v>150.72999999999999</v>
      </c>
      <c r="D3592">
        <v>1.4719</v>
      </c>
      <c r="E3592">
        <v>75.2</v>
      </c>
      <c r="F3592">
        <v>295.55</v>
      </c>
      <c r="K3592" s="3"/>
      <c r="O3592" s="3"/>
    </row>
    <row r="3593" spans="1:15">
      <c r="A3593" s="3">
        <v>40117</v>
      </c>
      <c r="B3593" s="3">
        <v>40117</v>
      </c>
      <c r="C3593">
        <v>150.72999999999999</v>
      </c>
      <c r="D3593">
        <v>1.4719</v>
      </c>
      <c r="E3593">
        <v>75.2</v>
      </c>
      <c r="F3593">
        <v>295.55</v>
      </c>
      <c r="K3593" s="3"/>
      <c r="O3593" s="3"/>
    </row>
    <row r="3594" spans="1:15">
      <c r="A3594" s="3">
        <v>40118</v>
      </c>
      <c r="B3594" s="3">
        <v>40118</v>
      </c>
      <c r="C3594">
        <v>150.72999999999999</v>
      </c>
      <c r="D3594">
        <v>1.4719</v>
      </c>
      <c r="E3594">
        <v>75.2</v>
      </c>
      <c r="F3594">
        <v>295.55</v>
      </c>
      <c r="K3594" s="3"/>
      <c r="O3594" s="3"/>
    </row>
    <row r="3595" spans="1:15">
      <c r="A3595" s="3">
        <v>40119</v>
      </c>
      <c r="B3595" s="3">
        <v>40119</v>
      </c>
      <c r="C3595">
        <v>150.88</v>
      </c>
      <c r="D3595">
        <v>1.4775</v>
      </c>
      <c r="E3595">
        <v>76.55</v>
      </c>
      <c r="F3595">
        <v>294.5</v>
      </c>
      <c r="K3595" s="3"/>
      <c r="O3595" s="3"/>
    </row>
    <row r="3596" spans="1:15">
      <c r="A3596" s="3">
        <v>40120</v>
      </c>
      <c r="B3596" s="3">
        <v>40120</v>
      </c>
      <c r="C3596">
        <v>150.83000000000001</v>
      </c>
      <c r="D3596">
        <v>1.4723999999999999</v>
      </c>
      <c r="E3596">
        <v>78.11</v>
      </c>
      <c r="F3596">
        <v>295.60000000000002</v>
      </c>
      <c r="K3596" s="3"/>
      <c r="O3596" s="3"/>
    </row>
    <row r="3597" spans="1:15">
      <c r="A3597" s="3">
        <v>40121</v>
      </c>
      <c r="B3597" s="3">
        <v>40121</v>
      </c>
      <c r="C3597">
        <v>150.79</v>
      </c>
      <c r="D3597">
        <v>1.4861</v>
      </c>
      <c r="E3597">
        <v>78.89</v>
      </c>
      <c r="F3597">
        <v>299.3</v>
      </c>
      <c r="K3597" s="3"/>
      <c r="O3597" s="3"/>
    </row>
    <row r="3598" spans="1:15">
      <c r="A3598" s="3">
        <v>40122</v>
      </c>
      <c r="B3598" s="3">
        <v>40122</v>
      </c>
      <c r="C3598">
        <v>150.82</v>
      </c>
      <c r="D3598">
        <v>1.4871000000000001</v>
      </c>
      <c r="E3598">
        <v>77.989999999999995</v>
      </c>
      <c r="F3598">
        <v>295.7</v>
      </c>
      <c r="K3598" s="3"/>
      <c r="O3598" s="3"/>
    </row>
    <row r="3599" spans="1:15">
      <c r="A3599" s="3">
        <v>40123</v>
      </c>
      <c r="B3599" s="3">
        <v>40123</v>
      </c>
      <c r="C3599">
        <v>150.74</v>
      </c>
      <c r="D3599">
        <v>1.4846999999999999</v>
      </c>
      <c r="E3599">
        <v>75.87</v>
      </c>
      <c r="F3599">
        <v>295.25</v>
      </c>
      <c r="K3599" s="3"/>
      <c r="O3599" s="3"/>
    </row>
    <row r="3600" spans="1:15">
      <c r="A3600" s="3">
        <v>40124</v>
      </c>
      <c r="B3600" s="3">
        <v>40124</v>
      </c>
      <c r="C3600">
        <v>150.74</v>
      </c>
      <c r="D3600">
        <v>1.4846999999999999</v>
      </c>
      <c r="E3600">
        <v>75.87</v>
      </c>
      <c r="F3600">
        <v>295.25</v>
      </c>
      <c r="K3600" s="3"/>
      <c r="O3600" s="3"/>
    </row>
    <row r="3601" spans="1:15">
      <c r="A3601" s="3">
        <v>40125</v>
      </c>
      <c r="B3601" s="3">
        <v>40125</v>
      </c>
      <c r="C3601">
        <v>150.74</v>
      </c>
      <c r="D3601">
        <v>1.4846999999999999</v>
      </c>
      <c r="E3601">
        <v>75.87</v>
      </c>
      <c r="F3601">
        <v>295.25</v>
      </c>
      <c r="K3601" s="3"/>
      <c r="O3601" s="3"/>
    </row>
    <row r="3602" spans="1:15">
      <c r="A3602" s="3">
        <v>40126</v>
      </c>
      <c r="B3602" s="3">
        <v>40126</v>
      </c>
      <c r="C3602">
        <v>150.86000000000001</v>
      </c>
      <c r="D3602">
        <v>1.4999</v>
      </c>
      <c r="E3602">
        <v>77.77</v>
      </c>
      <c r="F3602">
        <v>296.75</v>
      </c>
      <c r="K3602" s="3"/>
      <c r="O3602" s="3"/>
    </row>
    <row r="3603" spans="1:15">
      <c r="A3603" s="3">
        <v>40127</v>
      </c>
      <c r="B3603" s="3">
        <v>40127</v>
      </c>
      <c r="C3603">
        <v>150.82</v>
      </c>
      <c r="D3603">
        <v>1.4993000000000001</v>
      </c>
      <c r="E3603">
        <v>77.5</v>
      </c>
      <c r="F3603">
        <v>296.14999999999998</v>
      </c>
      <c r="K3603" s="3"/>
      <c r="O3603" s="3"/>
    </row>
    <row r="3604" spans="1:15">
      <c r="A3604" s="3">
        <v>40128</v>
      </c>
      <c r="B3604" s="3">
        <v>40128</v>
      </c>
      <c r="C3604">
        <v>150.52000000000001</v>
      </c>
      <c r="D3604">
        <v>1.4986999999999999</v>
      </c>
      <c r="E3604">
        <v>77.95</v>
      </c>
      <c r="F3604">
        <v>296.60000000000002</v>
      </c>
      <c r="K3604" s="3"/>
      <c r="O3604" s="3"/>
    </row>
    <row r="3605" spans="1:15">
      <c r="A3605" s="3">
        <v>40129</v>
      </c>
      <c r="B3605" s="3">
        <v>40129</v>
      </c>
      <c r="C3605">
        <v>150.11000000000001</v>
      </c>
      <c r="D3605">
        <v>1.4850000000000001</v>
      </c>
      <c r="E3605">
        <v>76.02</v>
      </c>
      <c r="F3605">
        <v>294.75</v>
      </c>
      <c r="K3605" s="3"/>
      <c r="O3605" s="3"/>
    </row>
    <row r="3606" spans="1:15">
      <c r="A3606" s="3">
        <v>40130</v>
      </c>
      <c r="B3606" s="3">
        <v>40130</v>
      </c>
      <c r="C3606">
        <v>149.83000000000001</v>
      </c>
      <c r="D3606">
        <v>1.4903</v>
      </c>
      <c r="E3606">
        <v>75.55</v>
      </c>
      <c r="F3606">
        <v>297.25</v>
      </c>
      <c r="K3606" s="3"/>
      <c r="O3606" s="3"/>
    </row>
    <row r="3607" spans="1:15">
      <c r="A3607" s="3">
        <v>40131</v>
      </c>
      <c r="B3607" s="3">
        <v>40131</v>
      </c>
      <c r="C3607">
        <v>149.83000000000001</v>
      </c>
      <c r="D3607">
        <v>1.4903</v>
      </c>
      <c r="E3607">
        <v>75.55</v>
      </c>
      <c r="F3607">
        <v>297.25</v>
      </c>
      <c r="K3607" s="3"/>
      <c r="O3607" s="3"/>
    </row>
    <row r="3608" spans="1:15">
      <c r="A3608" s="3">
        <v>40132</v>
      </c>
      <c r="B3608" s="3">
        <v>40132</v>
      </c>
      <c r="C3608">
        <v>149.83000000000001</v>
      </c>
      <c r="D3608">
        <v>1.4903</v>
      </c>
      <c r="E3608">
        <v>75.55</v>
      </c>
      <c r="F3608">
        <v>297.25</v>
      </c>
      <c r="K3608" s="3"/>
      <c r="O3608" s="3"/>
    </row>
    <row r="3609" spans="1:15">
      <c r="A3609" s="3">
        <v>40133</v>
      </c>
      <c r="B3609" s="3">
        <v>40133</v>
      </c>
      <c r="C3609">
        <v>149.36000000000001</v>
      </c>
      <c r="D3609">
        <v>1.4970000000000001</v>
      </c>
      <c r="E3609">
        <v>78.760000000000005</v>
      </c>
      <c r="F3609">
        <v>310.35000000000002</v>
      </c>
      <c r="K3609" s="3"/>
      <c r="O3609" s="3"/>
    </row>
    <row r="3610" spans="1:15">
      <c r="A3610" s="3">
        <v>40134</v>
      </c>
      <c r="B3610" s="3">
        <v>40134</v>
      </c>
      <c r="C3610">
        <v>149.18</v>
      </c>
      <c r="D3610">
        <v>1.4876</v>
      </c>
      <c r="E3610">
        <v>78.97</v>
      </c>
      <c r="F3610">
        <v>310.85000000000002</v>
      </c>
      <c r="K3610" s="3"/>
      <c r="O3610" s="3"/>
    </row>
    <row r="3611" spans="1:15">
      <c r="A3611" s="3">
        <v>40135</v>
      </c>
      <c r="B3611" s="3">
        <v>40135</v>
      </c>
      <c r="C3611">
        <v>149</v>
      </c>
      <c r="D3611">
        <v>1.4963</v>
      </c>
      <c r="E3611">
        <v>79.47</v>
      </c>
      <c r="F3611">
        <v>311.05</v>
      </c>
      <c r="K3611" s="3"/>
      <c r="O3611" s="3"/>
    </row>
    <row r="3612" spans="1:15">
      <c r="A3612" s="3">
        <v>40136</v>
      </c>
      <c r="B3612" s="3">
        <v>40136</v>
      </c>
      <c r="C3612">
        <v>149.25</v>
      </c>
      <c r="D3612">
        <v>1.4924999999999999</v>
      </c>
      <c r="E3612">
        <v>77.64</v>
      </c>
      <c r="F3612">
        <v>308.10000000000002</v>
      </c>
      <c r="K3612" s="3"/>
      <c r="O3612" s="3"/>
    </row>
    <row r="3613" spans="1:15">
      <c r="A3613" s="3">
        <v>40137</v>
      </c>
      <c r="B3613" s="3">
        <v>40137</v>
      </c>
      <c r="C3613">
        <v>148.84</v>
      </c>
      <c r="D3613">
        <v>1.4862</v>
      </c>
      <c r="E3613">
        <v>77.2</v>
      </c>
      <c r="F3613">
        <v>310.8</v>
      </c>
      <c r="K3613" s="3"/>
      <c r="O3613" s="3"/>
    </row>
    <row r="3614" spans="1:15">
      <c r="A3614" s="3">
        <v>40138</v>
      </c>
      <c r="B3614" s="3">
        <v>40138</v>
      </c>
      <c r="C3614">
        <v>148.84</v>
      </c>
      <c r="D3614">
        <v>1.4862</v>
      </c>
      <c r="E3614">
        <v>77.2</v>
      </c>
      <c r="F3614">
        <v>310.8</v>
      </c>
      <c r="K3614" s="3"/>
      <c r="O3614" s="3"/>
    </row>
    <row r="3615" spans="1:15">
      <c r="A3615" s="3">
        <v>40139</v>
      </c>
      <c r="B3615" s="3">
        <v>40139</v>
      </c>
      <c r="C3615">
        <v>148.84</v>
      </c>
      <c r="D3615">
        <v>1.4862</v>
      </c>
      <c r="E3615">
        <v>77.2</v>
      </c>
      <c r="F3615">
        <v>310.8</v>
      </c>
      <c r="K3615" s="3"/>
      <c r="O3615" s="3"/>
    </row>
    <row r="3616" spans="1:15">
      <c r="A3616" s="3">
        <v>40140</v>
      </c>
      <c r="B3616" s="3">
        <v>40140</v>
      </c>
      <c r="C3616">
        <v>148.77000000000001</v>
      </c>
      <c r="D3616">
        <v>1.4961</v>
      </c>
      <c r="E3616">
        <v>77.459999999999994</v>
      </c>
      <c r="F3616">
        <v>313.55</v>
      </c>
      <c r="K3616" s="3"/>
      <c r="O3616" s="3"/>
    </row>
    <row r="3617" spans="1:15">
      <c r="A3617" s="3">
        <v>40141</v>
      </c>
      <c r="B3617" s="3">
        <v>40141</v>
      </c>
      <c r="C3617">
        <v>148.91999999999999</v>
      </c>
      <c r="D3617">
        <v>1.4967999999999999</v>
      </c>
      <c r="E3617">
        <v>76.459999999999994</v>
      </c>
      <c r="F3617">
        <v>311.35000000000002</v>
      </c>
      <c r="K3617" s="3"/>
      <c r="O3617" s="3"/>
    </row>
    <row r="3618" spans="1:15">
      <c r="A3618" s="3">
        <v>40142</v>
      </c>
      <c r="B3618" s="3">
        <v>40142</v>
      </c>
      <c r="C3618">
        <v>148.88</v>
      </c>
      <c r="D3618">
        <v>1.5134000000000001</v>
      </c>
      <c r="E3618">
        <v>78.44</v>
      </c>
      <c r="F3618">
        <v>316.5</v>
      </c>
      <c r="K3618" s="3"/>
      <c r="O3618" s="3"/>
    </row>
    <row r="3619" spans="1:15">
      <c r="A3619" s="3">
        <v>40143</v>
      </c>
      <c r="B3619" s="3">
        <v>40143</v>
      </c>
      <c r="C3619">
        <v>148.71</v>
      </c>
      <c r="D3619">
        <v>1.5019</v>
      </c>
      <c r="E3619">
        <v>76.989999999999995</v>
      </c>
      <c r="F3619">
        <v>316.5</v>
      </c>
      <c r="K3619" s="3"/>
      <c r="O3619" s="3"/>
    </row>
    <row r="3620" spans="1:15">
      <c r="A3620" s="3">
        <v>40144</v>
      </c>
      <c r="B3620" s="3">
        <v>40144</v>
      </c>
      <c r="C3620">
        <v>148.71</v>
      </c>
      <c r="D3620">
        <v>1.4987999999999999</v>
      </c>
      <c r="E3620">
        <v>77.180000000000007</v>
      </c>
      <c r="F3620">
        <v>309.35000000000002</v>
      </c>
      <c r="K3620" s="3"/>
      <c r="O3620" s="3"/>
    </row>
    <row r="3621" spans="1:15">
      <c r="A3621" s="3">
        <v>40145</v>
      </c>
      <c r="B3621" s="3">
        <v>40145</v>
      </c>
      <c r="C3621">
        <v>148.71</v>
      </c>
      <c r="D3621">
        <v>1.4987999999999999</v>
      </c>
      <c r="E3621">
        <v>77.180000000000007</v>
      </c>
      <c r="F3621">
        <v>309.35000000000002</v>
      </c>
      <c r="K3621" s="3"/>
      <c r="O3621" s="3"/>
    </row>
    <row r="3622" spans="1:15">
      <c r="A3622" s="3">
        <v>40146</v>
      </c>
      <c r="B3622" s="3">
        <v>40146</v>
      </c>
      <c r="C3622">
        <v>148.71</v>
      </c>
      <c r="D3622">
        <v>1.4987999999999999</v>
      </c>
      <c r="E3622">
        <v>77.180000000000007</v>
      </c>
      <c r="F3622">
        <v>309.35000000000002</v>
      </c>
      <c r="K3622" s="3"/>
      <c r="O3622" s="3"/>
    </row>
    <row r="3623" spans="1:15">
      <c r="A3623" s="3">
        <v>40147</v>
      </c>
      <c r="B3623" s="3">
        <v>40147</v>
      </c>
      <c r="C3623">
        <v>148.75</v>
      </c>
      <c r="D3623">
        <v>1.5004999999999999</v>
      </c>
      <c r="E3623">
        <v>78.47</v>
      </c>
      <c r="F3623">
        <v>314.85000000000002</v>
      </c>
      <c r="K3623" s="3"/>
      <c r="O3623" s="3"/>
    </row>
    <row r="3624" spans="1:15">
      <c r="A3624" s="3">
        <v>40148</v>
      </c>
      <c r="B3624" s="3">
        <v>40148</v>
      </c>
      <c r="C3624">
        <v>148.68</v>
      </c>
      <c r="D3624">
        <v>1.5081</v>
      </c>
      <c r="E3624">
        <v>79.349999999999994</v>
      </c>
      <c r="F3624">
        <v>320.35000000000002</v>
      </c>
      <c r="K3624" s="3"/>
      <c r="O3624" s="3"/>
    </row>
    <row r="3625" spans="1:15">
      <c r="A3625" s="3">
        <v>40149</v>
      </c>
      <c r="B3625" s="3">
        <v>40149</v>
      </c>
      <c r="C3625">
        <v>148.72999999999999</v>
      </c>
      <c r="D3625">
        <v>1.5044</v>
      </c>
      <c r="E3625">
        <v>77.88</v>
      </c>
      <c r="F3625">
        <v>323.14999999999998</v>
      </c>
      <c r="K3625" s="3"/>
      <c r="O3625" s="3"/>
    </row>
    <row r="3626" spans="1:15">
      <c r="A3626" s="3">
        <v>40150</v>
      </c>
      <c r="B3626" s="3">
        <v>40150</v>
      </c>
      <c r="C3626">
        <v>148.84</v>
      </c>
      <c r="D3626">
        <v>1.5053000000000001</v>
      </c>
      <c r="E3626">
        <v>78.36</v>
      </c>
      <c r="F3626">
        <v>321.95</v>
      </c>
      <c r="K3626" s="3"/>
      <c r="O3626" s="3"/>
    </row>
    <row r="3627" spans="1:15">
      <c r="A3627" s="3">
        <v>40151</v>
      </c>
      <c r="B3627" s="3">
        <v>40151</v>
      </c>
      <c r="C3627">
        <v>148.88</v>
      </c>
      <c r="D3627">
        <v>1.4858</v>
      </c>
      <c r="E3627">
        <v>77.52</v>
      </c>
      <c r="F3627">
        <v>321.35000000000002</v>
      </c>
      <c r="K3627" s="3"/>
      <c r="O3627" s="3"/>
    </row>
    <row r="3628" spans="1:15">
      <c r="A3628" s="3">
        <v>40152</v>
      </c>
      <c r="B3628" s="3">
        <v>40152</v>
      </c>
      <c r="C3628">
        <v>148.88</v>
      </c>
      <c r="D3628">
        <v>1.4858</v>
      </c>
      <c r="E3628">
        <v>77.52</v>
      </c>
      <c r="F3628">
        <v>321.35000000000002</v>
      </c>
      <c r="K3628" s="3"/>
      <c r="O3628" s="3"/>
    </row>
    <row r="3629" spans="1:15">
      <c r="A3629" s="3">
        <v>40153</v>
      </c>
      <c r="B3629" s="3">
        <v>40153</v>
      </c>
      <c r="C3629">
        <v>148.88</v>
      </c>
      <c r="D3629">
        <v>1.4858</v>
      </c>
      <c r="E3629">
        <v>77.52</v>
      </c>
      <c r="F3629">
        <v>321.35000000000002</v>
      </c>
      <c r="K3629" s="3"/>
      <c r="O3629" s="3"/>
    </row>
    <row r="3630" spans="1:15">
      <c r="A3630" s="3">
        <v>40154</v>
      </c>
      <c r="B3630" s="3">
        <v>40154</v>
      </c>
      <c r="C3630">
        <v>148.97999999999999</v>
      </c>
      <c r="D3630">
        <v>1.4826999999999999</v>
      </c>
      <c r="E3630">
        <v>76.430000000000007</v>
      </c>
      <c r="F3630">
        <v>318.5</v>
      </c>
      <c r="K3630" s="3"/>
      <c r="O3630" s="3"/>
    </row>
    <row r="3631" spans="1:15">
      <c r="A3631" s="3">
        <v>40155</v>
      </c>
      <c r="B3631" s="3">
        <v>40155</v>
      </c>
      <c r="C3631">
        <v>149.03</v>
      </c>
      <c r="D3631">
        <v>1.4703999999999999</v>
      </c>
      <c r="E3631">
        <v>75.19</v>
      </c>
      <c r="F3631">
        <v>313.95</v>
      </c>
      <c r="K3631" s="3"/>
      <c r="O3631" s="3"/>
    </row>
    <row r="3632" spans="1:15">
      <c r="A3632" s="3">
        <v>40156</v>
      </c>
      <c r="B3632" s="3">
        <v>40156</v>
      </c>
      <c r="C3632">
        <v>148.97</v>
      </c>
      <c r="D3632">
        <v>1.4725999999999999</v>
      </c>
      <c r="E3632">
        <v>72.39</v>
      </c>
      <c r="F3632">
        <v>309.8</v>
      </c>
      <c r="K3632" s="3"/>
      <c r="O3632" s="3"/>
    </row>
    <row r="3633" spans="1:15">
      <c r="A3633" s="3">
        <v>40157</v>
      </c>
      <c r="B3633" s="3">
        <v>40157</v>
      </c>
      <c r="C3633">
        <v>149.19</v>
      </c>
      <c r="D3633">
        <v>1.4732000000000001</v>
      </c>
      <c r="E3633">
        <v>71.86</v>
      </c>
      <c r="F3633">
        <v>307.95</v>
      </c>
      <c r="K3633" s="3"/>
      <c r="O3633" s="3"/>
    </row>
    <row r="3634" spans="1:15">
      <c r="A3634" s="3">
        <v>40158</v>
      </c>
      <c r="B3634" s="3">
        <v>40158</v>
      </c>
      <c r="C3634">
        <v>148.99</v>
      </c>
      <c r="D3634">
        <v>1.4615</v>
      </c>
      <c r="E3634">
        <v>71.88</v>
      </c>
      <c r="F3634">
        <v>311</v>
      </c>
      <c r="K3634" s="3"/>
      <c r="O3634" s="3"/>
    </row>
    <row r="3635" spans="1:15">
      <c r="A3635" s="3">
        <v>40159</v>
      </c>
      <c r="B3635" s="3">
        <v>40159</v>
      </c>
      <c r="C3635">
        <v>148.99</v>
      </c>
      <c r="D3635">
        <v>1.4615</v>
      </c>
      <c r="E3635">
        <v>71.88</v>
      </c>
      <c r="F3635">
        <v>311</v>
      </c>
      <c r="K3635" s="3"/>
      <c r="O3635" s="3"/>
    </row>
    <row r="3636" spans="1:15">
      <c r="A3636" s="3">
        <v>40160</v>
      </c>
      <c r="B3636" s="3">
        <v>40160</v>
      </c>
      <c r="C3636">
        <v>148.99</v>
      </c>
      <c r="D3636">
        <v>1.4615</v>
      </c>
      <c r="E3636">
        <v>71.88</v>
      </c>
      <c r="F3636">
        <v>311</v>
      </c>
      <c r="K3636" s="3"/>
      <c r="O3636" s="3"/>
    </row>
    <row r="3637" spans="1:15">
      <c r="A3637" s="3">
        <v>40161</v>
      </c>
      <c r="B3637" s="3">
        <v>40161</v>
      </c>
      <c r="C3637">
        <v>148.80000000000001</v>
      </c>
      <c r="D3637">
        <v>1.4656</v>
      </c>
      <c r="E3637">
        <v>71.89</v>
      </c>
      <c r="F3637">
        <v>313</v>
      </c>
      <c r="K3637" s="3"/>
      <c r="O3637" s="3"/>
    </row>
    <row r="3638" spans="1:15">
      <c r="A3638" s="3">
        <v>40162</v>
      </c>
      <c r="B3638" s="3">
        <v>40162</v>
      </c>
      <c r="C3638">
        <v>148.68</v>
      </c>
      <c r="D3638">
        <v>1.4538</v>
      </c>
      <c r="E3638">
        <v>72.05</v>
      </c>
      <c r="F3638">
        <v>312.10000000000002</v>
      </c>
      <c r="K3638" s="3"/>
      <c r="O3638" s="3"/>
    </row>
    <row r="3639" spans="1:15">
      <c r="A3639" s="3">
        <v>40163</v>
      </c>
      <c r="B3639" s="3">
        <v>40163</v>
      </c>
      <c r="C3639">
        <v>148.68</v>
      </c>
      <c r="D3639">
        <v>1.4531000000000001</v>
      </c>
      <c r="E3639">
        <v>73.55</v>
      </c>
      <c r="F3639">
        <v>318.60000000000002</v>
      </c>
      <c r="K3639" s="3"/>
      <c r="O3639" s="3"/>
    </row>
    <row r="3640" spans="1:15">
      <c r="A3640" s="3">
        <v>40164</v>
      </c>
      <c r="B3640" s="3">
        <v>40164</v>
      </c>
      <c r="C3640">
        <v>148.68</v>
      </c>
      <c r="D3640">
        <v>1.4338</v>
      </c>
      <c r="E3640">
        <v>73.37</v>
      </c>
      <c r="F3640">
        <v>311.05</v>
      </c>
      <c r="K3640" s="3"/>
      <c r="O3640" s="3"/>
    </row>
    <row r="3641" spans="1:15">
      <c r="A3641" s="3">
        <v>40165</v>
      </c>
      <c r="B3641" s="3">
        <v>40165</v>
      </c>
      <c r="C3641">
        <v>148.68</v>
      </c>
      <c r="D3641">
        <v>1.4338</v>
      </c>
      <c r="E3641">
        <v>73.75</v>
      </c>
      <c r="F3641">
        <v>312.10000000000002</v>
      </c>
      <c r="K3641" s="3"/>
      <c r="O3641" s="3"/>
    </row>
    <row r="3642" spans="1:15">
      <c r="A3642" s="3">
        <v>40166</v>
      </c>
      <c r="B3642" s="3">
        <v>40166</v>
      </c>
      <c r="C3642">
        <v>148.68</v>
      </c>
      <c r="D3642">
        <v>1.4338</v>
      </c>
      <c r="E3642">
        <v>73.75</v>
      </c>
      <c r="F3642">
        <v>312.10000000000002</v>
      </c>
      <c r="K3642" s="3"/>
      <c r="O3642" s="3"/>
    </row>
    <row r="3643" spans="1:15">
      <c r="A3643" s="3">
        <v>40167</v>
      </c>
      <c r="B3643" s="3">
        <v>40167</v>
      </c>
      <c r="C3643">
        <v>148.68</v>
      </c>
      <c r="D3643">
        <v>1.4338</v>
      </c>
      <c r="E3643">
        <v>73.75</v>
      </c>
      <c r="F3643">
        <v>312.10000000000002</v>
      </c>
      <c r="K3643" s="3"/>
      <c r="O3643" s="3"/>
    </row>
    <row r="3644" spans="1:15">
      <c r="A3644" s="3">
        <v>40168</v>
      </c>
      <c r="B3644" s="3">
        <v>40168</v>
      </c>
      <c r="C3644">
        <v>148.55000000000001</v>
      </c>
      <c r="D3644">
        <v>1.4276</v>
      </c>
      <c r="E3644">
        <v>72.989999999999995</v>
      </c>
      <c r="F3644">
        <v>314.05</v>
      </c>
      <c r="K3644" s="3"/>
      <c r="O3644" s="3"/>
    </row>
    <row r="3645" spans="1:15">
      <c r="A3645" s="3">
        <v>40169</v>
      </c>
      <c r="B3645" s="3">
        <v>40169</v>
      </c>
      <c r="C3645">
        <v>148.43</v>
      </c>
      <c r="D3645">
        <v>1.4249000000000001</v>
      </c>
      <c r="E3645">
        <v>73.459999999999994</v>
      </c>
      <c r="F3645">
        <v>312</v>
      </c>
      <c r="K3645" s="3"/>
      <c r="O3645" s="3"/>
    </row>
    <row r="3646" spans="1:15">
      <c r="A3646" s="3">
        <v>40170</v>
      </c>
      <c r="B3646" s="3">
        <v>40170</v>
      </c>
      <c r="C3646">
        <v>148.47999999999999</v>
      </c>
      <c r="D3646">
        <v>1.4337</v>
      </c>
      <c r="E3646">
        <v>75.45</v>
      </c>
      <c r="F3646">
        <v>318.45</v>
      </c>
      <c r="K3646" s="3"/>
      <c r="O3646" s="3"/>
    </row>
    <row r="3647" spans="1:15">
      <c r="A3647" s="3">
        <v>40171</v>
      </c>
      <c r="B3647" s="3">
        <v>40171</v>
      </c>
      <c r="C3647">
        <v>148.34</v>
      </c>
      <c r="D3647">
        <v>1.4379999999999999</v>
      </c>
      <c r="E3647">
        <v>76.31</v>
      </c>
      <c r="F3647">
        <v>327.10000000000002</v>
      </c>
      <c r="K3647" s="3"/>
      <c r="O3647" s="3"/>
    </row>
    <row r="3648" spans="1:15">
      <c r="A3648" s="3">
        <v>40172</v>
      </c>
      <c r="B3648" s="3">
        <v>40172</v>
      </c>
      <c r="C3648">
        <v>148.34</v>
      </c>
      <c r="D3648">
        <v>1.4411</v>
      </c>
      <c r="E3648">
        <v>76.31</v>
      </c>
      <c r="F3648">
        <v>327.10000000000002</v>
      </c>
      <c r="K3648" s="3"/>
      <c r="O3648" s="3"/>
    </row>
    <row r="3649" spans="1:15">
      <c r="A3649" s="3">
        <v>40173</v>
      </c>
      <c r="B3649" s="3">
        <v>40173</v>
      </c>
      <c r="C3649">
        <v>148.34</v>
      </c>
      <c r="D3649">
        <v>1.4411</v>
      </c>
      <c r="E3649">
        <v>76.31</v>
      </c>
      <c r="F3649">
        <v>327.10000000000002</v>
      </c>
      <c r="K3649" s="3"/>
      <c r="O3649" s="3"/>
    </row>
    <row r="3650" spans="1:15">
      <c r="A3650" s="3">
        <v>40174</v>
      </c>
      <c r="B3650" s="3">
        <v>40174</v>
      </c>
      <c r="C3650">
        <v>148.34</v>
      </c>
      <c r="D3650">
        <v>1.4411</v>
      </c>
      <c r="E3650">
        <v>76.31</v>
      </c>
      <c r="F3650">
        <v>327.10000000000002</v>
      </c>
      <c r="K3650" s="3"/>
      <c r="O3650" s="3"/>
    </row>
    <row r="3651" spans="1:15">
      <c r="A3651" s="3">
        <v>40175</v>
      </c>
      <c r="B3651" s="3">
        <v>40175</v>
      </c>
      <c r="C3651">
        <v>148.51</v>
      </c>
      <c r="D3651">
        <v>1.4378</v>
      </c>
      <c r="E3651">
        <v>77.319999999999993</v>
      </c>
      <c r="F3651">
        <v>331.65</v>
      </c>
      <c r="K3651" s="3"/>
      <c r="O3651" s="3"/>
    </row>
    <row r="3652" spans="1:15">
      <c r="A3652" s="3">
        <v>40176</v>
      </c>
      <c r="B3652" s="3">
        <v>40176</v>
      </c>
      <c r="C3652">
        <v>148.31</v>
      </c>
      <c r="D3652">
        <v>1.4354</v>
      </c>
      <c r="E3652">
        <v>77.64</v>
      </c>
      <c r="F3652">
        <v>329.6</v>
      </c>
      <c r="K3652" s="3"/>
      <c r="O3652" s="3"/>
    </row>
    <row r="3653" spans="1:15">
      <c r="A3653" s="3">
        <v>40177</v>
      </c>
      <c r="B3653" s="3">
        <v>40177</v>
      </c>
      <c r="C3653">
        <v>148.38999999999999</v>
      </c>
      <c r="D3653">
        <v>1.4339</v>
      </c>
      <c r="E3653">
        <v>78.03</v>
      </c>
      <c r="F3653">
        <v>334.5</v>
      </c>
      <c r="K3653" s="3"/>
      <c r="O3653" s="3"/>
    </row>
    <row r="3654" spans="1:15">
      <c r="A3654" s="3">
        <v>40178</v>
      </c>
      <c r="B3654" s="3">
        <v>40178</v>
      </c>
      <c r="C3654">
        <v>148.38999999999999</v>
      </c>
      <c r="D3654">
        <v>1.4320999999999999</v>
      </c>
      <c r="E3654">
        <v>77.930000000000007</v>
      </c>
      <c r="F3654">
        <v>334.65</v>
      </c>
      <c r="K3654" s="3"/>
      <c r="O3654" s="3"/>
    </row>
    <row r="3655" spans="1:15">
      <c r="A3655" s="3">
        <v>40179</v>
      </c>
      <c r="B3655" s="3">
        <v>40179</v>
      </c>
      <c r="C3655">
        <v>148.38999999999999</v>
      </c>
      <c r="D3655">
        <v>1.4323999999999999</v>
      </c>
      <c r="E3655">
        <v>77.930000000000007</v>
      </c>
      <c r="F3655">
        <v>334.65</v>
      </c>
      <c r="K3655" s="3"/>
      <c r="O3655" s="3"/>
    </row>
    <row r="3656" spans="1:15">
      <c r="A3656" s="3">
        <v>40180</v>
      </c>
      <c r="B3656" s="3">
        <v>40180</v>
      </c>
      <c r="C3656">
        <v>148.38999999999999</v>
      </c>
      <c r="D3656">
        <v>1.4323999999999999</v>
      </c>
      <c r="E3656">
        <v>77.930000000000007</v>
      </c>
      <c r="F3656">
        <v>334.65</v>
      </c>
      <c r="K3656" s="3"/>
      <c r="O3656" s="3"/>
    </row>
    <row r="3657" spans="1:15">
      <c r="A3657" s="3">
        <v>40181</v>
      </c>
      <c r="B3657" s="3">
        <v>40181</v>
      </c>
      <c r="C3657">
        <v>148.38999999999999</v>
      </c>
      <c r="D3657">
        <v>1.4323999999999999</v>
      </c>
      <c r="E3657">
        <v>77.930000000000007</v>
      </c>
      <c r="F3657">
        <v>334.65</v>
      </c>
      <c r="K3657" s="3"/>
      <c r="O3657" s="3"/>
    </row>
    <row r="3658" spans="1:15">
      <c r="A3658" s="3">
        <v>40182</v>
      </c>
      <c r="B3658" s="3">
        <v>40182</v>
      </c>
      <c r="C3658">
        <v>148.38999999999999</v>
      </c>
      <c r="D3658">
        <v>1.4413</v>
      </c>
      <c r="E3658">
        <v>80.12</v>
      </c>
      <c r="F3658">
        <v>340.6</v>
      </c>
      <c r="K3658" s="3"/>
      <c r="O3658" s="3"/>
    </row>
    <row r="3659" spans="1:15">
      <c r="A3659" s="3">
        <v>40183</v>
      </c>
      <c r="B3659" s="3">
        <v>40183</v>
      </c>
      <c r="C3659">
        <v>148.38999999999999</v>
      </c>
      <c r="D3659">
        <v>1.4365000000000001</v>
      </c>
      <c r="E3659">
        <v>80.59</v>
      </c>
      <c r="F3659">
        <v>341.35</v>
      </c>
      <c r="K3659" s="3"/>
      <c r="O3659" s="3"/>
    </row>
    <row r="3660" spans="1:15">
      <c r="A3660" s="3">
        <v>40184</v>
      </c>
      <c r="B3660" s="3">
        <v>40184</v>
      </c>
      <c r="C3660">
        <v>148.21</v>
      </c>
      <c r="D3660">
        <v>1.4408000000000001</v>
      </c>
      <c r="E3660">
        <v>81.89</v>
      </c>
      <c r="F3660">
        <v>349.45</v>
      </c>
      <c r="K3660" s="3"/>
      <c r="O3660" s="3"/>
    </row>
    <row r="3661" spans="1:15">
      <c r="A3661" s="3">
        <v>40185</v>
      </c>
      <c r="B3661" s="3">
        <v>40185</v>
      </c>
      <c r="C3661">
        <v>148.21</v>
      </c>
      <c r="D3661">
        <v>1.4308000000000001</v>
      </c>
      <c r="E3661">
        <v>81.510000000000005</v>
      </c>
      <c r="F3661">
        <v>342.7</v>
      </c>
      <c r="K3661" s="3"/>
      <c r="O3661" s="3"/>
    </row>
    <row r="3662" spans="1:15">
      <c r="A3662" s="3">
        <v>40186</v>
      </c>
      <c r="B3662" s="3">
        <v>40186</v>
      </c>
      <c r="C3662">
        <v>148.21</v>
      </c>
      <c r="D3662">
        <v>1.4409000000000001</v>
      </c>
      <c r="E3662">
        <v>81.37</v>
      </c>
      <c r="F3662">
        <v>340.05</v>
      </c>
      <c r="K3662" s="3"/>
      <c r="O3662" s="3"/>
    </row>
    <row r="3663" spans="1:15">
      <c r="A3663" s="3">
        <v>40187</v>
      </c>
      <c r="B3663" s="3">
        <v>40187</v>
      </c>
      <c r="C3663">
        <v>148.21</v>
      </c>
      <c r="D3663">
        <v>1.4409000000000001</v>
      </c>
      <c r="E3663">
        <v>81.37</v>
      </c>
      <c r="F3663">
        <v>340.05</v>
      </c>
      <c r="K3663" s="3"/>
      <c r="O3663" s="3"/>
    </row>
    <row r="3664" spans="1:15">
      <c r="A3664" s="3">
        <v>40188</v>
      </c>
      <c r="B3664" s="3">
        <v>40188</v>
      </c>
      <c r="C3664">
        <v>148.21</v>
      </c>
      <c r="D3664">
        <v>1.4409000000000001</v>
      </c>
      <c r="E3664">
        <v>81.37</v>
      </c>
      <c r="F3664">
        <v>340.05</v>
      </c>
      <c r="K3664" s="3"/>
      <c r="O3664" s="3"/>
    </row>
    <row r="3665" spans="1:15">
      <c r="A3665" s="3">
        <v>40189</v>
      </c>
      <c r="B3665" s="3">
        <v>40189</v>
      </c>
      <c r="C3665">
        <v>148.12</v>
      </c>
      <c r="D3665">
        <v>1.4513</v>
      </c>
      <c r="E3665">
        <v>80.97</v>
      </c>
      <c r="F3665">
        <v>344.1</v>
      </c>
      <c r="K3665" s="3"/>
      <c r="O3665" s="3"/>
    </row>
    <row r="3666" spans="1:15">
      <c r="A3666" s="3">
        <v>40190</v>
      </c>
      <c r="B3666" s="3">
        <v>40190</v>
      </c>
      <c r="C3666">
        <v>148.1</v>
      </c>
      <c r="D3666">
        <v>1.4486000000000001</v>
      </c>
      <c r="E3666">
        <v>79.3</v>
      </c>
      <c r="F3666">
        <v>334.95</v>
      </c>
      <c r="K3666" s="3"/>
      <c r="O3666" s="3"/>
    </row>
    <row r="3667" spans="1:15">
      <c r="A3667" s="3">
        <v>40191</v>
      </c>
      <c r="B3667" s="3">
        <v>40191</v>
      </c>
      <c r="C3667">
        <v>148.06</v>
      </c>
      <c r="D3667">
        <v>1.4510000000000001</v>
      </c>
      <c r="E3667">
        <v>78.31</v>
      </c>
      <c r="F3667">
        <v>340</v>
      </c>
      <c r="K3667" s="3"/>
      <c r="O3667" s="3"/>
    </row>
    <row r="3668" spans="1:15">
      <c r="A3668" s="3">
        <v>40192</v>
      </c>
      <c r="B3668" s="3">
        <v>40192</v>
      </c>
      <c r="C3668">
        <v>148.08000000000001</v>
      </c>
      <c r="D3668">
        <v>1.4499</v>
      </c>
      <c r="E3668">
        <v>77.819999999999993</v>
      </c>
      <c r="F3668">
        <v>338.75</v>
      </c>
      <c r="K3668" s="3"/>
      <c r="O3668" s="3"/>
    </row>
    <row r="3669" spans="1:15">
      <c r="A3669" s="3">
        <v>40193</v>
      </c>
      <c r="B3669" s="3">
        <v>40193</v>
      </c>
      <c r="C3669">
        <v>148.08000000000001</v>
      </c>
      <c r="D3669">
        <v>1.4387000000000001</v>
      </c>
      <c r="E3669">
        <v>77.11</v>
      </c>
      <c r="F3669">
        <v>336.6</v>
      </c>
      <c r="K3669" s="3"/>
      <c r="O3669" s="3"/>
    </row>
    <row r="3670" spans="1:15">
      <c r="A3670" s="3">
        <v>40194</v>
      </c>
      <c r="B3670" s="3">
        <v>40194</v>
      </c>
      <c r="C3670">
        <v>148.08000000000001</v>
      </c>
      <c r="D3670">
        <v>1.4387000000000001</v>
      </c>
      <c r="E3670">
        <v>77.11</v>
      </c>
      <c r="F3670">
        <v>336.6</v>
      </c>
      <c r="K3670" s="3"/>
      <c r="O3670" s="3"/>
    </row>
    <row r="3671" spans="1:15">
      <c r="A3671" s="3">
        <v>40195</v>
      </c>
      <c r="B3671" s="3">
        <v>40195</v>
      </c>
      <c r="C3671">
        <v>148.08000000000001</v>
      </c>
      <c r="D3671">
        <v>1.4387000000000001</v>
      </c>
      <c r="E3671">
        <v>77.11</v>
      </c>
      <c r="F3671">
        <v>336.6</v>
      </c>
      <c r="K3671" s="3"/>
      <c r="O3671" s="3"/>
    </row>
    <row r="3672" spans="1:15">
      <c r="A3672" s="3">
        <v>40196</v>
      </c>
      <c r="B3672" s="3">
        <v>40196</v>
      </c>
      <c r="C3672">
        <v>148.04</v>
      </c>
      <c r="D3672">
        <v>1.4383999999999999</v>
      </c>
      <c r="E3672">
        <v>77.099999999999994</v>
      </c>
      <c r="F3672">
        <v>336.6</v>
      </c>
      <c r="K3672" s="3"/>
      <c r="O3672" s="3"/>
    </row>
    <row r="3673" spans="1:15">
      <c r="A3673" s="3">
        <v>40197</v>
      </c>
      <c r="B3673" s="3">
        <v>40197</v>
      </c>
      <c r="C3673">
        <v>147.97999999999999</v>
      </c>
      <c r="D3673">
        <v>1.4288000000000001</v>
      </c>
      <c r="E3673">
        <v>77.63</v>
      </c>
      <c r="F3673">
        <v>344.7</v>
      </c>
      <c r="K3673" s="3"/>
      <c r="O3673" s="3"/>
    </row>
    <row r="3674" spans="1:15">
      <c r="A3674" s="3">
        <v>40198</v>
      </c>
      <c r="B3674" s="3">
        <v>40198</v>
      </c>
      <c r="C3674">
        <v>147.97</v>
      </c>
      <c r="D3674">
        <v>1.4106000000000001</v>
      </c>
      <c r="E3674">
        <v>76.319999999999993</v>
      </c>
      <c r="F3674">
        <v>335.5</v>
      </c>
      <c r="K3674" s="3"/>
      <c r="O3674" s="3"/>
    </row>
    <row r="3675" spans="1:15">
      <c r="A3675" s="3">
        <v>40199</v>
      </c>
      <c r="B3675" s="3">
        <v>40199</v>
      </c>
      <c r="C3675">
        <v>147.87</v>
      </c>
      <c r="D3675">
        <v>1.4084000000000001</v>
      </c>
      <c r="E3675">
        <v>74.58</v>
      </c>
      <c r="F3675">
        <v>329.5</v>
      </c>
      <c r="K3675" s="3"/>
      <c r="O3675" s="3"/>
    </row>
    <row r="3676" spans="1:15">
      <c r="A3676" s="3">
        <v>40200</v>
      </c>
      <c r="B3676" s="3">
        <v>40200</v>
      </c>
      <c r="C3676">
        <v>147.87</v>
      </c>
      <c r="D3676">
        <v>1.4138999999999999</v>
      </c>
      <c r="E3676">
        <v>72.83</v>
      </c>
      <c r="F3676">
        <v>334.7</v>
      </c>
      <c r="K3676" s="3"/>
      <c r="O3676" s="3"/>
    </row>
    <row r="3677" spans="1:15">
      <c r="A3677" s="3">
        <v>40201</v>
      </c>
      <c r="B3677" s="3">
        <v>40201</v>
      </c>
      <c r="C3677">
        <v>147.87</v>
      </c>
      <c r="D3677">
        <v>1.4138999999999999</v>
      </c>
      <c r="E3677">
        <v>72.83</v>
      </c>
      <c r="F3677">
        <v>334.7</v>
      </c>
      <c r="K3677" s="3"/>
      <c r="O3677" s="3"/>
    </row>
    <row r="3678" spans="1:15">
      <c r="A3678" s="3">
        <v>40202</v>
      </c>
      <c r="B3678" s="3">
        <v>40202</v>
      </c>
      <c r="C3678">
        <v>147.87</v>
      </c>
      <c r="D3678">
        <v>1.4138999999999999</v>
      </c>
      <c r="E3678">
        <v>72.83</v>
      </c>
      <c r="F3678">
        <v>334.7</v>
      </c>
      <c r="K3678" s="3"/>
      <c r="O3678" s="3"/>
    </row>
    <row r="3679" spans="1:15">
      <c r="A3679" s="3">
        <v>40203</v>
      </c>
      <c r="B3679" s="3">
        <v>40203</v>
      </c>
      <c r="C3679">
        <v>148.13</v>
      </c>
      <c r="D3679">
        <v>1.4151</v>
      </c>
      <c r="E3679">
        <v>73.69</v>
      </c>
      <c r="F3679">
        <v>339.3</v>
      </c>
      <c r="K3679" s="3"/>
      <c r="O3679" s="3"/>
    </row>
    <row r="3680" spans="1:15">
      <c r="A3680" s="3">
        <v>40204</v>
      </c>
      <c r="B3680" s="3">
        <v>40204</v>
      </c>
      <c r="C3680">
        <v>148.04</v>
      </c>
      <c r="D3680">
        <v>1.4072</v>
      </c>
      <c r="E3680">
        <v>73.290000000000006</v>
      </c>
      <c r="F3680">
        <v>333.95</v>
      </c>
      <c r="K3680" s="3"/>
      <c r="O3680" s="3"/>
    </row>
    <row r="3681" spans="1:15">
      <c r="A3681" s="3">
        <v>40205</v>
      </c>
      <c r="B3681" s="3">
        <v>40205</v>
      </c>
      <c r="C3681">
        <v>148.13</v>
      </c>
      <c r="D3681">
        <v>1.4024000000000001</v>
      </c>
      <c r="E3681">
        <v>72.239999999999995</v>
      </c>
      <c r="F3681">
        <v>322.25</v>
      </c>
      <c r="K3681" s="3"/>
      <c r="O3681" s="3"/>
    </row>
    <row r="3682" spans="1:15">
      <c r="A3682" s="3">
        <v>40206</v>
      </c>
      <c r="B3682" s="3">
        <v>40206</v>
      </c>
      <c r="C3682">
        <v>148.19999999999999</v>
      </c>
      <c r="D3682">
        <v>1.3971</v>
      </c>
      <c r="E3682">
        <v>72.13</v>
      </c>
      <c r="F3682">
        <v>309.8</v>
      </c>
      <c r="K3682" s="3"/>
      <c r="O3682" s="3"/>
    </row>
    <row r="3683" spans="1:15">
      <c r="A3683" s="3">
        <v>40207</v>
      </c>
      <c r="B3683" s="3">
        <v>40207</v>
      </c>
      <c r="C3683">
        <v>148.03</v>
      </c>
      <c r="D3683">
        <v>1.3863000000000001</v>
      </c>
      <c r="E3683">
        <v>71.459999999999994</v>
      </c>
      <c r="F3683">
        <v>305.25</v>
      </c>
      <c r="K3683" s="3"/>
      <c r="O3683" s="3"/>
    </row>
    <row r="3684" spans="1:15">
      <c r="A3684" s="3">
        <v>40208</v>
      </c>
      <c r="B3684" s="3">
        <v>40208</v>
      </c>
      <c r="C3684">
        <v>148.03</v>
      </c>
      <c r="D3684">
        <v>1.3863000000000001</v>
      </c>
      <c r="E3684">
        <v>71.459999999999994</v>
      </c>
      <c r="F3684">
        <v>305.25</v>
      </c>
      <c r="K3684" s="3"/>
      <c r="O3684" s="3"/>
    </row>
    <row r="3685" spans="1:15">
      <c r="A3685" s="3">
        <v>40209</v>
      </c>
      <c r="B3685" s="3">
        <v>40209</v>
      </c>
      <c r="C3685">
        <v>148.03</v>
      </c>
      <c r="D3685">
        <v>1.3863000000000001</v>
      </c>
      <c r="E3685">
        <v>71.459999999999994</v>
      </c>
      <c r="F3685">
        <v>305.25</v>
      </c>
      <c r="K3685" s="3"/>
      <c r="O3685" s="3"/>
    </row>
    <row r="3686" spans="1:15">
      <c r="A3686" s="3">
        <v>40210</v>
      </c>
      <c r="B3686" s="3">
        <v>40210</v>
      </c>
      <c r="C3686">
        <v>148.02000000000001</v>
      </c>
      <c r="D3686">
        <v>1.3931</v>
      </c>
      <c r="E3686">
        <v>73.11</v>
      </c>
      <c r="F3686">
        <v>308.35000000000002</v>
      </c>
      <c r="K3686" s="3"/>
      <c r="O3686" s="3"/>
    </row>
    <row r="3687" spans="1:15">
      <c r="A3687" s="3">
        <v>40211</v>
      </c>
      <c r="B3687" s="3">
        <v>40211</v>
      </c>
      <c r="C3687">
        <v>147.93</v>
      </c>
      <c r="D3687">
        <v>1.3964000000000001</v>
      </c>
      <c r="E3687">
        <v>76.06</v>
      </c>
      <c r="F3687">
        <v>308.95</v>
      </c>
      <c r="K3687" s="3"/>
      <c r="O3687" s="3"/>
    </row>
    <row r="3688" spans="1:15">
      <c r="A3688" s="3">
        <v>40212</v>
      </c>
      <c r="B3688" s="3">
        <v>40212</v>
      </c>
      <c r="C3688">
        <v>147.88</v>
      </c>
      <c r="D3688">
        <v>1.3893</v>
      </c>
      <c r="E3688">
        <v>75.92</v>
      </c>
      <c r="F3688">
        <v>297.35000000000002</v>
      </c>
      <c r="K3688" s="3"/>
      <c r="O3688" s="3"/>
    </row>
    <row r="3689" spans="1:15">
      <c r="A3689" s="3">
        <v>40213</v>
      </c>
      <c r="B3689" s="3">
        <v>40213</v>
      </c>
      <c r="C3689">
        <v>147.83000000000001</v>
      </c>
      <c r="D3689">
        <v>1.3723000000000001</v>
      </c>
      <c r="E3689">
        <v>72.13</v>
      </c>
      <c r="F3689">
        <v>287.89999999999998</v>
      </c>
      <c r="K3689" s="3"/>
      <c r="O3689" s="3"/>
    </row>
    <row r="3690" spans="1:15">
      <c r="A3690" s="3">
        <v>40214</v>
      </c>
      <c r="B3690" s="3">
        <v>40214</v>
      </c>
      <c r="C3690">
        <v>147.91999999999999</v>
      </c>
      <c r="D3690">
        <v>1.3677999999999999</v>
      </c>
      <c r="E3690">
        <v>69.59</v>
      </c>
      <c r="F3690">
        <v>285.75</v>
      </c>
      <c r="K3690" s="3"/>
      <c r="O3690" s="3"/>
    </row>
    <row r="3691" spans="1:15">
      <c r="A3691" s="3">
        <v>40215</v>
      </c>
      <c r="B3691" s="3">
        <v>40215</v>
      </c>
      <c r="C3691">
        <v>147.91999999999999</v>
      </c>
      <c r="D3691">
        <v>1.3677999999999999</v>
      </c>
      <c r="E3691">
        <v>69.59</v>
      </c>
      <c r="F3691">
        <v>285.75</v>
      </c>
      <c r="K3691" s="3"/>
      <c r="O3691" s="3"/>
    </row>
    <row r="3692" spans="1:15">
      <c r="A3692" s="3">
        <v>40216</v>
      </c>
      <c r="B3692" s="3">
        <v>40216</v>
      </c>
      <c r="C3692">
        <v>147.91999999999999</v>
      </c>
      <c r="D3692">
        <v>1.3677999999999999</v>
      </c>
      <c r="E3692">
        <v>69.59</v>
      </c>
      <c r="F3692">
        <v>285.75</v>
      </c>
      <c r="K3692" s="3"/>
      <c r="O3692" s="3"/>
    </row>
    <row r="3693" spans="1:15">
      <c r="A3693" s="3">
        <v>40217</v>
      </c>
      <c r="B3693" s="3">
        <v>40217</v>
      </c>
      <c r="C3693">
        <v>148.07</v>
      </c>
      <c r="D3693">
        <v>1.3649</v>
      </c>
      <c r="E3693">
        <v>70.11</v>
      </c>
      <c r="F3693">
        <v>291.3</v>
      </c>
      <c r="K3693" s="3"/>
      <c r="O3693" s="3"/>
    </row>
    <row r="3694" spans="1:15">
      <c r="A3694" s="3">
        <v>40218</v>
      </c>
      <c r="B3694" s="3">
        <v>40218</v>
      </c>
      <c r="C3694">
        <v>148.16999999999999</v>
      </c>
      <c r="D3694">
        <v>1.3796999999999999</v>
      </c>
      <c r="E3694">
        <v>72.13</v>
      </c>
      <c r="F3694">
        <v>298.7</v>
      </c>
      <c r="K3694" s="3"/>
      <c r="O3694" s="3"/>
    </row>
    <row r="3695" spans="1:15">
      <c r="A3695" s="3">
        <v>40219</v>
      </c>
      <c r="B3695" s="3">
        <v>40219</v>
      </c>
      <c r="C3695">
        <v>148.21</v>
      </c>
      <c r="D3695">
        <v>1.3736999999999999</v>
      </c>
      <c r="E3695">
        <v>72.540000000000006</v>
      </c>
      <c r="F3695">
        <v>298.89999999999998</v>
      </c>
      <c r="K3695" s="3"/>
      <c r="O3695" s="3"/>
    </row>
    <row r="3696" spans="1:15">
      <c r="A3696" s="3">
        <v>40220</v>
      </c>
      <c r="B3696" s="3">
        <v>40220</v>
      </c>
      <c r="C3696">
        <v>147.88999999999999</v>
      </c>
      <c r="D3696">
        <v>1.3693</v>
      </c>
      <c r="E3696">
        <v>73.05</v>
      </c>
      <c r="F3696">
        <v>313.35000000000002</v>
      </c>
      <c r="K3696" s="3"/>
      <c r="O3696" s="3"/>
    </row>
    <row r="3697" spans="1:15">
      <c r="A3697" s="3">
        <v>40221</v>
      </c>
      <c r="B3697" s="3">
        <v>40221</v>
      </c>
      <c r="C3697">
        <v>147.97</v>
      </c>
      <c r="D3697">
        <v>1.3632</v>
      </c>
      <c r="E3697">
        <v>72.900000000000006</v>
      </c>
      <c r="F3697">
        <v>308.25</v>
      </c>
      <c r="K3697" s="3"/>
      <c r="O3697" s="3"/>
    </row>
    <row r="3698" spans="1:15">
      <c r="A3698" s="3">
        <v>40222</v>
      </c>
      <c r="B3698" s="3">
        <v>40222</v>
      </c>
      <c r="C3698">
        <v>147.97</v>
      </c>
      <c r="D3698">
        <v>1.3632</v>
      </c>
      <c r="E3698">
        <v>72.900000000000006</v>
      </c>
      <c r="F3698">
        <v>308.25</v>
      </c>
      <c r="K3698" s="3"/>
      <c r="O3698" s="3"/>
    </row>
    <row r="3699" spans="1:15">
      <c r="A3699" s="3">
        <v>40223</v>
      </c>
      <c r="B3699" s="3">
        <v>40223</v>
      </c>
      <c r="C3699">
        <v>147.97</v>
      </c>
      <c r="D3699">
        <v>1.3632</v>
      </c>
      <c r="E3699">
        <v>72.900000000000006</v>
      </c>
      <c r="F3699">
        <v>308.25</v>
      </c>
      <c r="K3699" s="3"/>
      <c r="O3699" s="3"/>
    </row>
    <row r="3700" spans="1:15">
      <c r="A3700" s="3">
        <v>40224</v>
      </c>
      <c r="B3700" s="3">
        <v>40224</v>
      </c>
      <c r="C3700">
        <v>148.1</v>
      </c>
      <c r="D3700">
        <v>1.3597999999999999</v>
      </c>
      <c r="E3700">
        <v>72.510000000000005</v>
      </c>
      <c r="F3700">
        <v>308.25</v>
      </c>
      <c r="K3700" s="3"/>
      <c r="O3700" s="3"/>
    </row>
    <row r="3701" spans="1:15">
      <c r="A3701" s="3">
        <v>40225</v>
      </c>
      <c r="B3701" s="3">
        <v>40225</v>
      </c>
      <c r="C3701">
        <v>148.13</v>
      </c>
      <c r="D3701">
        <v>1.377</v>
      </c>
      <c r="E3701">
        <v>75.680000000000007</v>
      </c>
      <c r="F3701">
        <v>322.14999999999998</v>
      </c>
      <c r="K3701" s="3"/>
      <c r="O3701" s="3"/>
    </row>
    <row r="3702" spans="1:15">
      <c r="A3702" s="3">
        <v>40226</v>
      </c>
      <c r="B3702" s="3">
        <v>40226</v>
      </c>
      <c r="C3702">
        <v>147.83000000000001</v>
      </c>
      <c r="D3702">
        <v>1.3607</v>
      </c>
      <c r="E3702">
        <v>76.27</v>
      </c>
      <c r="F3702">
        <v>323.95</v>
      </c>
      <c r="K3702" s="3"/>
      <c r="O3702" s="3"/>
    </row>
    <row r="3703" spans="1:15">
      <c r="A3703" s="3">
        <v>40227</v>
      </c>
      <c r="B3703" s="3">
        <v>40227</v>
      </c>
      <c r="C3703">
        <v>147.75</v>
      </c>
      <c r="D3703">
        <v>1.3527</v>
      </c>
      <c r="E3703">
        <v>77.78</v>
      </c>
      <c r="F3703">
        <v>328.55</v>
      </c>
      <c r="K3703" s="3"/>
      <c r="O3703" s="3"/>
    </row>
    <row r="3704" spans="1:15">
      <c r="A3704" s="3">
        <v>40228</v>
      </c>
      <c r="B3704" s="3">
        <v>40228</v>
      </c>
      <c r="C3704">
        <v>147.78</v>
      </c>
      <c r="D3704">
        <v>1.3613</v>
      </c>
      <c r="E3704">
        <v>78.19</v>
      </c>
      <c r="F3704">
        <v>335.7</v>
      </c>
      <c r="K3704" s="3"/>
      <c r="O3704" s="3"/>
    </row>
    <row r="3705" spans="1:15">
      <c r="A3705" s="3">
        <v>40229</v>
      </c>
      <c r="B3705" s="3">
        <v>40229</v>
      </c>
      <c r="C3705">
        <v>147.78</v>
      </c>
      <c r="D3705">
        <v>1.3613</v>
      </c>
      <c r="E3705">
        <v>78.19</v>
      </c>
      <c r="F3705">
        <v>335.7</v>
      </c>
      <c r="K3705" s="3"/>
      <c r="O3705" s="3"/>
    </row>
    <row r="3706" spans="1:15">
      <c r="A3706" s="3">
        <v>40230</v>
      </c>
      <c r="B3706" s="3">
        <v>40230</v>
      </c>
      <c r="C3706">
        <v>147.78</v>
      </c>
      <c r="D3706">
        <v>1.3613</v>
      </c>
      <c r="E3706">
        <v>78.19</v>
      </c>
      <c r="F3706">
        <v>335.7</v>
      </c>
      <c r="K3706" s="3"/>
      <c r="O3706" s="3"/>
    </row>
    <row r="3707" spans="1:15">
      <c r="A3707" s="3">
        <v>40231</v>
      </c>
      <c r="B3707" s="3">
        <v>40231</v>
      </c>
      <c r="C3707">
        <v>147.62</v>
      </c>
      <c r="D3707">
        <v>1.3595999999999999</v>
      </c>
      <c r="E3707">
        <v>78.61</v>
      </c>
      <c r="F3707">
        <v>330.65</v>
      </c>
      <c r="K3707" s="3"/>
      <c r="O3707" s="3"/>
    </row>
    <row r="3708" spans="1:15">
      <c r="A3708" s="3">
        <v>40232</v>
      </c>
      <c r="B3708" s="3">
        <v>40232</v>
      </c>
      <c r="C3708">
        <v>147.62</v>
      </c>
      <c r="D3708">
        <v>1.3507</v>
      </c>
      <c r="E3708">
        <v>77.25</v>
      </c>
      <c r="F3708">
        <v>321.60000000000002</v>
      </c>
      <c r="K3708" s="3"/>
      <c r="O3708" s="3"/>
    </row>
    <row r="3709" spans="1:15">
      <c r="A3709" s="3">
        <v>40233</v>
      </c>
      <c r="B3709" s="3">
        <v>40233</v>
      </c>
      <c r="C3709">
        <v>147.29</v>
      </c>
      <c r="D3709">
        <v>1.3537999999999999</v>
      </c>
      <c r="E3709">
        <v>78.09</v>
      </c>
      <c r="F3709">
        <v>323.60000000000002</v>
      </c>
      <c r="K3709" s="3"/>
      <c r="O3709" s="3"/>
    </row>
    <row r="3710" spans="1:15">
      <c r="A3710" s="3">
        <v>40234</v>
      </c>
      <c r="B3710" s="3">
        <v>40234</v>
      </c>
      <c r="C3710">
        <v>147.41</v>
      </c>
      <c r="D3710">
        <v>1.3548</v>
      </c>
      <c r="E3710">
        <v>76.290000000000006</v>
      </c>
      <c r="F3710">
        <v>319.25</v>
      </c>
      <c r="K3710" s="3"/>
      <c r="O3710" s="3"/>
    </row>
    <row r="3711" spans="1:15">
      <c r="A3711" s="3">
        <v>40235</v>
      </c>
      <c r="B3711" s="3">
        <v>40235</v>
      </c>
      <c r="C3711">
        <v>147.33000000000001</v>
      </c>
      <c r="D3711">
        <v>1.3631</v>
      </c>
      <c r="E3711">
        <v>77.59</v>
      </c>
      <c r="F3711">
        <v>326.85000000000002</v>
      </c>
      <c r="K3711" s="3"/>
      <c r="O3711" s="3"/>
    </row>
    <row r="3712" spans="1:15">
      <c r="A3712" s="3">
        <v>40236</v>
      </c>
      <c r="B3712" s="3">
        <v>40236</v>
      </c>
      <c r="C3712">
        <v>147.33000000000001</v>
      </c>
      <c r="D3712">
        <v>1.3631</v>
      </c>
      <c r="E3712">
        <v>77.59</v>
      </c>
      <c r="F3712">
        <v>326.85000000000002</v>
      </c>
      <c r="K3712" s="3"/>
      <c r="O3712" s="3"/>
    </row>
    <row r="3713" spans="1:15">
      <c r="A3713" s="3">
        <v>40237</v>
      </c>
      <c r="B3713" s="3">
        <v>40237</v>
      </c>
      <c r="C3713">
        <v>147.33000000000001</v>
      </c>
      <c r="D3713">
        <v>1.3631</v>
      </c>
      <c r="E3713">
        <v>77.59</v>
      </c>
      <c r="F3713">
        <v>326.85000000000002</v>
      </c>
      <c r="K3713" s="3"/>
      <c r="O3713" s="3"/>
    </row>
    <row r="3714" spans="1:15">
      <c r="A3714" s="3">
        <v>40238</v>
      </c>
      <c r="B3714" s="3">
        <v>40238</v>
      </c>
      <c r="C3714">
        <v>147.25</v>
      </c>
      <c r="D3714">
        <v>1.3560000000000001</v>
      </c>
      <c r="E3714">
        <v>76.89</v>
      </c>
      <c r="F3714">
        <v>333.3</v>
      </c>
      <c r="K3714" s="3"/>
      <c r="O3714" s="3"/>
    </row>
    <row r="3715" spans="1:15">
      <c r="A3715" s="3">
        <v>40239</v>
      </c>
      <c r="B3715" s="3">
        <v>40239</v>
      </c>
      <c r="C3715">
        <v>147.44999999999999</v>
      </c>
      <c r="D3715">
        <v>1.3614999999999999</v>
      </c>
      <c r="E3715">
        <v>78.180000000000007</v>
      </c>
      <c r="F3715">
        <v>339.55</v>
      </c>
      <c r="K3715" s="3"/>
      <c r="O3715" s="3"/>
    </row>
    <row r="3716" spans="1:15">
      <c r="A3716" s="3">
        <v>40240</v>
      </c>
      <c r="B3716" s="3">
        <v>40240</v>
      </c>
      <c r="C3716">
        <v>147.38</v>
      </c>
      <c r="D3716">
        <v>1.3696999999999999</v>
      </c>
      <c r="E3716">
        <v>79.25</v>
      </c>
      <c r="F3716">
        <v>341.9</v>
      </c>
      <c r="K3716" s="3"/>
      <c r="O3716" s="3"/>
    </row>
    <row r="3717" spans="1:15">
      <c r="A3717" s="3">
        <v>40241</v>
      </c>
      <c r="B3717" s="3">
        <v>40241</v>
      </c>
      <c r="C3717">
        <v>147.28</v>
      </c>
      <c r="D3717">
        <v>1.3581000000000001</v>
      </c>
      <c r="E3717">
        <v>78.540000000000006</v>
      </c>
      <c r="F3717">
        <v>336.05</v>
      </c>
      <c r="K3717" s="3"/>
      <c r="O3717" s="3"/>
    </row>
    <row r="3718" spans="1:15">
      <c r="A3718" s="3">
        <v>40242</v>
      </c>
      <c r="B3718" s="3">
        <v>40242</v>
      </c>
      <c r="C3718">
        <v>147.28</v>
      </c>
      <c r="D3718">
        <v>1.3626</v>
      </c>
      <c r="E3718">
        <v>79.89</v>
      </c>
      <c r="F3718">
        <v>340.25</v>
      </c>
      <c r="K3718" s="3"/>
      <c r="O3718" s="3"/>
    </row>
    <row r="3719" spans="1:15">
      <c r="A3719" s="3">
        <v>40243</v>
      </c>
      <c r="B3719" s="3">
        <v>40243</v>
      </c>
      <c r="C3719">
        <v>147.28</v>
      </c>
      <c r="D3719">
        <v>1.3626</v>
      </c>
      <c r="E3719">
        <v>79.89</v>
      </c>
      <c r="F3719">
        <v>340.25</v>
      </c>
      <c r="K3719" s="3"/>
      <c r="O3719" s="3"/>
    </row>
    <row r="3720" spans="1:15">
      <c r="A3720" s="3">
        <v>40244</v>
      </c>
      <c r="B3720" s="3">
        <v>40244</v>
      </c>
      <c r="C3720">
        <v>147.28</v>
      </c>
      <c r="D3720">
        <v>1.3626</v>
      </c>
      <c r="E3720">
        <v>79.89</v>
      </c>
      <c r="F3720">
        <v>340.25</v>
      </c>
      <c r="K3720" s="3"/>
      <c r="O3720" s="3"/>
    </row>
    <row r="3721" spans="1:15">
      <c r="A3721" s="3">
        <v>40245</v>
      </c>
      <c r="B3721" s="3">
        <v>40245</v>
      </c>
      <c r="C3721">
        <v>147.28</v>
      </c>
      <c r="D3721">
        <v>1.3633999999999999</v>
      </c>
      <c r="E3721">
        <v>80.47</v>
      </c>
      <c r="F3721">
        <v>339.65</v>
      </c>
      <c r="K3721" s="3"/>
      <c r="O3721" s="3"/>
    </row>
    <row r="3722" spans="1:15">
      <c r="A3722" s="3">
        <v>40246</v>
      </c>
      <c r="B3722" s="3">
        <v>40246</v>
      </c>
      <c r="C3722">
        <v>147.28</v>
      </c>
      <c r="D3722">
        <v>1.3602000000000001</v>
      </c>
      <c r="E3722">
        <v>79.91</v>
      </c>
      <c r="F3722">
        <v>339.8</v>
      </c>
      <c r="K3722" s="3"/>
      <c r="O3722" s="3"/>
    </row>
    <row r="3723" spans="1:15">
      <c r="A3723" s="3">
        <v>40247</v>
      </c>
      <c r="B3723" s="3">
        <v>40247</v>
      </c>
      <c r="C3723">
        <v>147.28</v>
      </c>
      <c r="D3723">
        <v>1.3656999999999999</v>
      </c>
      <c r="E3723">
        <v>80.48</v>
      </c>
      <c r="F3723">
        <v>335.5</v>
      </c>
      <c r="K3723" s="3"/>
      <c r="O3723" s="3"/>
    </row>
    <row r="3724" spans="1:15">
      <c r="A3724" s="3">
        <v>40248</v>
      </c>
      <c r="B3724" s="3">
        <v>40248</v>
      </c>
      <c r="C3724">
        <v>147.11000000000001</v>
      </c>
      <c r="D3724">
        <v>1.3681000000000001</v>
      </c>
      <c r="E3724">
        <v>80.28</v>
      </c>
      <c r="F3724">
        <v>336.6</v>
      </c>
      <c r="K3724" s="3"/>
      <c r="O3724" s="3"/>
    </row>
    <row r="3725" spans="1:15">
      <c r="A3725" s="3">
        <v>40249</v>
      </c>
      <c r="B3725" s="3">
        <v>40249</v>
      </c>
      <c r="C3725">
        <v>147.09</v>
      </c>
      <c r="D3725">
        <v>1.3769</v>
      </c>
      <c r="E3725">
        <v>79.39</v>
      </c>
      <c r="F3725">
        <v>336.95</v>
      </c>
      <c r="K3725" s="3"/>
      <c r="O3725" s="3"/>
    </row>
    <row r="3726" spans="1:15">
      <c r="A3726" s="3">
        <v>40250</v>
      </c>
      <c r="B3726" s="3">
        <v>40250</v>
      </c>
      <c r="C3726">
        <v>147.09</v>
      </c>
      <c r="D3726">
        <v>1.3769</v>
      </c>
      <c r="E3726">
        <v>79.39</v>
      </c>
      <c r="F3726">
        <v>336.95</v>
      </c>
      <c r="K3726" s="3"/>
      <c r="O3726" s="3"/>
    </row>
    <row r="3727" spans="1:15">
      <c r="A3727" s="3">
        <v>40251</v>
      </c>
      <c r="B3727" s="3">
        <v>40251</v>
      </c>
      <c r="C3727">
        <v>147.09</v>
      </c>
      <c r="D3727">
        <v>1.3769</v>
      </c>
      <c r="E3727">
        <v>79.39</v>
      </c>
      <c r="F3727">
        <v>336.95</v>
      </c>
      <c r="K3727" s="3"/>
      <c r="O3727" s="3"/>
    </row>
    <row r="3728" spans="1:15">
      <c r="A3728" s="3">
        <v>40252</v>
      </c>
      <c r="B3728" s="3">
        <v>40252</v>
      </c>
      <c r="C3728">
        <v>147.08000000000001</v>
      </c>
      <c r="D3728">
        <v>1.3676999999999999</v>
      </c>
      <c r="E3728">
        <v>77.89</v>
      </c>
      <c r="F3728">
        <v>330.7</v>
      </c>
      <c r="K3728" s="3"/>
      <c r="O3728" s="3"/>
    </row>
    <row r="3729" spans="1:15">
      <c r="A3729" s="3">
        <v>40253</v>
      </c>
      <c r="B3729" s="3">
        <v>40253</v>
      </c>
      <c r="C3729">
        <v>147.07</v>
      </c>
      <c r="D3729">
        <v>1.3766</v>
      </c>
      <c r="E3729">
        <v>79.02</v>
      </c>
      <c r="F3729">
        <v>335.7</v>
      </c>
      <c r="K3729" s="3"/>
      <c r="O3729" s="3"/>
    </row>
    <row r="3730" spans="1:15">
      <c r="A3730" s="3">
        <v>40254</v>
      </c>
      <c r="B3730" s="3">
        <v>40254</v>
      </c>
      <c r="C3730">
        <v>147</v>
      </c>
      <c r="D3730">
        <v>1.3737999999999999</v>
      </c>
      <c r="E3730">
        <v>81.96</v>
      </c>
      <c r="F3730">
        <v>341</v>
      </c>
      <c r="K3730" s="3"/>
      <c r="O3730" s="3"/>
    </row>
    <row r="3731" spans="1:15">
      <c r="A3731" s="3">
        <v>40255</v>
      </c>
      <c r="B3731" s="3">
        <v>40255</v>
      </c>
      <c r="C3731">
        <v>147.05000000000001</v>
      </c>
      <c r="D3731">
        <v>1.3608</v>
      </c>
      <c r="E3731">
        <v>81.48</v>
      </c>
      <c r="F3731">
        <v>338.75</v>
      </c>
      <c r="K3731" s="3"/>
      <c r="O3731" s="3"/>
    </row>
    <row r="3732" spans="1:15">
      <c r="A3732" s="3">
        <v>40256</v>
      </c>
      <c r="B3732" s="3">
        <v>40256</v>
      </c>
      <c r="C3732">
        <v>146.97999999999999</v>
      </c>
      <c r="D3732">
        <v>1.353</v>
      </c>
      <c r="E3732">
        <v>79.88</v>
      </c>
      <c r="F3732">
        <v>336.45</v>
      </c>
      <c r="K3732" s="3"/>
      <c r="O3732" s="3"/>
    </row>
    <row r="3733" spans="1:15">
      <c r="A3733" s="3">
        <v>40257</v>
      </c>
      <c r="B3733" s="3">
        <v>40257</v>
      </c>
      <c r="C3733">
        <v>146.97999999999999</v>
      </c>
      <c r="D3733">
        <v>1.353</v>
      </c>
      <c r="E3733">
        <v>79.88</v>
      </c>
      <c r="F3733">
        <v>336.45</v>
      </c>
      <c r="K3733" s="3"/>
      <c r="O3733" s="3"/>
    </row>
    <row r="3734" spans="1:15">
      <c r="A3734" s="3">
        <v>40258</v>
      </c>
      <c r="B3734" s="3">
        <v>40258</v>
      </c>
      <c r="C3734">
        <v>146.97999999999999</v>
      </c>
      <c r="D3734">
        <v>1.353</v>
      </c>
      <c r="E3734">
        <v>79.88</v>
      </c>
      <c r="F3734">
        <v>336.45</v>
      </c>
      <c r="K3734" s="3"/>
      <c r="O3734" s="3"/>
    </row>
    <row r="3735" spans="1:15">
      <c r="A3735" s="3">
        <v>40259</v>
      </c>
      <c r="B3735" s="3">
        <v>40259</v>
      </c>
      <c r="C3735">
        <v>146.97999999999999</v>
      </c>
      <c r="D3735">
        <v>1.3557999999999999</v>
      </c>
      <c r="E3735">
        <v>80.540000000000006</v>
      </c>
      <c r="F3735">
        <v>337.25</v>
      </c>
      <c r="K3735" s="3"/>
      <c r="O3735" s="3"/>
    </row>
    <row r="3736" spans="1:15">
      <c r="A3736" s="3">
        <v>40260</v>
      </c>
      <c r="B3736" s="3">
        <v>40260</v>
      </c>
      <c r="C3736">
        <v>146.97999999999999</v>
      </c>
      <c r="D3736">
        <v>1.3499000000000001</v>
      </c>
      <c r="E3736">
        <v>80.7</v>
      </c>
      <c r="F3736">
        <v>336.95</v>
      </c>
      <c r="K3736" s="3"/>
      <c r="O3736" s="3"/>
    </row>
    <row r="3737" spans="1:15">
      <c r="A3737" s="3">
        <v>40261</v>
      </c>
      <c r="B3737" s="3">
        <v>40261</v>
      </c>
      <c r="C3737">
        <v>146.97999999999999</v>
      </c>
      <c r="D3737">
        <v>1.3314999999999999</v>
      </c>
      <c r="E3737">
        <v>79.62</v>
      </c>
      <c r="F3737">
        <v>333.65</v>
      </c>
      <c r="K3737" s="3"/>
      <c r="O3737" s="3"/>
    </row>
    <row r="3738" spans="1:15">
      <c r="A3738" s="3">
        <v>40262</v>
      </c>
      <c r="B3738" s="3">
        <v>40262</v>
      </c>
      <c r="C3738">
        <v>146.94999999999999</v>
      </c>
      <c r="D3738">
        <v>1.3272999999999999</v>
      </c>
      <c r="E3738">
        <v>79.61</v>
      </c>
      <c r="F3738">
        <v>337.1</v>
      </c>
      <c r="K3738" s="3"/>
      <c r="O3738" s="3"/>
    </row>
    <row r="3739" spans="1:15">
      <c r="A3739" s="3">
        <v>40263</v>
      </c>
      <c r="B3739" s="3">
        <v>40263</v>
      </c>
      <c r="C3739">
        <v>146.96</v>
      </c>
      <c r="D3739">
        <v>1.341</v>
      </c>
      <c r="E3739">
        <v>79.290000000000006</v>
      </c>
      <c r="F3739">
        <v>339.3</v>
      </c>
      <c r="K3739" s="3"/>
      <c r="O3739" s="3"/>
    </row>
    <row r="3740" spans="1:15">
      <c r="A3740" s="3">
        <v>40264</v>
      </c>
      <c r="B3740" s="3">
        <v>40264</v>
      </c>
      <c r="C3740">
        <v>146.96</v>
      </c>
      <c r="D3740">
        <v>1.341</v>
      </c>
      <c r="E3740">
        <v>79.290000000000006</v>
      </c>
      <c r="F3740">
        <v>339.3</v>
      </c>
      <c r="K3740" s="3"/>
      <c r="O3740" s="3"/>
    </row>
    <row r="3741" spans="1:15">
      <c r="A3741" s="3">
        <v>40265</v>
      </c>
      <c r="B3741" s="3">
        <v>40265</v>
      </c>
      <c r="C3741">
        <v>146.96</v>
      </c>
      <c r="D3741">
        <v>1.341</v>
      </c>
      <c r="E3741">
        <v>79.290000000000006</v>
      </c>
      <c r="F3741">
        <v>339.3</v>
      </c>
      <c r="K3741" s="3"/>
      <c r="O3741" s="3"/>
    </row>
    <row r="3742" spans="1:15">
      <c r="A3742" s="3">
        <v>40266</v>
      </c>
      <c r="B3742" s="3">
        <v>40266</v>
      </c>
      <c r="C3742">
        <v>147.01</v>
      </c>
      <c r="D3742">
        <v>1.3483000000000001</v>
      </c>
      <c r="E3742">
        <v>81.17</v>
      </c>
      <c r="F3742">
        <v>352.95</v>
      </c>
      <c r="K3742" s="3"/>
      <c r="O3742" s="3"/>
    </row>
    <row r="3743" spans="1:15">
      <c r="A3743" s="3">
        <v>40267</v>
      </c>
      <c r="B3743" s="3">
        <v>40267</v>
      </c>
      <c r="C3743">
        <v>146.97999999999999</v>
      </c>
      <c r="D3743">
        <v>1.3413999999999999</v>
      </c>
      <c r="E3743">
        <v>81.28</v>
      </c>
      <c r="F3743">
        <v>356.35</v>
      </c>
      <c r="K3743" s="3"/>
      <c r="O3743" s="3"/>
    </row>
    <row r="3744" spans="1:15">
      <c r="A3744" s="3">
        <v>40268</v>
      </c>
      <c r="B3744" s="3">
        <v>40268</v>
      </c>
      <c r="C3744">
        <v>147.03</v>
      </c>
      <c r="D3744">
        <v>1.351</v>
      </c>
      <c r="E3744">
        <v>82.7</v>
      </c>
      <c r="F3744">
        <v>355.35</v>
      </c>
      <c r="K3744" s="3"/>
      <c r="O3744" s="3"/>
    </row>
    <row r="3745" spans="1:15">
      <c r="A3745" s="3">
        <v>40269</v>
      </c>
      <c r="B3745" s="3">
        <v>40269</v>
      </c>
      <c r="C3745">
        <v>147.12</v>
      </c>
      <c r="D3745">
        <v>1.3589</v>
      </c>
      <c r="E3745">
        <v>84.01</v>
      </c>
      <c r="F3745">
        <v>358.4</v>
      </c>
      <c r="K3745" s="3"/>
      <c r="O3745" s="3"/>
    </row>
    <row r="3746" spans="1:15">
      <c r="A3746" s="3">
        <v>40270</v>
      </c>
      <c r="B3746" s="3">
        <v>40270</v>
      </c>
      <c r="C3746">
        <v>146.97</v>
      </c>
      <c r="D3746">
        <v>1.3504</v>
      </c>
      <c r="E3746">
        <v>84.01</v>
      </c>
      <c r="F3746">
        <v>358.4</v>
      </c>
      <c r="K3746" s="3"/>
      <c r="O3746" s="3"/>
    </row>
    <row r="3747" spans="1:15">
      <c r="A3747" s="3">
        <v>40271</v>
      </c>
      <c r="B3747" s="3">
        <v>40271</v>
      </c>
      <c r="C3747">
        <v>146.97</v>
      </c>
      <c r="D3747">
        <v>1.3504</v>
      </c>
      <c r="E3747">
        <v>84.01</v>
      </c>
      <c r="F3747">
        <v>358.4</v>
      </c>
      <c r="K3747" s="3"/>
      <c r="O3747" s="3"/>
    </row>
    <row r="3748" spans="1:15">
      <c r="A3748" s="3">
        <v>40272</v>
      </c>
      <c r="B3748" s="3">
        <v>40272</v>
      </c>
      <c r="C3748">
        <v>146.97</v>
      </c>
      <c r="D3748">
        <v>1.3504</v>
      </c>
      <c r="E3748">
        <v>84.01</v>
      </c>
      <c r="F3748">
        <v>358.4</v>
      </c>
      <c r="K3748" s="3"/>
      <c r="O3748" s="3"/>
    </row>
    <row r="3749" spans="1:15">
      <c r="A3749" s="3">
        <v>40273</v>
      </c>
      <c r="B3749" s="3">
        <v>40273</v>
      </c>
      <c r="C3749">
        <v>146.86000000000001</v>
      </c>
      <c r="D3749">
        <v>1.3484</v>
      </c>
      <c r="E3749">
        <v>85.88</v>
      </c>
      <c r="F3749">
        <v>363.15</v>
      </c>
      <c r="K3749" s="3"/>
      <c r="O3749" s="3"/>
    </row>
    <row r="3750" spans="1:15">
      <c r="A3750" s="3">
        <v>40274</v>
      </c>
      <c r="B3750" s="3">
        <v>40274</v>
      </c>
      <c r="C3750">
        <v>146.97999999999999</v>
      </c>
      <c r="D3750">
        <v>1.3399000000000001</v>
      </c>
      <c r="E3750">
        <v>86.15</v>
      </c>
      <c r="F3750">
        <v>361.7</v>
      </c>
      <c r="K3750" s="3"/>
      <c r="O3750" s="3"/>
    </row>
    <row r="3751" spans="1:15">
      <c r="A3751" s="3">
        <v>40275</v>
      </c>
      <c r="B3751" s="3">
        <v>40275</v>
      </c>
      <c r="C3751">
        <v>146.9</v>
      </c>
      <c r="D3751">
        <v>1.3344</v>
      </c>
      <c r="E3751">
        <v>85.59</v>
      </c>
      <c r="F3751">
        <v>359.75</v>
      </c>
      <c r="K3751" s="3"/>
      <c r="O3751" s="3"/>
    </row>
    <row r="3752" spans="1:15">
      <c r="A3752" s="3">
        <v>40276</v>
      </c>
      <c r="B3752" s="3">
        <v>40276</v>
      </c>
      <c r="C3752">
        <v>146.81</v>
      </c>
      <c r="D3752">
        <v>1.3361000000000001</v>
      </c>
      <c r="E3752">
        <v>84.81</v>
      </c>
      <c r="F3752">
        <v>358.65</v>
      </c>
      <c r="K3752" s="3"/>
      <c r="O3752" s="3"/>
    </row>
    <row r="3753" spans="1:15">
      <c r="A3753" s="3">
        <v>40277</v>
      </c>
      <c r="B3753" s="3">
        <v>40277</v>
      </c>
      <c r="C3753">
        <v>146.78</v>
      </c>
      <c r="D3753">
        <v>1.35</v>
      </c>
      <c r="E3753">
        <v>84.83</v>
      </c>
      <c r="F3753">
        <v>359</v>
      </c>
      <c r="K3753" s="3"/>
      <c r="O3753" s="3"/>
    </row>
    <row r="3754" spans="1:15">
      <c r="A3754" s="3">
        <v>40278</v>
      </c>
      <c r="B3754" s="3">
        <v>40278</v>
      </c>
      <c r="C3754">
        <v>146.78</v>
      </c>
      <c r="D3754">
        <v>1.35</v>
      </c>
      <c r="E3754">
        <v>84.83</v>
      </c>
      <c r="F3754">
        <v>359</v>
      </c>
      <c r="K3754" s="3"/>
      <c r="O3754" s="3"/>
    </row>
    <row r="3755" spans="1:15">
      <c r="A3755" s="3">
        <v>40279</v>
      </c>
      <c r="B3755" s="3">
        <v>40279</v>
      </c>
      <c r="C3755">
        <v>146.78</v>
      </c>
      <c r="D3755">
        <v>1.35</v>
      </c>
      <c r="E3755">
        <v>84.83</v>
      </c>
      <c r="F3755">
        <v>359</v>
      </c>
      <c r="K3755" s="3"/>
      <c r="O3755" s="3"/>
    </row>
    <row r="3756" spans="1:15">
      <c r="A3756" s="3">
        <v>40280</v>
      </c>
      <c r="B3756" s="3">
        <v>40280</v>
      </c>
      <c r="C3756">
        <v>146.72999999999999</v>
      </c>
      <c r="D3756">
        <v>1.3592</v>
      </c>
      <c r="E3756">
        <v>84.77</v>
      </c>
      <c r="F3756">
        <v>356.45</v>
      </c>
      <c r="K3756" s="3"/>
      <c r="O3756" s="3"/>
    </row>
    <row r="3757" spans="1:15">
      <c r="A3757" s="3">
        <v>40281</v>
      </c>
      <c r="B3757" s="3">
        <v>40281</v>
      </c>
      <c r="C3757">
        <v>146.69999999999999</v>
      </c>
      <c r="D3757">
        <v>1.3613999999999999</v>
      </c>
      <c r="E3757">
        <v>84.72</v>
      </c>
      <c r="F3757">
        <v>360.05</v>
      </c>
      <c r="K3757" s="3"/>
      <c r="O3757" s="3"/>
    </row>
    <row r="3758" spans="1:15">
      <c r="A3758" s="3">
        <v>40282</v>
      </c>
      <c r="B3758" s="3">
        <v>40282</v>
      </c>
      <c r="C3758">
        <v>146.65</v>
      </c>
      <c r="D3758">
        <v>1.3653</v>
      </c>
      <c r="E3758">
        <v>86.15</v>
      </c>
      <c r="F3758">
        <v>361.05</v>
      </c>
      <c r="K3758" s="3"/>
      <c r="O3758" s="3"/>
    </row>
    <row r="3759" spans="1:15">
      <c r="A3759" s="3">
        <v>40283</v>
      </c>
      <c r="B3759" s="3">
        <v>40283</v>
      </c>
      <c r="C3759">
        <v>146.58000000000001</v>
      </c>
      <c r="D3759">
        <v>1.3573</v>
      </c>
      <c r="E3759">
        <v>87.17</v>
      </c>
      <c r="F3759">
        <v>360.05</v>
      </c>
      <c r="K3759" s="3"/>
      <c r="O3759" s="3"/>
    </row>
    <row r="3760" spans="1:15">
      <c r="A3760" s="3">
        <v>40284</v>
      </c>
      <c r="B3760" s="3">
        <v>40284</v>
      </c>
      <c r="C3760">
        <v>146.5</v>
      </c>
      <c r="D3760">
        <v>1.3503000000000001</v>
      </c>
      <c r="E3760">
        <v>85.99</v>
      </c>
      <c r="F3760">
        <v>351.45</v>
      </c>
      <c r="K3760" s="3"/>
      <c r="O3760" s="3"/>
    </row>
    <row r="3761" spans="1:15">
      <c r="A3761" s="3">
        <v>40285</v>
      </c>
      <c r="B3761" s="3">
        <v>40285</v>
      </c>
      <c r="C3761">
        <v>146.5</v>
      </c>
      <c r="D3761">
        <v>1.3503000000000001</v>
      </c>
      <c r="E3761">
        <v>85.99</v>
      </c>
      <c r="F3761">
        <v>351.45</v>
      </c>
      <c r="K3761" s="3"/>
      <c r="O3761" s="3"/>
    </row>
    <row r="3762" spans="1:15">
      <c r="A3762" s="3">
        <v>40286</v>
      </c>
      <c r="B3762" s="3">
        <v>40286</v>
      </c>
      <c r="C3762">
        <v>146.5</v>
      </c>
      <c r="D3762">
        <v>1.3503000000000001</v>
      </c>
      <c r="E3762">
        <v>85.99</v>
      </c>
      <c r="F3762">
        <v>351.45</v>
      </c>
      <c r="K3762" s="3"/>
      <c r="O3762" s="3"/>
    </row>
    <row r="3763" spans="1:15">
      <c r="A3763" s="3">
        <v>40287</v>
      </c>
      <c r="B3763" s="3">
        <v>40287</v>
      </c>
      <c r="C3763">
        <v>146.66999999999999</v>
      </c>
      <c r="D3763">
        <v>1.3489</v>
      </c>
      <c r="E3763">
        <v>84.23</v>
      </c>
      <c r="F3763">
        <v>349.7</v>
      </c>
      <c r="K3763" s="3"/>
      <c r="O3763" s="3"/>
    </row>
    <row r="3764" spans="1:15">
      <c r="A3764" s="3">
        <v>40288</v>
      </c>
      <c r="B3764" s="3">
        <v>40288</v>
      </c>
      <c r="C3764">
        <v>146.56</v>
      </c>
      <c r="D3764">
        <v>1.3434999999999999</v>
      </c>
      <c r="E3764">
        <v>84.8</v>
      </c>
      <c r="F3764">
        <v>351.35</v>
      </c>
      <c r="K3764" s="3"/>
      <c r="O3764" s="3"/>
    </row>
    <row r="3765" spans="1:15">
      <c r="A3765" s="3">
        <v>40289</v>
      </c>
      <c r="B3765" s="3">
        <v>40289</v>
      </c>
      <c r="C3765">
        <v>146.63999999999999</v>
      </c>
      <c r="D3765">
        <v>1.339</v>
      </c>
      <c r="E3765">
        <v>85.7</v>
      </c>
      <c r="F3765">
        <v>353.5</v>
      </c>
      <c r="K3765" s="3"/>
      <c r="O3765" s="3"/>
    </row>
    <row r="3766" spans="1:15">
      <c r="A3766" s="3">
        <v>40290</v>
      </c>
      <c r="B3766" s="3">
        <v>40290</v>
      </c>
      <c r="C3766">
        <v>146.6</v>
      </c>
      <c r="D3766">
        <v>1.3294999999999999</v>
      </c>
      <c r="E3766">
        <v>85.67</v>
      </c>
      <c r="F3766">
        <v>348.65</v>
      </c>
      <c r="K3766" s="3"/>
      <c r="O3766" s="3"/>
    </row>
    <row r="3767" spans="1:15">
      <c r="A3767" s="3">
        <v>40291</v>
      </c>
      <c r="B3767" s="3">
        <v>40291</v>
      </c>
      <c r="C3767">
        <v>146.44999999999999</v>
      </c>
      <c r="D3767">
        <v>1.3384</v>
      </c>
      <c r="E3767">
        <v>87.25</v>
      </c>
      <c r="F3767">
        <v>351.3</v>
      </c>
      <c r="K3767" s="3"/>
      <c r="O3767" s="3"/>
    </row>
    <row r="3768" spans="1:15">
      <c r="A3768" s="3">
        <v>40292</v>
      </c>
      <c r="B3768" s="3">
        <v>40292</v>
      </c>
      <c r="C3768">
        <v>146.44999999999999</v>
      </c>
      <c r="D3768">
        <v>1.3384</v>
      </c>
      <c r="E3768">
        <v>87.25</v>
      </c>
      <c r="F3768">
        <v>351.3</v>
      </c>
      <c r="K3768" s="3"/>
      <c r="O3768" s="3"/>
    </row>
    <row r="3769" spans="1:15">
      <c r="A3769" s="3">
        <v>40293</v>
      </c>
      <c r="B3769" s="3">
        <v>40293</v>
      </c>
      <c r="C3769">
        <v>146.44999999999999</v>
      </c>
      <c r="D3769">
        <v>1.3384</v>
      </c>
      <c r="E3769">
        <v>87.25</v>
      </c>
      <c r="F3769">
        <v>351.3</v>
      </c>
      <c r="K3769" s="3"/>
      <c r="O3769" s="3"/>
    </row>
    <row r="3770" spans="1:15">
      <c r="A3770" s="3">
        <v>40294</v>
      </c>
      <c r="B3770" s="3">
        <v>40294</v>
      </c>
      <c r="C3770">
        <v>146.44</v>
      </c>
      <c r="D3770">
        <v>1.3383</v>
      </c>
      <c r="E3770">
        <v>86.83</v>
      </c>
      <c r="F3770">
        <v>352.8</v>
      </c>
      <c r="K3770" s="3"/>
      <c r="O3770" s="3"/>
    </row>
    <row r="3771" spans="1:15">
      <c r="A3771" s="3">
        <v>40295</v>
      </c>
      <c r="B3771" s="3">
        <v>40295</v>
      </c>
      <c r="C3771">
        <v>146.41</v>
      </c>
      <c r="D3771">
        <v>1.3174999999999999</v>
      </c>
      <c r="E3771">
        <v>85.78</v>
      </c>
      <c r="F3771">
        <v>336.35</v>
      </c>
      <c r="K3771" s="3"/>
      <c r="O3771" s="3"/>
    </row>
    <row r="3772" spans="1:15">
      <c r="A3772" s="3">
        <v>40296</v>
      </c>
      <c r="B3772" s="3">
        <v>40296</v>
      </c>
      <c r="C3772">
        <v>146.74</v>
      </c>
      <c r="D3772">
        <v>1.3221000000000001</v>
      </c>
      <c r="E3772">
        <v>86.16</v>
      </c>
      <c r="F3772">
        <v>336.85</v>
      </c>
      <c r="K3772" s="3"/>
      <c r="O3772" s="3"/>
    </row>
    <row r="3773" spans="1:15">
      <c r="A3773" s="3">
        <v>40297</v>
      </c>
      <c r="B3773" s="3">
        <v>40297</v>
      </c>
      <c r="C3773">
        <v>146.63999999999999</v>
      </c>
      <c r="D3773">
        <v>1.3232999999999999</v>
      </c>
      <c r="E3773">
        <v>86.9</v>
      </c>
      <c r="F3773">
        <v>333.35</v>
      </c>
      <c r="K3773" s="3"/>
      <c r="O3773" s="3"/>
    </row>
    <row r="3774" spans="1:15">
      <c r="A3774" s="3">
        <v>40298</v>
      </c>
      <c r="B3774" s="3">
        <v>40298</v>
      </c>
      <c r="C3774">
        <v>146.41999999999999</v>
      </c>
      <c r="D3774">
        <v>1.3293999999999999</v>
      </c>
      <c r="E3774">
        <v>87.44</v>
      </c>
      <c r="F3774">
        <v>333.75</v>
      </c>
      <c r="K3774" s="3"/>
      <c r="O3774" s="3"/>
    </row>
    <row r="3775" spans="1:15">
      <c r="A3775" s="3">
        <v>40299</v>
      </c>
      <c r="B3775" s="3">
        <v>40299</v>
      </c>
      <c r="C3775">
        <v>146.41999999999999</v>
      </c>
      <c r="D3775">
        <v>1.3293999999999999</v>
      </c>
      <c r="E3775">
        <v>87.44</v>
      </c>
      <c r="F3775">
        <v>333.75</v>
      </c>
      <c r="K3775" s="3"/>
      <c r="O3775" s="3"/>
    </row>
    <row r="3776" spans="1:15">
      <c r="A3776" s="3">
        <v>40300</v>
      </c>
      <c r="B3776" s="3">
        <v>40300</v>
      </c>
      <c r="C3776">
        <v>146.41999999999999</v>
      </c>
      <c r="D3776">
        <v>1.3293999999999999</v>
      </c>
      <c r="E3776">
        <v>87.44</v>
      </c>
      <c r="F3776">
        <v>333.75</v>
      </c>
      <c r="K3776" s="3"/>
      <c r="O3776" s="3"/>
    </row>
    <row r="3777" spans="1:15">
      <c r="A3777" s="3">
        <v>40301</v>
      </c>
      <c r="B3777" s="3">
        <v>40301</v>
      </c>
      <c r="C3777">
        <v>146.44</v>
      </c>
      <c r="D3777">
        <v>1.3194999999999999</v>
      </c>
      <c r="E3777">
        <v>88.94</v>
      </c>
      <c r="F3777">
        <v>327.85</v>
      </c>
      <c r="K3777" s="3"/>
      <c r="O3777" s="3"/>
    </row>
    <row r="3778" spans="1:15">
      <c r="A3778" s="3">
        <v>40302</v>
      </c>
      <c r="B3778" s="3">
        <v>40302</v>
      </c>
      <c r="C3778">
        <v>146.56</v>
      </c>
      <c r="D3778">
        <v>1.2987</v>
      </c>
      <c r="E3778">
        <v>85.67</v>
      </c>
      <c r="F3778">
        <v>316.45</v>
      </c>
      <c r="K3778" s="3"/>
      <c r="O3778" s="3"/>
    </row>
    <row r="3779" spans="1:15">
      <c r="A3779" s="3">
        <v>40303</v>
      </c>
      <c r="B3779" s="3">
        <v>40303</v>
      </c>
      <c r="C3779">
        <v>146.75</v>
      </c>
      <c r="D3779">
        <v>1.2814000000000001</v>
      </c>
      <c r="E3779">
        <v>82.61</v>
      </c>
      <c r="F3779">
        <v>313.8</v>
      </c>
      <c r="K3779" s="3"/>
      <c r="O3779" s="3"/>
    </row>
    <row r="3780" spans="1:15">
      <c r="A3780" s="3">
        <v>40304</v>
      </c>
      <c r="B3780" s="3">
        <v>40304</v>
      </c>
      <c r="C3780">
        <v>146.96</v>
      </c>
      <c r="D3780">
        <v>1.262</v>
      </c>
      <c r="E3780">
        <v>79.83</v>
      </c>
      <c r="F3780">
        <v>310.35000000000002</v>
      </c>
      <c r="K3780" s="3"/>
      <c r="O3780" s="3"/>
    </row>
    <row r="3781" spans="1:15">
      <c r="A3781" s="3">
        <v>40305</v>
      </c>
      <c r="B3781" s="3">
        <v>40305</v>
      </c>
      <c r="C3781">
        <v>147.07</v>
      </c>
      <c r="D3781">
        <v>1.2755000000000001</v>
      </c>
      <c r="E3781">
        <v>78.27</v>
      </c>
      <c r="F3781">
        <v>313.10000000000002</v>
      </c>
      <c r="K3781" s="3"/>
      <c r="O3781" s="3"/>
    </row>
    <row r="3782" spans="1:15">
      <c r="A3782" s="3">
        <v>40306</v>
      </c>
      <c r="B3782" s="3">
        <v>40306</v>
      </c>
      <c r="C3782">
        <v>147.07</v>
      </c>
      <c r="D3782">
        <v>1.2755000000000001</v>
      </c>
      <c r="E3782">
        <v>78.27</v>
      </c>
      <c r="F3782">
        <v>313.10000000000002</v>
      </c>
      <c r="K3782" s="3"/>
      <c r="O3782" s="3"/>
    </row>
    <row r="3783" spans="1:15">
      <c r="A3783" s="3">
        <v>40307</v>
      </c>
      <c r="B3783" s="3">
        <v>40307</v>
      </c>
      <c r="C3783">
        <v>147.07</v>
      </c>
      <c r="D3783">
        <v>1.2755000000000001</v>
      </c>
      <c r="E3783">
        <v>78.27</v>
      </c>
      <c r="F3783">
        <v>313.10000000000002</v>
      </c>
      <c r="K3783" s="3"/>
      <c r="O3783" s="3"/>
    </row>
    <row r="3784" spans="1:15">
      <c r="A3784" s="3">
        <v>40308</v>
      </c>
      <c r="B3784" s="3">
        <v>40308</v>
      </c>
      <c r="C3784">
        <v>147.07</v>
      </c>
      <c r="D3784">
        <v>1.2786999999999999</v>
      </c>
      <c r="E3784">
        <v>80.12</v>
      </c>
      <c r="F3784">
        <v>321.5</v>
      </c>
      <c r="K3784" s="3"/>
      <c r="O3784" s="3"/>
    </row>
    <row r="3785" spans="1:15">
      <c r="A3785" s="3">
        <v>40309</v>
      </c>
      <c r="B3785" s="3">
        <v>40309</v>
      </c>
      <c r="C3785">
        <v>146.69999999999999</v>
      </c>
      <c r="D3785">
        <v>1.2662</v>
      </c>
      <c r="E3785">
        <v>80.489999999999995</v>
      </c>
      <c r="F3785">
        <v>319.39999999999998</v>
      </c>
      <c r="K3785" s="3"/>
      <c r="O3785" s="3"/>
    </row>
    <row r="3786" spans="1:15">
      <c r="A3786" s="3">
        <v>40310</v>
      </c>
      <c r="B3786" s="3">
        <v>40310</v>
      </c>
      <c r="C3786">
        <v>146.49</v>
      </c>
      <c r="D3786">
        <v>1.2614000000000001</v>
      </c>
      <c r="E3786">
        <v>81.2</v>
      </c>
      <c r="F3786">
        <v>317.60000000000002</v>
      </c>
      <c r="K3786" s="3"/>
      <c r="O3786" s="3"/>
    </row>
    <row r="3787" spans="1:15">
      <c r="A3787" s="3">
        <v>40311</v>
      </c>
      <c r="B3787" s="3">
        <v>40311</v>
      </c>
      <c r="C3787">
        <v>146.55000000000001</v>
      </c>
      <c r="D3787">
        <v>1.2535000000000001</v>
      </c>
      <c r="E3787">
        <v>80.11</v>
      </c>
      <c r="F3787">
        <v>321.95</v>
      </c>
      <c r="K3787" s="3"/>
      <c r="O3787" s="3"/>
    </row>
    <row r="3788" spans="1:15">
      <c r="A3788" s="3">
        <v>40312</v>
      </c>
      <c r="B3788" s="3">
        <v>40312</v>
      </c>
      <c r="C3788">
        <v>146.41999999999999</v>
      </c>
      <c r="D3788">
        <v>1.2358</v>
      </c>
      <c r="E3788">
        <v>77.180000000000007</v>
      </c>
      <c r="F3788">
        <v>312.3</v>
      </c>
      <c r="K3788" s="3"/>
      <c r="O3788" s="3"/>
    </row>
    <row r="3789" spans="1:15">
      <c r="A3789" s="3">
        <v>40313</v>
      </c>
      <c r="B3789" s="3">
        <v>40313</v>
      </c>
      <c r="C3789">
        <v>146.41999999999999</v>
      </c>
      <c r="D3789">
        <v>1.2358</v>
      </c>
      <c r="E3789">
        <v>77.180000000000007</v>
      </c>
      <c r="F3789">
        <v>312.3</v>
      </c>
      <c r="K3789" s="3"/>
      <c r="O3789" s="3"/>
    </row>
    <row r="3790" spans="1:15">
      <c r="A3790" s="3">
        <v>40314</v>
      </c>
      <c r="B3790" s="3">
        <v>40314</v>
      </c>
      <c r="C3790">
        <v>146.41999999999999</v>
      </c>
      <c r="D3790">
        <v>1.2358</v>
      </c>
      <c r="E3790">
        <v>77.180000000000007</v>
      </c>
      <c r="F3790">
        <v>312.3</v>
      </c>
      <c r="K3790" s="3"/>
      <c r="O3790" s="3"/>
    </row>
    <row r="3791" spans="1:15">
      <c r="A3791" s="3">
        <v>40315</v>
      </c>
      <c r="B3791" s="3">
        <v>40315</v>
      </c>
      <c r="C3791">
        <v>146.76</v>
      </c>
      <c r="D3791">
        <v>1.2395</v>
      </c>
      <c r="E3791">
        <v>75.099999999999994</v>
      </c>
      <c r="F3791">
        <v>292.3</v>
      </c>
      <c r="K3791" s="3"/>
      <c r="O3791" s="3"/>
    </row>
    <row r="3792" spans="1:15">
      <c r="A3792" s="3">
        <v>40316</v>
      </c>
      <c r="B3792" s="3">
        <v>40316</v>
      </c>
      <c r="C3792">
        <v>146.51</v>
      </c>
      <c r="D3792">
        <v>1.2202</v>
      </c>
      <c r="E3792">
        <v>74.430000000000007</v>
      </c>
      <c r="F3792">
        <v>302.25</v>
      </c>
      <c r="K3792" s="3"/>
      <c r="O3792" s="3"/>
    </row>
    <row r="3793" spans="1:15">
      <c r="A3793" s="3">
        <v>40317</v>
      </c>
      <c r="B3793" s="3">
        <v>40317</v>
      </c>
      <c r="C3793">
        <v>146.65</v>
      </c>
      <c r="D3793">
        <v>1.2415</v>
      </c>
      <c r="E3793">
        <v>73.69</v>
      </c>
      <c r="F3793">
        <v>295</v>
      </c>
      <c r="K3793" s="3"/>
      <c r="O3793" s="3"/>
    </row>
    <row r="3794" spans="1:15">
      <c r="A3794" s="3">
        <v>40318</v>
      </c>
      <c r="B3794" s="3">
        <v>40318</v>
      </c>
      <c r="C3794">
        <v>146.55000000000001</v>
      </c>
      <c r="D3794">
        <v>1.2486999999999999</v>
      </c>
      <c r="E3794">
        <v>71.84</v>
      </c>
      <c r="F3794">
        <v>293.55</v>
      </c>
      <c r="K3794" s="3"/>
      <c r="O3794" s="3"/>
    </row>
    <row r="3795" spans="1:15">
      <c r="A3795" s="3">
        <v>40319</v>
      </c>
      <c r="B3795" s="3">
        <v>40319</v>
      </c>
      <c r="C3795">
        <v>146.91999999999999</v>
      </c>
      <c r="D3795">
        <v>1.2569999999999999</v>
      </c>
      <c r="E3795">
        <v>71.680000000000007</v>
      </c>
      <c r="F3795">
        <v>305.14999999999998</v>
      </c>
      <c r="K3795" s="3"/>
      <c r="O3795" s="3"/>
    </row>
    <row r="3796" spans="1:15">
      <c r="A3796" s="3">
        <v>40320</v>
      </c>
      <c r="B3796" s="3">
        <v>40320</v>
      </c>
      <c r="C3796">
        <v>146.91999999999999</v>
      </c>
      <c r="D3796">
        <v>1.2569999999999999</v>
      </c>
      <c r="E3796">
        <v>71.680000000000007</v>
      </c>
      <c r="F3796">
        <v>305.14999999999998</v>
      </c>
      <c r="K3796" s="3"/>
      <c r="O3796" s="3"/>
    </row>
    <row r="3797" spans="1:15">
      <c r="A3797" s="3">
        <v>40321</v>
      </c>
      <c r="B3797" s="3">
        <v>40321</v>
      </c>
      <c r="C3797">
        <v>146.91999999999999</v>
      </c>
      <c r="D3797">
        <v>1.2569999999999999</v>
      </c>
      <c r="E3797">
        <v>71.680000000000007</v>
      </c>
      <c r="F3797">
        <v>305.14999999999998</v>
      </c>
      <c r="K3797" s="3"/>
      <c r="O3797" s="3"/>
    </row>
    <row r="3798" spans="1:15">
      <c r="A3798" s="3">
        <v>40322</v>
      </c>
      <c r="B3798" s="3">
        <v>40322</v>
      </c>
      <c r="C3798">
        <v>146.57</v>
      </c>
      <c r="D3798">
        <v>1.2372000000000001</v>
      </c>
      <c r="E3798">
        <v>71.17</v>
      </c>
      <c r="F3798">
        <v>313.64999999999998</v>
      </c>
      <c r="K3798" s="3"/>
      <c r="O3798" s="3"/>
    </row>
    <row r="3799" spans="1:15">
      <c r="A3799" s="3">
        <v>40323</v>
      </c>
      <c r="B3799" s="3">
        <v>40323</v>
      </c>
      <c r="C3799">
        <v>146.91</v>
      </c>
      <c r="D3799">
        <v>1.2344999999999999</v>
      </c>
      <c r="E3799">
        <v>69.55</v>
      </c>
      <c r="F3799">
        <v>303.35000000000002</v>
      </c>
      <c r="K3799" s="3"/>
      <c r="O3799" s="3"/>
    </row>
    <row r="3800" spans="1:15">
      <c r="A3800" s="3">
        <v>40324</v>
      </c>
      <c r="B3800" s="3">
        <v>40324</v>
      </c>
      <c r="C3800">
        <v>146.86000000000001</v>
      </c>
      <c r="D3800">
        <v>1.2178</v>
      </c>
      <c r="E3800">
        <v>71.739999999999995</v>
      </c>
      <c r="F3800">
        <v>307.14999999999998</v>
      </c>
      <c r="K3800" s="3"/>
      <c r="O3800" s="3"/>
    </row>
    <row r="3801" spans="1:15">
      <c r="A3801" s="3">
        <v>40325</v>
      </c>
      <c r="B3801" s="3">
        <v>40325</v>
      </c>
      <c r="C3801">
        <v>146.71</v>
      </c>
      <c r="D3801">
        <v>1.2362</v>
      </c>
      <c r="E3801">
        <v>74.66</v>
      </c>
      <c r="F3801">
        <v>315.85000000000002</v>
      </c>
      <c r="K3801" s="3"/>
      <c r="O3801" s="3"/>
    </row>
    <row r="3802" spans="1:15">
      <c r="A3802" s="3">
        <v>40326</v>
      </c>
      <c r="B3802" s="3">
        <v>40326</v>
      </c>
      <c r="C3802">
        <v>146.56</v>
      </c>
      <c r="D3802">
        <v>1.2273000000000001</v>
      </c>
      <c r="E3802">
        <v>74.02</v>
      </c>
      <c r="F3802">
        <v>310.45</v>
      </c>
      <c r="K3802" s="3"/>
      <c r="O3802" s="3"/>
    </row>
    <row r="3803" spans="1:15">
      <c r="A3803" s="3">
        <v>40327</v>
      </c>
      <c r="B3803" s="3">
        <v>40327</v>
      </c>
      <c r="C3803">
        <v>146.56</v>
      </c>
      <c r="D3803">
        <v>1.2273000000000001</v>
      </c>
      <c r="E3803">
        <v>74.02</v>
      </c>
      <c r="F3803">
        <v>310.45</v>
      </c>
      <c r="K3803" s="3"/>
      <c r="O3803" s="3"/>
    </row>
    <row r="3804" spans="1:15">
      <c r="A3804" s="3">
        <v>40328</v>
      </c>
      <c r="B3804" s="3">
        <v>40328</v>
      </c>
      <c r="C3804">
        <v>146.56</v>
      </c>
      <c r="D3804">
        <v>1.2273000000000001</v>
      </c>
      <c r="E3804">
        <v>74.02</v>
      </c>
      <c r="F3804">
        <v>310.45</v>
      </c>
      <c r="K3804" s="3"/>
      <c r="O3804" s="3"/>
    </row>
    <row r="3805" spans="1:15">
      <c r="A3805" s="3">
        <v>40329</v>
      </c>
      <c r="B3805" s="3">
        <v>40329</v>
      </c>
      <c r="C3805">
        <v>146.72999999999999</v>
      </c>
      <c r="D3805">
        <v>1.2305999999999999</v>
      </c>
      <c r="E3805">
        <v>74.650000000000006</v>
      </c>
      <c r="F3805">
        <v>310.45</v>
      </c>
      <c r="K3805" s="3"/>
      <c r="O3805" s="3"/>
    </row>
    <row r="3806" spans="1:15">
      <c r="A3806" s="3">
        <v>40330</v>
      </c>
      <c r="B3806" s="3">
        <v>40330</v>
      </c>
      <c r="C3806">
        <v>146.96</v>
      </c>
      <c r="D3806">
        <v>1.2229000000000001</v>
      </c>
      <c r="E3806">
        <v>72.709999999999994</v>
      </c>
      <c r="F3806">
        <v>306.3</v>
      </c>
      <c r="K3806" s="3"/>
      <c r="O3806" s="3"/>
    </row>
    <row r="3807" spans="1:15">
      <c r="A3807" s="3">
        <v>40331</v>
      </c>
      <c r="B3807" s="3">
        <v>40331</v>
      </c>
      <c r="C3807">
        <v>146.83000000000001</v>
      </c>
      <c r="D3807">
        <v>1.2249000000000001</v>
      </c>
      <c r="E3807">
        <v>73.75</v>
      </c>
      <c r="F3807">
        <v>304.05</v>
      </c>
      <c r="K3807" s="3"/>
      <c r="O3807" s="3"/>
    </row>
    <row r="3808" spans="1:15">
      <c r="A3808" s="3">
        <v>40332</v>
      </c>
      <c r="B3808" s="3">
        <v>40332</v>
      </c>
      <c r="C3808">
        <v>146.71</v>
      </c>
      <c r="D3808">
        <v>1.2162999999999999</v>
      </c>
      <c r="E3808">
        <v>75.41</v>
      </c>
      <c r="F3808">
        <v>294.64999999999998</v>
      </c>
      <c r="K3808" s="3"/>
      <c r="O3808" s="3"/>
    </row>
    <row r="3809" spans="1:15">
      <c r="A3809" s="3">
        <v>40333</v>
      </c>
      <c r="B3809" s="3">
        <v>40333</v>
      </c>
      <c r="C3809">
        <v>146.85</v>
      </c>
      <c r="D3809">
        <v>1.1967000000000001</v>
      </c>
      <c r="E3809">
        <v>72.09</v>
      </c>
      <c r="F3809">
        <v>281.95</v>
      </c>
      <c r="K3809" s="3"/>
      <c r="O3809" s="3"/>
    </row>
    <row r="3810" spans="1:15">
      <c r="A3810" s="3">
        <v>40334</v>
      </c>
      <c r="B3810" s="3">
        <v>40334</v>
      </c>
      <c r="C3810">
        <v>146.85</v>
      </c>
      <c r="D3810">
        <v>1.1967000000000001</v>
      </c>
      <c r="E3810">
        <v>72.09</v>
      </c>
      <c r="F3810">
        <v>281.95</v>
      </c>
      <c r="K3810" s="3"/>
      <c r="O3810" s="3"/>
    </row>
    <row r="3811" spans="1:15">
      <c r="A3811" s="3">
        <v>40335</v>
      </c>
      <c r="B3811" s="3">
        <v>40335</v>
      </c>
      <c r="C3811">
        <v>146.85</v>
      </c>
      <c r="D3811">
        <v>1.1967000000000001</v>
      </c>
      <c r="E3811">
        <v>72.09</v>
      </c>
      <c r="F3811">
        <v>281.95</v>
      </c>
      <c r="K3811" s="3"/>
      <c r="O3811" s="3"/>
    </row>
    <row r="3812" spans="1:15">
      <c r="A3812" s="3">
        <v>40336</v>
      </c>
      <c r="B3812" s="3">
        <v>40336</v>
      </c>
      <c r="C3812">
        <v>147.16</v>
      </c>
      <c r="D3812">
        <v>1.1922999999999999</v>
      </c>
      <c r="E3812">
        <v>72.12</v>
      </c>
      <c r="F3812">
        <v>276.60000000000002</v>
      </c>
      <c r="K3812" s="3"/>
      <c r="O3812" s="3"/>
    </row>
    <row r="3813" spans="1:15">
      <c r="A3813" s="3">
        <v>40337</v>
      </c>
      <c r="B3813" s="3">
        <v>40337</v>
      </c>
      <c r="C3813">
        <v>147.21</v>
      </c>
      <c r="D3813">
        <v>1.1973</v>
      </c>
      <c r="E3813">
        <v>72.3</v>
      </c>
      <c r="F3813">
        <v>277.95</v>
      </c>
      <c r="K3813" s="3"/>
      <c r="O3813" s="3"/>
    </row>
    <row r="3814" spans="1:15">
      <c r="A3814" s="3">
        <v>40338</v>
      </c>
      <c r="B3814" s="3">
        <v>40338</v>
      </c>
      <c r="C3814">
        <v>147.16</v>
      </c>
      <c r="D3814">
        <v>1.1979</v>
      </c>
      <c r="E3814">
        <v>74.27</v>
      </c>
      <c r="F3814">
        <v>285</v>
      </c>
      <c r="K3814" s="3"/>
      <c r="O3814" s="3"/>
    </row>
    <row r="3815" spans="1:15">
      <c r="A3815" s="3">
        <v>40339</v>
      </c>
      <c r="B3815" s="3">
        <v>40339</v>
      </c>
      <c r="C3815">
        <v>147.11000000000001</v>
      </c>
      <c r="D3815">
        <v>1.2123999999999999</v>
      </c>
      <c r="E3815">
        <v>75.290000000000006</v>
      </c>
      <c r="F3815">
        <v>286.25</v>
      </c>
      <c r="K3815" s="3"/>
      <c r="O3815" s="3"/>
    </row>
    <row r="3816" spans="1:15">
      <c r="A3816" s="3">
        <v>40340</v>
      </c>
      <c r="B3816" s="3">
        <v>40340</v>
      </c>
      <c r="C3816">
        <v>147.1</v>
      </c>
      <c r="D3816">
        <v>1.2112000000000001</v>
      </c>
      <c r="E3816">
        <v>74.349999999999994</v>
      </c>
      <c r="F3816">
        <v>290.39999999999998</v>
      </c>
      <c r="K3816" s="3"/>
      <c r="O3816" s="3"/>
    </row>
    <row r="3817" spans="1:15">
      <c r="A3817" s="3">
        <v>40341</v>
      </c>
      <c r="B3817" s="3">
        <v>40341</v>
      </c>
      <c r="C3817">
        <v>147.1</v>
      </c>
      <c r="D3817">
        <v>1.2112000000000001</v>
      </c>
      <c r="E3817">
        <v>74.349999999999994</v>
      </c>
      <c r="F3817">
        <v>290.39999999999998</v>
      </c>
      <c r="K3817" s="3"/>
      <c r="O3817" s="3"/>
    </row>
    <row r="3818" spans="1:15">
      <c r="A3818" s="3">
        <v>40342</v>
      </c>
      <c r="B3818" s="3">
        <v>40342</v>
      </c>
      <c r="C3818">
        <v>147.1</v>
      </c>
      <c r="D3818">
        <v>1.2112000000000001</v>
      </c>
      <c r="E3818">
        <v>74.349999999999994</v>
      </c>
      <c r="F3818">
        <v>290.39999999999998</v>
      </c>
      <c r="K3818" s="3"/>
      <c r="O3818" s="3"/>
    </row>
    <row r="3819" spans="1:15">
      <c r="A3819" s="3">
        <v>40343</v>
      </c>
      <c r="B3819" s="3">
        <v>40343</v>
      </c>
      <c r="C3819">
        <v>147.24</v>
      </c>
      <c r="D3819">
        <v>1.2221</v>
      </c>
      <c r="E3819">
        <v>75.2</v>
      </c>
      <c r="F3819">
        <v>299.2</v>
      </c>
      <c r="K3819" s="3"/>
      <c r="O3819" s="3"/>
    </row>
    <row r="3820" spans="1:15">
      <c r="A3820" s="3">
        <v>40344</v>
      </c>
      <c r="B3820" s="3">
        <v>40344</v>
      </c>
      <c r="C3820">
        <v>147.25</v>
      </c>
      <c r="D3820">
        <v>1.2332000000000001</v>
      </c>
      <c r="E3820">
        <v>76.2</v>
      </c>
      <c r="F3820">
        <v>300.45</v>
      </c>
      <c r="K3820" s="3"/>
      <c r="O3820" s="3"/>
    </row>
    <row r="3821" spans="1:15">
      <c r="A3821" s="3">
        <v>40345</v>
      </c>
      <c r="B3821" s="3">
        <v>40345</v>
      </c>
      <c r="C3821">
        <v>147.13</v>
      </c>
      <c r="D3821">
        <v>1.2311000000000001</v>
      </c>
      <c r="E3821">
        <v>78.14</v>
      </c>
      <c r="F3821">
        <v>299.55</v>
      </c>
      <c r="K3821" s="3"/>
      <c r="O3821" s="3"/>
    </row>
    <row r="3822" spans="1:15">
      <c r="A3822" s="3">
        <v>40346</v>
      </c>
      <c r="B3822" s="3">
        <v>40346</v>
      </c>
      <c r="C3822">
        <v>147.13</v>
      </c>
      <c r="D3822">
        <v>1.2388999999999999</v>
      </c>
      <c r="E3822">
        <v>78.680000000000007</v>
      </c>
      <c r="F3822">
        <v>290.55</v>
      </c>
      <c r="K3822" s="3"/>
      <c r="O3822" s="3"/>
    </row>
    <row r="3823" spans="1:15">
      <c r="A3823" s="3">
        <v>40347</v>
      </c>
      <c r="B3823" s="3">
        <v>40347</v>
      </c>
      <c r="C3823">
        <v>147.02000000000001</v>
      </c>
      <c r="D3823">
        <v>1.2387999999999999</v>
      </c>
      <c r="E3823">
        <v>78.22</v>
      </c>
      <c r="F3823">
        <v>288.39999999999998</v>
      </c>
      <c r="K3823" s="3"/>
      <c r="O3823" s="3"/>
    </row>
    <row r="3824" spans="1:15">
      <c r="A3824" s="3">
        <v>40348</v>
      </c>
      <c r="B3824" s="3">
        <v>40348</v>
      </c>
      <c r="C3824">
        <v>147.02000000000001</v>
      </c>
      <c r="D3824">
        <v>1.2387999999999999</v>
      </c>
      <c r="E3824">
        <v>78.22</v>
      </c>
      <c r="F3824">
        <v>288.39999999999998</v>
      </c>
      <c r="K3824" s="3"/>
      <c r="O3824" s="3"/>
    </row>
    <row r="3825" spans="1:15">
      <c r="A3825" s="3">
        <v>40349</v>
      </c>
      <c r="B3825" s="3">
        <v>40349</v>
      </c>
      <c r="C3825">
        <v>147.02000000000001</v>
      </c>
      <c r="D3825">
        <v>1.2387999999999999</v>
      </c>
      <c r="E3825">
        <v>78.22</v>
      </c>
      <c r="F3825">
        <v>288.39999999999998</v>
      </c>
      <c r="K3825" s="3"/>
      <c r="O3825" s="3"/>
    </row>
    <row r="3826" spans="1:15">
      <c r="A3826" s="3">
        <v>40350</v>
      </c>
      <c r="B3826" s="3">
        <v>40350</v>
      </c>
      <c r="C3826">
        <v>146.88</v>
      </c>
      <c r="D3826">
        <v>1.2312000000000001</v>
      </c>
      <c r="E3826">
        <v>78.819999999999993</v>
      </c>
      <c r="F3826">
        <v>294.2</v>
      </c>
      <c r="K3826" s="3"/>
      <c r="O3826" s="3"/>
    </row>
    <row r="3827" spans="1:15">
      <c r="A3827" s="3">
        <v>40351</v>
      </c>
      <c r="B3827" s="3">
        <v>40351</v>
      </c>
      <c r="C3827">
        <v>147.04</v>
      </c>
      <c r="D3827">
        <v>1.2271000000000001</v>
      </c>
      <c r="E3827">
        <v>78.040000000000006</v>
      </c>
      <c r="F3827">
        <v>299.2</v>
      </c>
      <c r="K3827" s="3"/>
      <c r="O3827" s="3"/>
    </row>
    <row r="3828" spans="1:15">
      <c r="A3828" s="3">
        <v>40352</v>
      </c>
      <c r="B3828" s="3">
        <v>40352</v>
      </c>
      <c r="C3828">
        <v>147.22</v>
      </c>
      <c r="D3828">
        <v>1.2311000000000001</v>
      </c>
      <c r="E3828">
        <v>76.27</v>
      </c>
      <c r="F3828">
        <v>293.55</v>
      </c>
      <c r="K3828" s="3"/>
      <c r="O3828" s="3"/>
    </row>
    <row r="3829" spans="1:15">
      <c r="A3829" s="3">
        <v>40353</v>
      </c>
      <c r="B3829" s="3">
        <v>40353</v>
      </c>
      <c r="C3829">
        <v>147.21</v>
      </c>
      <c r="D3829">
        <v>1.2333000000000001</v>
      </c>
      <c r="E3829">
        <v>76.47</v>
      </c>
      <c r="F3829">
        <v>300.55</v>
      </c>
      <c r="K3829" s="3"/>
      <c r="O3829" s="3"/>
    </row>
    <row r="3830" spans="1:15">
      <c r="A3830" s="3">
        <v>40354</v>
      </c>
      <c r="B3830" s="3">
        <v>40354</v>
      </c>
      <c r="C3830">
        <v>147.43</v>
      </c>
      <c r="D3830">
        <v>1.2369000000000001</v>
      </c>
      <c r="E3830">
        <v>78.12</v>
      </c>
      <c r="F3830">
        <v>309.55</v>
      </c>
      <c r="K3830" s="3"/>
      <c r="O3830" s="3"/>
    </row>
    <row r="3831" spans="1:15">
      <c r="A3831" s="3">
        <v>40355</v>
      </c>
      <c r="B3831" s="3">
        <v>40355</v>
      </c>
      <c r="C3831">
        <v>147.43</v>
      </c>
      <c r="D3831">
        <v>1.2369000000000001</v>
      </c>
      <c r="E3831">
        <v>78.12</v>
      </c>
      <c r="F3831">
        <v>309.55</v>
      </c>
      <c r="K3831" s="3"/>
      <c r="O3831" s="3"/>
    </row>
    <row r="3832" spans="1:15">
      <c r="A3832" s="3">
        <v>40356</v>
      </c>
      <c r="B3832" s="3">
        <v>40356</v>
      </c>
      <c r="C3832">
        <v>147.43</v>
      </c>
      <c r="D3832">
        <v>1.2369000000000001</v>
      </c>
      <c r="E3832">
        <v>78.12</v>
      </c>
      <c r="F3832">
        <v>309.55</v>
      </c>
      <c r="K3832" s="3"/>
      <c r="O3832" s="3"/>
    </row>
    <row r="3833" spans="1:15">
      <c r="A3833" s="3">
        <v>40357</v>
      </c>
      <c r="B3833" s="3">
        <v>40357</v>
      </c>
      <c r="C3833">
        <v>147.54</v>
      </c>
      <c r="D3833">
        <v>1.2277</v>
      </c>
      <c r="E3833">
        <v>77.59</v>
      </c>
      <c r="F3833">
        <v>307.14999999999998</v>
      </c>
      <c r="K3833" s="3"/>
      <c r="O3833" s="3"/>
    </row>
    <row r="3834" spans="1:15">
      <c r="A3834" s="3">
        <v>40358</v>
      </c>
      <c r="B3834" s="3">
        <v>40358</v>
      </c>
      <c r="C3834">
        <v>147.52000000000001</v>
      </c>
      <c r="D3834">
        <v>1.2188000000000001</v>
      </c>
      <c r="E3834">
        <v>75.44</v>
      </c>
      <c r="F3834">
        <v>291.55</v>
      </c>
      <c r="K3834" s="3"/>
      <c r="O3834" s="3"/>
    </row>
    <row r="3835" spans="1:15">
      <c r="A3835" s="3">
        <v>40359</v>
      </c>
      <c r="B3835" s="3">
        <v>40359</v>
      </c>
      <c r="C3835">
        <v>147.37</v>
      </c>
      <c r="D3835">
        <v>1.2238</v>
      </c>
      <c r="E3835">
        <v>75.010000000000005</v>
      </c>
      <c r="F3835">
        <v>293.60000000000002</v>
      </c>
      <c r="K3835" s="3"/>
      <c r="O3835" s="3"/>
    </row>
    <row r="3836" spans="1:15">
      <c r="A3836" s="3">
        <v>40360</v>
      </c>
      <c r="B3836" s="3">
        <v>40360</v>
      </c>
      <c r="C3836">
        <v>147.52000000000001</v>
      </c>
      <c r="D3836">
        <v>1.2526999999999999</v>
      </c>
      <c r="E3836">
        <v>72.34</v>
      </c>
      <c r="F3836">
        <v>286.5</v>
      </c>
      <c r="K3836" s="3"/>
      <c r="O3836" s="3"/>
    </row>
    <row r="3837" spans="1:15">
      <c r="A3837" s="3">
        <v>40361</v>
      </c>
      <c r="B3837" s="3">
        <v>40361</v>
      </c>
      <c r="C3837">
        <v>147.33000000000001</v>
      </c>
      <c r="D3837">
        <v>1.2565999999999999</v>
      </c>
      <c r="E3837">
        <v>71.650000000000006</v>
      </c>
      <c r="F3837">
        <v>290.39999999999998</v>
      </c>
      <c r="K3837" s="3"/>
      <c r="O3837" s="3"/>
    </row>
    <row r="3838" spans="1:15">
      <c r="A3838" s="3">
        <v>40362</v>
      </c>
      <c r="B3838" s="3">
        <v>40362</v>
      </c>
      <c r="C3838">
        <v>147.33000000000001</v>
      </c>
      <c r="D3838">
        <v>1.2565999999999999</v>
      </c>
      <c r="E3838">
        <v>71.650000000000006</v>
      </c>
      <c r="F3838">
        <v>290.39999999999998</v>
      </c>
      <c r="K3838" s="3"/>
      <c r="O3838" s="3"/>
    </row>
    <row r="3839" spans="1:15">
      <c r="A3839" s="3">
        <v>40363</v>
      </c>
      <c r="B3839" s="3">
        <v>40363</v>
      </c>
      <c r="C3839">
        <v>147.33000000000001</v>
      </c>
      <c r="D3839">
        <v>1.2565999999999999</v>
      </c>
      <c r="E3839">
        <v>71.650000000000006</v>
      </c>
      <c r="F3839">
        <v>290.39999999999998</v>
      </c>
      <c r="K3839" s="3"/>
      <c r="O3839" s="3"/>
    </row>
    <row r="3840" spans="1:15">
      <c r="A3840" s="3">
        <v>40364</v>
      </c>
      <c r="B3840" s="3">
        <v>40364</v>
      </c>
      <c r="C3840">
        <v>147.33000000000001</v>
      </c>
      <c r="D3840">
        <v>1.2538</v>
      </c>
      <c r="E3840">
        <v>71.47</v>
      </c>
      <c r="F3840">
        <v>290.39999999999998</v>
      </c>
      <c r="K3840" s="3"/>
      <c r="O3840" s="3"/>
    </row>
    <row r="3841" spans="1:15">
      <c r="A3841" s="3">
        <v>40365</v>
      </c>
      <c r="B3841" s="3">
        <v>40365</v>
      </c>
      <c r="C3841">
        <v>147.33000000000001</v>
      </c>
      <c r="D3841">
        <v>1.2625999999999999</v>
      </c>
      <c r="E3841">
        <v>71.45</v>
      </c>
      <c r="F3841">
        <v>296</v>
      </c>
      <c r="K3841" s="3"/>
      <c r="O3841" s="3"/>
    </row>
    <row r="3842" spans="1:15">
      <c r="A3842" s="3">
        <v>40366</v>
      </c>
      <c r="B3842" s="3">
        <v>40366</v>
      </c>
      <c r="C3842">
        <v>147.5</v>
      </c>
      <c r="D3842">
        <v>1.2638</v>
      </c>
      <c r="E3842">
        <v>73.510000000000005</v>
      </c>
      <c r="F3842">
        <v>300.55</v>
      </c>
      <c r="K3842" s="3"/>
      <c r="O3842" s="3"/>
    </row>
    <row r="3843" spans="1:15">
      <c r="A3843" s="3">
        <v>40367</v>
      </c>
      <c r="B3843" s="3">
        <v>40367</v>
      </c>
      <c r="C3843">
        <v>147.56</v>
      </c>
      <c r="D3843">
        <v>1.2698</v>
      </c>
      <c r="E3843">
        <v>74.709999999999994</v>
      </c>
      <c r="F3843">
        <v>300.7</v>
      </c>
      <c r="K3843" s="3"/>
      <c r="O3843" s="3"/>
    </row>
    <row r="3844" spans="1:15">
      <c r="A3844" s="3">
        <v>40368</v>
      </c>
      <c r="B3844" s="3">
        <v>40368</v>
      </c>
      <c r="C3844">
        <v>147.57</v>
      </c>
      <c r="D3844">
        <v>1.2641</v>
      </c>
      <c r="E3844">
        <v>75.42</v>
      </c>
      <c r="F3844">
        <v>304.45</v>
      </c>
      <c r="K3844" s="3"/>
      <c r="O3844" s="3"/>
    </row>
    <row r="3845" spans="1:15">
      <c r="A3845" s="3">
        <v>40369</v>
      </c>
      <c r="B3845" s="3">
        <v>40369</v>
      </c>
      <c r="C3845">
        <v>147.57</v>
      </c>
      <c r="D3845">
        <v>1.2641</v>
      </c>
      <c r="E3845">
        <v>75.42</v>
      </c>
      <c r="F3845">
        <v>304.45</v>
      </c>
      <c r="K3845" s="3"/>
      <c r="O3845" s="3"/>
    </row>
    <row r="3846" spans="1:15">
      <c r="A3846" s="3">
        <v>40370</v>
      </c>
      <c r="B3846" s="3">
        <v>40370</v>
      </c>
      <c r="C3846">
        <v>147.57</v>
      </c>
      <c r="D3846">
        <v>1.2641</v>
      </c>
      <c r="E3846">
        <v>75.42</v>
      </c>
      <c r="F3846">
        <v>304.45</v>
      </c>
      <c r="K3846" s="3"/>
      <c r="O3846" s="3"/>
    </row>
    <row r="3847" spans="1:15">
      <c r="A3847" s="3">
        <v>40371</v>
      </c>
      <c r="B3847" s="3">
        <v>40371</v>
      </c>
      <c r="C3847">
        <v>147.65</v>
      </c>
      <c r="D3847">
        <v>1.2596000000000001</v>
      </c>
      <c r="E3847">
        <v>74.37</v>
      </c>
      <c r="F3847">
        <v>299.95</v>
      </c>
      <c r="K3847" s="3"/>
      <c r="O3847" s="3"/>
    </row>
    <row r="3848" spans="1:15">
      <c r="A3848" s="3">
        <v>40372</v>
      </c>
      <c r="B3848" s="3">
        <v>40372</v>
      </c>
      <c r="C3848">
        <v>147.71</v>
      </c>
      <c r="D3848">
        <v>1.2724</v>
      </c>
      <c r="E3848">
        <v>76.650000000000006</v>
      </c>
      <c r="F3848">
        <v>300.95</v>
      </c>
      <c r="K3848" s="3"/>
      <c r="O3848" s="3"/>
    </row>
    <row r="3849" spans="1:15">
      <c r="A3849" s="3">
        <v>40373</v>
      </c>
      <c r="B3849" s="3">
        <v>40373</v>
      </c>
      <c r="C3849">
        <v>147.63999999999999</v>
      </c>
      <c r="D3849">
        <v>1.2743</v>
      </c>
      <c r="E3849">
        <v>76.77</v>
      </c>
      <c r="F3849">
        <v>300.10000000000002</v>
      </c>
      <c r="K3849" s="3"/>
      <c r="O3849" s="3"/>
    </row>
    <row r="3850" spans="1:15">
      <c r="A3850" s="3">
        <v>40374</v>
      </c>
      <c r="B3850" s="3">
        <v>40374</v>
      </c>
      <c r="C3850">
        <v>147.6</v>
      </c>
      <c r="D3850">
        <v>1.2949999999999999</v>
      </c>
      <c r="E3850">
        <v>76.19</v>
      </c>
      <c r="F3850">
        <v>300.5</v>
      </c>
      <c r="K3850" s="3"/>
      <c r="O3850" s="3"/>
    </row>
    <row r="3851" spans="1:15">
      <c r="A3851" s="3">
        <v>40375</v>
      </c>
      <c r="B3851" s="3">
        <v>40375</v>
      </c>
      <c r="C3851">
        <v>147.5</v>
      </c>
      <c r="D3851">
        <v>1.2929999999999999</v>
      </c>
      <c r="E3851">
        <v>75.37</v>
      </c>
      <c r="F3851">
        <v>292.35000000000002</v>
      </c>
      <c r="K3851" s="3"/>
      <c r="O3851" s="3"/>
    </row>
    <row r="3852" spans="1:15">
      <c r="A3852" s="3">
        <v>40376</v>
      </c>
      <c r="B3852" s="3">
        <v>40376</v>
      </c>
      <c r="C3852">
        <v>147.5</v>
      </c>
      <c r="D3852">
        <v>1.2929999999999999</v>
      </c>
      <c r="E3852">
        <v>75.37</v>
      </c>
      <c r="F3852">
        <v>292.35000000000002</v>
      </c>
      <c r="K3852" s="3"/>
      <c r="O3852" s="3"/>
    </row>
    <row r="3853" spans="1:15">
      <c r="A3853" s="3">
        <v>40377</v>
      </c>
      <c r="B3853" s="3">
        <v>40377</v>
      </c>
      <c r="C3853">
        <v>147.5</v>
      </c>
      <c r="D3853">
        <v>1.2929999999999999</v>
      </c>
      <c r="E3853">
        <v>75.37</v>
      </c>
      <c r="F3853">
        <v>292.35000000000002</v>
      </c>
      <c r="K3853" s="3"/>
      <c r="O3853" s="3"/>
    </row>
    <row r="3854" spans="1:15">
      <c r="A3854" s="3">
        <v>40378</v>
      </c>
      <c r="B3854" s="3">
        <v>40378</v>
      </c>
      <c r="C3854">
        <v>147.47999999999999</v>
      </c>
      <c r="D3854">
        <v>1.2942</v>
      </c>
      <c r="E3854">
        <v>75.62</v>
      </c>
      <c r="F3854">
        <v>293.25</v>
      </c>
      <c r="K3854" s="3"/>
      <c r="O3854" s="3"/>
    </row>
    <row r="3855" spans="1:15">
      <c r="A3855" s="3">
        <v>40379</v>
      </c>
      <c r="B3855" s="3">
        <v>40379</v>
      </c>
      <c r="C3855">
        <v>147.52000000000001</v>
      </c>
      <c r="D3855">
        <v>1.288</v>
      </c>
      <c r="E3855">
        <v>76.22</v>
      </c>
      <c r="F3855">
        <v>299.75</v>
      </c>
      <c r="K3855" s="3"/>
      <c r="O3855" s="3"/>
    </row>
    <row r="3856" spans="1:15">
      <c r="A3856" s="3">
        <v>40380</v>
      </c>
      <c r="B3856" s="3">
        <v>40380</v>
      </c>
      <c r="C3856">
        <v>147.55000000000001</v>
      </c>
      <c r="D3856">
        <v>1.2754000000000001</v>
      </c>
      <c r="E3856">
        <v>75.37</v>
      </c>
      <c r="F3856">
        <v>308.7</v>
      </c>
      <c r="K3856" s="3"/>
      <c r="O3856" s="3"/>
    </row>
    <row r="3857" spans="1:15">
      <c r="A3857" s="3">
        <v>40381</v>
      </c>
      <c r="B3857" s="3">
        <v>40381</v>
      </c>
      <c r="C3857">
        <v>147.56</v>
      </c>
      <c r="D3857">
        <v>1.2892999999999999</v>
      </c>
      <c r="E3857">
        <v>77.819999999999993</v>
      </c>
      <c r="F3857">
        <v>316.05</v>
      </c>
      <c r="K3857" s="3"/>
      <c r="O3857" s="3"/>
    </row>
    <row r="3858" spans="1:15">
      <c r="A3858" s="3">
        <v>40382</v>
      </c>
      <c r="B3858" s="3">
        <v>40382</v>
      </c>
      <c r="C3858">
        <v>147.41999999999999</v>
      </c>
      <c r="D3858">
        <v>1.2908999999999999</v>
      </c>
      <c r="E3858">
        <v>77.45</v>
      </c>
      <c r="F3858">
        <v>318.5</v>
      </c>
      <c r="K3858" s="3"/>
      <c r="O3858" s="3"/>
    </row>
    <row r="3859" spans="1:15">
      <c r="A3859" s="3">
        <v>40383</v>
      </c>
      <c r="B3859" s="3">
        <v>40383</v>
      </c>
      <c r="C3859">
        <v>147.41999999999999</v>
      </c>
      <c r="D3859">
        <v>1.2908999999999999</v>
      </c>
      <c r="E3859">
        <v>77.45</v>
      </c>
      <c r="F3859">
        <v>318.5</v>
      </c>
      <c r="K3859" s="3"/>
      <c r="O3859" s="3"/>
    </row>
    <row r="3860" spans="1:15">
      <c r="A3860" s="3">
        <v>40384</v>
      </c>
      <c r="B3860" s="3">
        <v>40384</v>
      </c>
      <c r="C3860">
        <v>147.41999999999999</v>
      </c>
      <c r="D3860">
        <v>1.2908999999999999</v>
      </c>
      <c r="E3860">
        <v>77.45</v>
      </c>
      <c r="F3860">
        <v>318.5</v>
      </c>
      <c r="K3860" s="3"/>
      <c r="O3860" s="3"/>
    </row>
    <row r="3861" spans="1:15">
      <c r="A3861" s="3">
        <v>40385</v>
      </c>
      <c r="B3861" s="3">
        <v>40385</v>
      </c>
      <c r="C3861">
        <v>147.33000000000001</v>
      </c>
      <c r="D3861">
        <v>1.2994000000000001</v>
      </c>
      <c r="E3861">
        <v>77.5</v>
      </c>
      <c r="F3861">
        <v>322.5</v>
      </c>
      <c r="K3861" s="3"/>
      <c r="O3861" s="3"/>
    </row>
    <row r="3862" spans="1:15">
      <c r="A3862" s="3">
        <v>40386</v>
      </c>
      <c r="B3862" s="3">
        <v>40386</v>
      </c>
      <c r="C3862">
        <v>147.53</v>
      </c>
      <c r="D3862">
        <v>1.2996000000000001</v>
      </c>
      <c r="E3862">
        <v>76.13</v>
      </c>
      <c r="F3862">
        <v>320.5</v>
      </c>
      <c r="K3862" s="3"/>
      <c r="O3862" s="3"/>
    </row>
    <row r="3863" spans="1:15">
      <c r="A3863" s="3">
        <v>40387</v>
      </c>
      <c r="B3863" s="3">
        <v>40387</v>
      </c>
      <c r="C3863">
        <v>147.68</v>
      </c>
      <c r="D3863">
        <v>1.2995000000000001</v>
      </c>
      <c r="E3863">
        <v>76.06</v>
      </c>
      <c r="F3863">
        <v>324</v>
      </c>
      <c r="K3863" s="3"/>
      <c r="O3863" s="3"/>
    </row>
    <row r="3864" spans="1:15">
      <c r="A3864" s="3">
        <v>40388</v>
      </c>
      <c r="B3864" s="3">
        <v>40388</v>
      </c>
      <c r="C3864">
        <v>147.68</v>
      </c>
      <c r="D3864">
        <v>1.3079000000000001</v>
      </c>
      <c r="E3864">
        <v>77.59</v>
      </c>
      <c r="F3864">
        <v>329</v>
      </c>
      <c r="K3864" s="3"/>
      <c r="O3864" s="3"/>
    </row>
    <row r="3865" spans="1:15">
      <c r="A3865" s="3">
        <v>40389</v>
      </c>
      <c r="B3865" s="3">
        <v>40389</v>
      </c>
      <c r="C3865">
        <v>147.71</v>
      </c>
      <c r="D3865">
        <v>1.3051999999999999</v>
      </c>
      <c r="E3865">
        <v>78.180000000000007</v>
      </c>
      <c r="F3865">
        <v>331.15</v>
      </c>
      <c r="K3865" s="3"/>
      <c r="O3865" s="3"/>
    </row>
    <row r="3866" spans="1:15">
      <c r="A3866" s="3">
        <v>40390</v>
      </c>
      <c r="B3866" s="3">
        <v>40390</v>
      </c>
      <c r="C3866">
        <v>147.71</v>
      </c>
      <c r="D3866">
        <v>1.3051999999999999</v>
      </c>
      <c r="E3866">
        <v>78.180000000000007</v>
      </c>
      <c r="F3866">
        <v>331.15</v>
      </c>
      <c r="K3866" s="3"/>
      <c r="O3866" s="3"/>
    </row>
    <row r="3867" spans="1:15">
      <c r="A3867" s="3">
        <v>40391</v>
      </c>
      <c r="B3867" s="3">
        <v>40391</v>
      </c>
      <c r="C3867">
        <v>147.71</v>
      </c>
      <c r="D3867">
        <v>1.3051999999999999</v>
      </c>
      <c r="E3867">
        <v>78.180000000000007</v>
      </c>
      <c r="F3867">
        <v>331.15</v>
      </c>
      <c r="K3867" s="3"/>
      <c r="O3867" s="3"/>
    </row>
    <row r="3868" spans="1:15">
      <c r="A3868" s="3">
        <v>40392</v>
      </c>
      <c r="B3868" s="3">
        <v>40392</v>
      </c>
      <c r="C3868">
        <v>147.79</v>
      </c>
      <c r="D3868">
        <v>1.3179000000000001</v>
      </c>
      <c r="E3868">
        <v>80.819999999999993</v>
      </c>
      <c r="F3868">
        <v>338.95</v>
      </c>
      <c r="K3868" s="3"/>
      <c r="O3868" s="3"/>
    </row>
    <row r="3869" spans="1:15">
      <c r="A3869" s="3">
        <v>40393</v>
      </c>
      <c r="B3869" s="3">
        <v>40393</v>
      </c>
      <c r="C3869">
        <v>147.49</v>
      </c>
      <c r="D3869">
        <v>1.3230999999999999</v>
      </c>
      <c r="E3869">
        <v>82.68</v>
      </c>
      <c r="F3869">
        <v>335.85</v>
      </c>
      <c r="K3869" s="3"/>
      <c r="O3869" s="3"/>
    </row>
    <row r="3870" spans="1:15">
      <c r="A3870" s="3">
        <v>40394</v>
      </c>
      <c r="B3870" s="3">
        <v>40394</v>
      </c>
      <c r="C3870">
        <v>147.49</v>
      </c>
      <c r="D3870">
        <v>1.3161</v>
      </c>
      <c r="E3870">
        <v>82.2</v>
      </c>
      <c r="F3870">
        <v>340.45</v>
      </c>
      <c r="K3870" s="3"/>
      <c r="O3870" s="3"/>
    </row>
    <row r="3871" spans="1:15">
      <c r="A3871" s="3">
        <v>40395</v>
      </c>
      <c r="B3871" s="3">
        <v>40395</v>
      </c>
      <c r="C3871">
        <v>147.33000000000001</v>
      </c>
      <c r="D3871">
        <v>1.3189</v>
      </c>
      <c r="E3871">
        <v>81.61</v>
      </c>
      <c r="F3871">
        <v>335.35</v>
      </c>
      <c r="K3871" s="3"/>
      <c r="O3871" s="3"/>
    </row>
    <row r="3872" spans="1:15">
      <c r="A3872" s="3">
        <v>40396</v>
      </c>
      <c r="B3872" s="3">
        <v>40396</v>
      </c>
      <c r="C3872">
        <v>147.29</v>
      </c>
      <c r="D3872">
        <v>1.3280000000000001</v>
      </c>
      <c r="E3872">
        <v>80.16</v>
      </c>
      <c r="F3872">
        <v>334.3</v>
      </c>
      <c r="K3872" s="3"/>
      <c r="O3872" s="3"/>
    </row>
    <row r="3873" spans="1:15">
      <c r="A3873" s="3">
        <v>40397</v>
      </c>
      <c r="B3873" s="3">
        <v>40397</v>
      </c>
      <c r="C3873">
        <v>147.29</v>
      </c>
      <c r="D3873">
        <v>1.3280000000000001</v>
      </c>
      <c r="E3873">
        <v>80.16</v>
      </c>
      <c r="F3873">
        <v>334.3</v>
      </c>
      <c r="K3873" s="3"/>
      <c r="O3873" s="3"/>
    </row>
    <row r="3874" spans="1:15">
      <c r="A3874" s="3">
        <v>40398</v>
      </c>
      <c r="B3874" s="3">
        <v>40398</v>
      </c>
      <c r="C3874">
        <v>147.29</v>
      </c>
      <c r="D3874">
        <v>1.3280000000000001</v>
      </c>
      <c r="E3874">
        <v>80.16</v>
      </c>
      <c r="F3874">
        <v>334.3</v>
      </c>
      <c r="K3874" s="3"/>
      <c r="O3874" s="3"/>
    </row>
    <row r="3875" spans="1:15">
      <c r="A3875" s="3">
        <v>40399</v>
      </c>
      <c r="B3875" s="3">
        <v>40399</v>
      </c>
      <c r="C3875">
        <v>147.24</v>
      </c>
      <c r="D3875">
        <v>1.3222</v>
      </c>
      <c r="E3875">
        <v>80.989999999999995</v>
      </c>
      <c r="F3875">
        <v>335.4</v>
      </c>
      <c r="K3875" s="3"/>
      <c r="O3875" s="3"/>
    </row>
    <row r="3876" spans="1:15">
      <c r="A3876" s="3">
        <v>40400</v>
      </c>
      <c r="B3876" s="3">
        <v>40400</v>
      </c>
      <c r="C3876">
        <v>147.32</v>
      </c>
      <c r="D3876">
        <v>1.3177000000000001</v>
      </c>
      <c r="E3876">
        <v>79.599999999999994</v>
      </c>
      <c r="F3876">
        <v>331.25</v>
      </c>
      <c r="K3876" s="3"/>
      <c r="O3876" s="3"/>
    </row>
    <row r="3877" spans="1:15">
      <c r="A3877" s="3">
        <v>40401</v>
      </c>
      <c r="B3877" s="3">
        <v>40401</v>
      </c>
      <c r="C3877">
        <v>147.53</v>
      </c>
      <c r="D3877">
        <v>1.2863</v>
      </c>
      <c r="E3877">
        <v>77.64</v>
      </c>
      <c r="F3877">
        <v>325.39999999999998</v>
      </c>
      <c r="K3877" s="3"/>
      <c r="O3877" s="3"/>
    </row>
    <row r="3878" spans="1:15">
      <c r="A3878" s="3">
        <v>40402</v>
      </c>
      <c r="B3878" s="3">
        <v>40402</v>
      </c>
      <c r="C3878">
        <v>147.65</v>
      </c>
      <c r="D3878">
        <v>1.2828999999999999</v>
      </c>
      <c r="E3878">
        <v>75.52</v>
      </c>
      <c r="F3878">
        <v>328.4</v>
      </c>
      <c r="K3878" s="3"/>
      <c r="O3878" s="3"/>
    </row>
    <row r="3879" spans="1:15">
      <c r="A3879" s="3">
        <v>40403</v>
      </c>
      <c r="B3879" s="3">
        <v>40403</v>
      </c>
      <c r="C3879">
        <v>147.35</v>
      </c>
      <c r="D3879">
        <v>1.2754000000000001</v>
      </c>
      <c r="E3879">
        <v>75.11</v>
      </c>
      <c r="F3879">
        <v>325.2</v>
      </c>
      <c r="K3879" s="3"/>
      <c r="O3879" s="3"/>
    </row>
    <row r="3880" spans="1:15">
      <c r="A3880" s="3">
        <v>40404</v>
      </c>
      <c r="B3880" s="3">
        <v>40404</v>
      </c>
      <c r="C3880">
        <v>147.35</v>
      </c>
      <c r="D3880">
        <v>1.2754000000000001</v>
      </c>
      <c r="E3880">
        <v>75.11</v>
      </c>
      <c r="F3880">
        <v>325.2</v>
      </c>
      <c r="K3880" s="3"/>
      <c r="O3880" s="3"/>
    </row>
    <row r="3881" spans="1:15">
      <c r="A3881" s="3">
        <v>40405</v>
      </c>
      <c r="B3881" s="3">
        <v>40405</v>
      </c>
      <c r="C3881">
        <v>147.35</v>
      </c>
      <c r="D3881">
        <v>1.2754000000000001</v>
      </c>
      <c r="E3881">
        <v>75.11</v>
      </c>
      <c r="F3881">
        <v>325.2</v>
      </c>
      <c r="K3881" s="3"/>
      <c r="O3881" s="3"/>
    </row>
    <row r="3882" spans="1:15">
      <c r="A3882" s="3">
        <v>40406</v>
      </c>
      <c r="B3882" s="3">
        <v>40406</v>
      </c>
      <c r="C3882">
        <v>147.34</v>
      </c>
      <c r="D3882">
        <v>1.2827</v>
      </c>
      <c r="E3882">
        <v>74.849999999999994</v>
      </c>
      <c r="F3882">
        <v>327.95</v>
      </c>
      <c r="K3882" s="3"/>
      <c r="O3882" s="3"/>
    </row>
    <row r="3883" spans="1:15">
      <c r="A3883" s="3">
        <v>40407</v>
      </c>
      <c r="B3883" s="3">
        <v>40407</v>
      </c>
      <c r="C3883">
        <v>147.25</v>
      </c>
      <c r="D3883">
        <v>1.2885</v>
      </c>
      <c r="E3883">
        <v>76.930000000000007</v>
      </c>
      <c r="F3883">
        <v>333.85</v>
      </c>
      <c r="K3883" s="3"/>
      <c r="O3883" s="3"/>
    </row>
    <row r="3884" spans="1:15">
      <c r="A3884" s="3">
        <v>40408</v>
      </c>
      <c r="B3884" s="3">
        <v>40408</v>
      </c>
      <c r="C3884">
        <v>147.22999999999999</v>
      </c>
      <c r="D3884">
        <v>1.2853000000000001</v>
      </c>
      <c r="E3884">
        <v>76.47</v>
      </c>
      <c r="F3884">
        <v>334.95</v>
      </c>
      <c r="K3884" s="3"/>
      <c r="O3884" s="3"/>
    </row>
    <row r="3885" spans="1:15">
      <c r="A3885" s="3">
        <v>40409</v>
      </c>
      <c r="B3885" s="3">
        <v>40409</v>
      </c>
      <c r="C3885">
        <v>147.16</v>
      </c>
      <c r="D3885">
        <v>1.2823</v>
      </c>
      <c r="E3885">
        <v>75.3</v>
      </c>
      <c r="F3885">
        <v>331.85</v>
      </c>
      <c r="K3885" s="3"/>
      <c r="O3885" s="3"/>
    </row>
    <row r="3886" spans="1:15">
      <c r="A3886" s="3">
        <v>40410</v>
      </c>
      <c r="B3886" s="3">
        <v>40410</v>
      </c>
      <c r="C3886">
        <v>147.15</v>
      </c>
      <c r="D3886">
        <v>1.2712000000000001</v>
      </c>
      <c r="E3886">
        <v>74.260000000000005</v>
      </c>
      <c r="F3886">
        <v>329.1</v>
      </c>
      <c r="K3886" s="3"/>
      <c r="O3886" s="3"/>
    </row>
    <row r="3887" spans="1:15">
      <c r="A3887" s="3">
        <v>40411</v>
      </c>
      <c r="B3887" s="3">
        <v>40411</v>
      </c>
      <c r="C3887">
        <v>147.15</v>
      </c>
      <c r="D3887">
        <v>1.2712000000000001</v>
      </c>
      <c r="E3887">
        <v>74.260000000000005</v>
      </c>
      <c r="F3887">
        <v>329.1</v>
      </c>
      <c r="K3887" s="3"/>
      <c r="O3887" s="3"/>
    </row>
    <row r="3888" spans="1:15">
      <c r="A3888" s="3">
        <v>40412</v>
      </c>
      <c r="B3888" s="3">
        <v>40412</v>
      </c>
      <c r="C3888">
        <v>147.15</v>
      </c>
      <c r="D3888">
        <v>1.2712000000000001</v>
      </c>
      <c r="E3888">
        <v>74.260000000000005</v>
      </c>
      <c r="F3888">
        <v>329.1</v>
      </c>
      <c r="K3888" s="3"/>
      <c r="O3888" s="3"/>
    </row>
    <row r="3889" spans="1:15">
      <c r="A3889" s="3">
        <v>40413</v>
      </c>
      <c r="B3889" s="3">
        <v>40413</v>
      </c>
      <c r="C3889">
        <v>147.18</v>
      </c>
      <c r="D3889">
        <v>1.2657</v>
      </c>
      <c r="E3889">
        <v>73.62</v>
      </c>
      <c r="F3889">
        <v>329.15</v>
      </c>
      <c r="K3889" s="3"/>
      <c r="O3889" s="3"/>
    </row>
    <row r="3890" spans="1:15">
      <c r="A3890" s="3">
        <v>40414</v>
      </c>
      <c r="B3890" s="3">
        <v>40414</v>
      </c>
      <c r="C3890">
        <v>147.19</v>
      </c>
      <c r="D3890">
        <v>1.2626999999999999</v>
      </c>
      <c r="E3890">
        <v>72.38</v>
      </c>
      <c r="F3890">
        <v>324.10000000000002</v>
      </c>
      <c r="K3890" s="3"/>
      <c r="O3890" s="3"/>
    </row>
    <row r="3891" spans="1:15">
      <c r="A3891" s="3">
        <v>40415</v>
      </c>
      <c r="B3891" s="3">
        <v>40415</v>
      </c>
      <c r="C3891">
        <v>147.22</v>
      </c>
      <c r="D3891">
        <v>1.2659</v>
      </c>
      <c r="E3891">
        <v>73.48</v>
      </c>
      <c r="F3891">
        <v>321.10000000000002</v>
      </c>
      <c r="K3891" s="3"/>
      <c r="O3891" s="3"/>
    </row>
    <row r="3892" spans="1:15">
      <c r="A3892" s="3">
        <v>40416</v>
      </c>
      <c r="B3892" s="3">
        <v>40416</v>
      </c>
      <c r="C3892">
        <v>147.22</v>
      </c>
      <c r="D3892">
        <v>1.2716000000000001</v>
      </c>
      <c r="E3892">
        <v>75.02</v>
      </c>
      <c r="F3892">
        <v>330.45</v>
      </c>
      <c r="K3892" s="3"/>
      <c r="O3892" s="3"/>
    </row>
    <row r="3893" spans="1:15">
      <c r="A3893" s="3">
        <v>40417</v>
      </c>
      <c r="B3893" s="3">
        <v>40417</v>
      </c>
      <c r="C3893">
        <v>147.22</v>
      </c>
      <c r="D3893">
        <v>1.2763</v>
      </c>
      <c r="E3893">
        <v>76.650000000000006</v>
      </c>
      <c r="F3893">
        <v>336.3</v>
      </c>
      <c r="K3893" s="3"/>
      <c r="O3893" s="3"/>
    </row>
    <row r="3894" spans="1:15">
      <c r="A3894" s="3">
        <v>40418</v>
      </c>
      <c r="B3894" s="3">
        <v>40418</v>
      </c>
      <c r="C3894">
        <v>147.22</v>
      </c>
      <c r="D3894">
        <v>1.2763</v>
      </c>
      <c r="E3894">
        <v>76.650000000000006</v>
      </c>
      <c r="F3894">
        <v>336.3</v>
      </c>
      <c r="K3894" s="3"/>
      <c r="O3894" s="3"/>
    </row>
    <row r="3895" spans="1:15">
      <c r="A3895" s="3">
        <v>40419</v>
      </c>
      <c r="B3895" s="3">
        <v>40419</v>
      </c>
      <c r="C3895">
        <v>147.22</v>
      </c>
      <c r="D3895">
        <v>1.2763</v>
      </c>
      <c r="E3895">
        <v>76.650000000000006</v>
      </c>
      <c r="F3895">
        <v>336.3</v>
      </c>
      <c r="K3895" s="3"/>
      <c r="O3895" s="3"/>
    </row>
    <row r="3896" spans="1:15">
      <c r="A3896" s="3">
        <v>40420</v>
      </c>
      <c r="B3896" s="3">
        <v>40420</v>
      </c>
      <c r="C3896">
        <v>147.22</v>
      </c>
      <c r="D3896">
        <v>1.2663</v>
      </c>
      <c r="E3896">
        <v>76.599999999999994</v>
      </c>
      <c r="F3896">
        <v>341.3</v>
      </c>
      <c r="K3896" s="3"/>
      <c r="O3896" s="3"/>
    </row>
    <row r="3897" spans="1:15">
      <c r="A3897" s="3">
        <v>40421</v>
      </c>
      <c r="B3897" s="3">
        <v>40421</v>
      </c>
      <c r="C3897">
        <v>147.29</v>
      </c>
      <c r="D3897">
        <v>1.268</v>
      </c>
      <c r="E3897">
        <v>74.64</v>
      </c>
      <c r="F3897">
        <v>336.1</v>
      </c>
      <c r="K3897" s="3"/>
      <c r="O3897" s="3"/>
    </row>
    <row r="3898" spans="1:15">
      <c r="A3898" s="3">
        <v>40422</v>
      </c>
      <c r="B3898" s="3">
        <v>40422</v>
      </c>
      <c r="C3898">
        <v>147.19999999999999</v>
      </c>
      <c r="D3898">
        <v>1.2808999999999999</v>
      </c>
      <c r="E3898">
        <v>76.349999999999994</v>
      </c>
      <c r="F3898">
        <v>346.85</v>
      </c>
      <c r="K3898" s="3"/>
      <c r="O3898" s="3"/>
    </row>
    <row r="3899" spans="1:15">
      <c r="A3899" s="3">
        <v>40423</v>
      </c>
      <c r="B3899" s="3">
        <v>40423</v>
      </c>
      <c r="C3899">
        <v>147.25</v>
      </c>
      <c r="D3899">
        <v>1.2826</v>
      </c>
      <c r="E3899">
        <v>76.930000000000007</v>
      </c>
      <c r="F3899">
        <v>348.8</v>
      </c>
      <c r="K3899" s="3"/>
      <c r="O3899" s="3"/>
    </row>
    <row r="3900" spans="1:15">
      <c r="A3900" s="3">
        <v>40424</v>
      </c>
      <c r="B3900" s="3">
        <v>40424</v>
      </c>
      <c r="C3900">
        <v>147.29</v>
      </c>
      <c r="D3900">
        <v>1.2896000000000001</v>
      </c>
      <c r="E3900">
        <v>76.67</v>
      </c>
      <c r="F3900">
        <v>349.35</v>
      </c>
      <c r="K3900" s="3"/>
      <c r="O3900" s="3"/>
    </row>
    <row r="3901" spans="1:15">
      <c r="A3901" s="3">
        <v>40425</v>
      </c>
      <c r="B3901" s="3">
        <v>40425</v>
      </c>
      <c r="C3901">
        <v>147.29</v>
      </c>
      <c r="D3901">
        <v>1.2896000000000001</v>
      </c>
      <c r="E3901">
        <v>76.67</v>
      </c>
      <c r="F3901">
        <v>349.35</v>
      </c>
      <c r="K3901" s="3"/>
      <c r="O3901" s="3"/>
    </row>
    <row r="3902" spans="1:15">
      <c r="A3902" s="3">
        <v>40426</v>
      </c>
      <c r="B3902" s="3">
        <v>40426</v>
      </c>
      <c r="C3902">
        <v>147.29</v>
      </c>
      <c r="D3902">
        <v>1.2896000000000001</v>
      </c>
      <c r="E3902">
        <v>76.67</v>
      </c>
      <c r="F3902">
        <v>349.35</v>
      </c>
      <c r="K3902" s="3"/>
      <c r="O3902" s="3"/>
    </row>
    <row r="3903" spans="1:15">
      <c r="A3903" s="3">
        <v>40427</v>
      </c>
      <c r="B3903" s="3">
        <v>40427</v>
      </c>
      <c r="C3903">
        <v>147.28</v>
      </c>
      <c r="D3903">
        <v>1.2876000000000001</v>
      </c>
      <c r="E3903">
        <v>76.87</v>
      </c>
      <c r="F3903">
        <v>349.35</v>
      </c>
      <c r="K3903" s="3"/>
      <c r="O3903" s="3"/>
    </row>
    <row r="3904" spans="1:15">
      <c r="A3904" s="3">
        <v>40428</v>
      </c>
      <c r="B3904" s="3">
        <v>40428</v>
      </c>
      <c r="C3904">
        <v>147.36000000000001</v>
      </c>
      <c r="D3904">
        <v>1.2682</v>
      </c>
      <c r="E3904">
        <v>77.739999999999995</v>
      </c>
      <c r="F3904">
        <v>346.35</v>
      </c>
      <c r="K3904" s="3"/>
      <c r="O3904" s="3"/>
    </row>
    <row r="3905" spans="1:15">
      <c r="A3905" s="3">
        <v>40429</v>
      </c>
      <c r="B3905" s="3">
        <v>40429</v>
      </c>
      <c r="C3905">
        <v>147.47999999999999</v>
      </c>
      <c r="D3905">
        <v>1.272</v>
      </c>
      <c r="E3905">
        <v>78.17</v>
      </c>
      <c r="F3905">
        <v>349.05</v>
      </c>
      <c r="K3905" s="3"/>
      <c r="O3905" s="3"/>
    </row>
    <row r="3906" spans="1:15">
      <c r="A3906" s="3">
        <v>40430</v>
      </c>
      <c r="B3906" s="3">
        <v>40430</v>
      </c>
      <c r="C3906">
        <v>147.44999999999999</v>
      </c>
      <c r="D3906">
        <v>1.2696000000000001</v>
      </c>
      <c r="E3906">
        <v>77.47</v>
      </c>
      <c r="F3906">
        <v>343.35</v>
      </c>
      <c r="K3906" s="3"/>
      <c r="O3906" s="3"/>
    </row>
    <row r="3907" spans="1:15">
      <c r="A3907" s="3">
        <v>40431</v>
      </c>
      <c r="B3907" s="3">
        <v>40431</v>
      </c>
      <c r="C3907">
        <v>147.38</v>
      </c>
      <c r="D3907">
        <v>1.2679</v>
      </c>
      <c r="E3907">
        <v>78.16</v>
      </c>
      <c r="F3907">
        <v>339.7</v>
      </c>
      <c r="K3907" s="3"/>
      <c r="O3907" s="3"/>
    </row>
    <row r="3908" spans="1:15">
      <c r="A3908" s="3">
        <v>40432</v>
      </c>
      <c r="B3908" s="3">
        <v>40432</v>
      </c>
      <c r="C3908">
        <v>147.38</v>
      </c>
      <c r="D3908">
        <v>1.2679</v>
      </c>
      <c r="E3908">
        <v>78.16</v>
      </c>
      <c r="F3908">
        <v>339.7</v>
      </c>
      <c r="K3908" s="3"/>
      <c r="O3908" s="3"/>
    </row>
    <row r="3909" spans="1:15">
      <c r="A3909" s="3">
        <v>40433</v>
      </c>
      <c r="B3909" s="3">
        <v>40433</v>
      </c>
      <c r="C3909">
        <v>147.38</v>
      </c>
      <c r="D3909">
        <v>1.2679</v>
      </c>
      <c r="E3909">
        <v>78.16</v>
      </c>
      <c r="F3909">
        <v>339.7</v>
      </c>
      <c r="K3909" s="3"/>
      <c r="O3909" s="3"/>
    </row>
    <row r="3910" spans="1:15">
      <c r="A3910" s="3">
        <v>40434</v>
      </c>
      <c r="B3910" s="3">
        <v>40434</v>
      </c>
      <c r="C3910">
        <v>147.25</v>
      </c>
      <c r="D3910">
        <v>1.2883</v>
      </c>
      <c r="E3910">
        <v>79.03</v>
      </c>
      <c r="F3910">
        <v>347.15</v>
      </c>
      <c r="K3910" s="3"/>
      <c r="O3910" s="3"/>
    </row>
    <row r="3911" spans="1:15">
      <c r="A3911" s="3">
        <v>40435</v>
      </c>
      <c r="B3911" s="3">
        <v>40435</v>
      </c>
      <c r="C3911">
        <v>147.19</v>
      </c>
      <c r="D3911">
        <v>1.2998000000000001</v>
      </c>
      <c r="E3911">
        <v>79.16</v>
      </c>
      <c r="F3911">
        <v>345.95</v>
      </c>
      <c r="K3911" s="3"/>
      <c r="O3911" s="3"/>
    </row>
    <row r="3912" spans="1:15">
      <c r="A3912" s="3">
        <v>40436</v>
      </c>
      <c r="B3912" s="3">
        <v>40436</v>
      </c>
      <c r="C3912">
        <v>147.26</v>
      </c>
      <c r="D3912">
        <v>1.3010999999999999</v>
      </c>
      <c r="E3912">
        <v>78.91</v>
      </c>
      <c r="F3912">
        <v>345.8</v>
      </c>
      <c r="K3912" s="3"/>
      <c r="O3912" s="3"/>
    </row>
    <row r="3913" spans="1:15">
      <c r="A3913" s="3">
        <v>40437</v>
      </c>
      <c r="B3913" s="3">
        <v>40437</v>
      </c>
      <c r="C3913">
        <v>147.32</v>
      </c>
      <c r="D3913">
        <v>1.3078000000000001</v>
      </c>
      <c r="E3913">
        <v>78.48</v>
      </c>
      <c r="F3913">
        <v>348.3</v>
      </c>
      <c r="K3913" s="3"/>
      <c r="O3913" s="3"/>
    </row>
    <row r="3914" spans="1:15">
      <c r="A3914" s="3">
        <v>40438</v>
      </c>
      <c r="B3914" s="3">
        <v>40438</v>
      </c>
      <c r="C3914">
        <v>147.43</v>
      </c>
      <c r="D3914">
        <v>1.3049999999999999</v>
      </c>
      <c r="E3914">
        <v>78.209999999999994</v>
      </c>
      <c r="F3914">
        <v>351.35</v>
      </c>
      <c r="K3914" s="3"/>
      <c r="O3914" s="3"/>
    </row>
    <row r="3915" spans="1:15">
      <c r="A3915" s="3">
        <v>40439</v>
      </c>
      <c r="B3915" s="3">
        <v>40439</v>
      </c>
      <c r="C3915">
        <v>147.43</v>
      </c>
      <c r="D3915">
        <v>1.3049999999999999</v>
      </c>
      <c r="E3915">
        <v>78.209999999999994</v>
      </c>
      <c r="F3915">
        <v>351.35</v>
      </c>
      <c r="K3915" s="3"/>
      <c r="O3915" s="3"/>
    </row>
    <row r="3916" spans="1:15">
      <c r="A3916" s="3">
        <v>40440</v>
      </c>
      <c r="B3916" s="3">
        <v>40440</v>
      </c>
      <c r="C3916">
        <v>147.43</v>
      </c>
      <c r="D3916">
        <v>1.3049999999999999</v>
      </c>
      <c r="E3916">
        <v>78.209999999999994</v>
      </c>
      <c r="F3916">
        <v>351.35</v>
      </c>
      <c r="K3916" s="3"/>
      <c r="O3916" s="3"/>
    </row>
    <row r="3917" spans="1:15">
      <c r="A3917" s="3">
        <v>40441</v>
      </c>
      <c r="B3917" s="3">
        <v>40441</v>
      </c>
      <c r="C3917">
        <v>147.52000000000001</v>
      </c>
      <c r="D3917">
        <v>1.3061</v>
      </c>
      <c r="E3917">
        <v>79.319999999999993</v>
      </c>
      <c r="F3917">
        <v>349.6</v>
      </c>
      <c r="K3917" s="3"/>
      <c r="O3917" s="3"/>
    </row>
    <row r="3918" spans="1:15">
      <c r="A3918" s="3">
        <v>40442</v>
      </c>
      <c r="B3918" s="3">
        <v>40442</v>
      </c>
      <c r="C3918">
        <v>147.38</v>
      </c>
      <c r="D3918">
        <v>1.3264</v>
      </c>
      <c r="E3918">
        <v>78.42</v>
      </c>
      <c r="F3918">
        <v>347.45</v>
      </c>
      <c r="K3918" s="3"/>
      <c r="O3918" s="3"/>
    </row>
    <row r="3919" spans="1:15">
      <c r="A3919" s="3">
        <v>40443</v>
      </c>
      <c r="B3919" s="3">
        <v>40443</v>
      </c>
      <c r="C3919">
        <v>147.47999999999999</v>
      </c>
      <c r="D3919">
        <v>1.3406</v>
      </c>
      <c r="E3919">
        <v>77.95</v>
      </c>
      <c r="F3919">
        <v>355.85</v>
      </c>
      <c r="K3919" s="3"/>
      <c r="O3919" s="3"/>
    </row>
    <row r="3920" spans="1:15">
      <c r="A3920" s="3">
        <v>40444</v>
      </c>
      <c r="B3920" s="3">
        <v>40444</v>
      </c>
      <c r="C3920">
        <v>147.5</v>
      </c>
      <c r="D3920">
        <v>1.3313999999999999</v>
      </c>
      <c r="E3920">
        <v>78.11</v>
      </c>
      <c r="F3920">
        <v>358.5</v>
      </c>
      <c r="K3920" s="3"/>
      <c r="O3920" s="3"/>
    </row>
    <row r="3921" spans="1:15">
      <c r="A3921" s="3">
        <v>40445</v>
      </c>
      <c r="B3921" s="3">
        <v>40445</v>
      </c>
      <c r="C3921">
        <v>147.56</v>
      </c>
      <c r="D3921">
        <v>1.3492</v>
      </c>
      <c r="E3921">
        <v>78.87</v>
      </c>
      <c r="F3921">
        <v>361.35</v>
      </c>
      <c r="K3921" s="3"/>
      <c r="O3921" s="3"/>
    </row>
    <row r="3922" spans="1:15">
      <c r="A3922" s="3">
        <v>40446</v>
      </c>
      <c r="B3922" s="3">
        <v>40446</v>
      </c>
      <c r="C3922">
        <v>147.56</v>
      </c>
      <c r="D3922">
        <v>1.3492</v>
      </c>
      <c r="E3922">
        <v>78.87</v>
      </c>
      <c r="F3922">
        <v>361.35</v>
      </c>
      <c r="K3922" s="3"/>
      <c r="O3922" s="3"/>
    </row>
    <row r="3923" spans="1:15">
      <c r="A3923" s="3">
        <v>40447</v>
      </c>
      <c r="B3923" s="3">
        <v>40447</v>
      </c>
      <c r="C3923">
        <v>147.56</v>
      </c>
      <c r="D3923">
        <v>1.3492</v>
      </c>
      <c r="E3923">
        <v>78.87</v>
      </c>
      <c r="F3923">
        <v>361.35</v>
      </c>
      <c r="K3923" s="3"/>
      <c r="O3923" s="3"/>
    </row>
    <row r="3924" spans="1:15">
      <c r="A3924" s="3">
        <v>40448</v>
      </c>
      <c r="B3924" s="3">
        <v>40448</v>
      </c>
      <c r="C3924">
        <v>147.55000000000001</v>
      </c>
      <c r="D3924">
        <v>1.3454999999999999</v>
      </c>
      <c r="E3924">
        <v>78.569999999999993</v>
      </c>
      <c r="F3924">
        <v>359.35</v>
      </c>
      <c r="K3924" s="3"/>
      <c r="O3924" s="3"/>
    </row>
    <row r="3925" spans="1:15">
      <c r="A3925" s="3">
        <v>40449</v>
      </c>
      <c r="B3925" s="3">
        <v>40449</v>
      </c>
      <c r="C3925">
        <v>147.44</v>
      </c>
      <c r="D3925">
        <v>1.3585</v>
      </c>
      <c r="E3925">
        <v>78.709999999999994</v>
      </c>
      <c r="F3925">
        <v>363.4</v>
      </c>
      <c r="K3925" s="3"/>
      <c r="O3925" s="3"/>
    </row>
    <row r="3926" spans="1:15">
      <c r="A3926" s="3">
        <v>40450</v>
      </c>
      <c r="B3926" s="3">
        <v>40450</v>
      </c>
      <c r="C3926">
        <v>147.47</v>
      </c>
      <c r="D3926">
        <v>1.3627</v>
      </c>
      <c r="E3926">
        <v>80.77</v>
      </c>
      <c r="F3926">
        <v>366.15</v>
      </c>
      <c r="K3926" s="3"/>
      <c r="O3926" s="3"/>
    </row>
    <row r="3927" spans="1:15">
      <c r="A3927" s="3">
        <v>40451</v>
      </c>
      <c r="B3927" s="3">
        <v>40451</v>
      </c>
      <c r="C3927">
        <v>147.68</v>
      </c>
      <c r="D3927">
        <v>1.3633999999999999</v>
      </c>
      <c r="E3927">
        <v>82.31</v>
      </c>
      <c r="F3927">
        <v>365.15</v>
      </c>
      <c r="K3927" s="3"/>
      <c r="O3927" s="3"/>
    </row>
    <row r="3928" spans="1:15">
      <c r="A3928" s="3">
        <v>40452</v>
      </c>
      <c r="B3928" s="3">
        <v>40452</v>
      </c>
      <c r="C3928">
        <v>147.6</v>
      </c>
      <c r="D3928">
        <v>1.3791</v>
      </c>
      <c r="E3928">
        <v>83.75</v>
      </c>
      <c r="F3928">
        <v>369.05</v>
      </c>
      <c r="K3928" s="3"/>
      <c r="O3928" s="3"/>
    </row>
    <row r="3929" spans="1:15">
      <c r="A3929" s="3">
        <v>40453</v>
      </c>
      <c r="B3929" s="3">
        <v>40453</v>
      </c>
      <c r="C3929">
        <v>147.6</v>
      </c>
      <c r="D3929">
        <v>1.3791</v>
      </c>
      <c r="E3929">
        <v>83.75</v>
      </c>
      <c r="F3929">
        <v>369.05</v>
      </c>
      <c r="K3929" s="3"/>
      <c r="O3929" s="3"/>
    </row>
    <row r="3930" spans="1:15">
      <c r="A3930" s="3">
        <v>40454</v>
      </c>
      <c r="B3930" s="3">
        <v>40454</v>
      </c>
      <c r="C3930">
        <v>147.6</v>
      </c>
      <c r="D3930">
        <v>1.3791</v>
      </c>
      <c r="E3930">
        <v>83.75</v>
      </c>
      <c r="F3930">
        <v>369.05</v>
      </c>
      <c r="K3930" s="3"/>
      <c r="O3930" s="3"/>
    </row>
    <row r="3931" spans="1:15">
      <c r="A3931" s="3">
        <v>40455</v>
      </c>
      <c r="B3931" s="3">
        <v>40455</v>
      </c>
      <c r="C3931">
        <v>147.51</v>
      </c>
      <c r="D3931">
        <v>1.3685</v>
      </c>
      <c r="E3931">
        <v>83.28</v>
      </c>
      <c r="F3931">
        <v>366.4</v>
      </c>
      <c r="K3931" s="3"/>
      <c r="O3931" s="3"/>
    </row>
    <row r="3932" spans="1:15">
      <c r="A3932" s="3">
        <v>40456</v>
      </c>
      <c r="B3932" s="3">
        <v>40456</v>
      </c>
      <c r="C3932">
        <v>147.51</v>
      </c>
      <c r="D3932">
        <v>1.3838999999999999</v>
      </c>
      <c r="E3932">
        <v>84.84</v>
      </c>
      <c r="F3932">
        <v>372.65</v>
      </c>
      <c r="K3932" s="3"/>
      <c r="O3932" s="3"/>
    </row>
    <row r="3933" spans="1:15">
      <c r="A3933" s="3">
        <v>40457</v>
      </c>
      <c r="B3933" s="3">
        <v>40457</v>
      </c>
      <c r="C3933">
        <v>147.43</v>
      </c>
      <c r="D3933">
        <v>1.393</v>
      </c>
      <c r="E3933">
        <v>85.06</v>
      </c>
      <c r="F3933">
        <v>375.3</v>
      </c>
      <c r="K3933" s="3"/>
      <c r="O3933" s="3"/>
    </row>
    <row r="3934" spans="1:15">
      <c r="A3934" s="3">
        <v>40458</v>
      </c>
      <c r="B3934" s="3">
        <v>40458</v>
      </c>
      <c r="C3934">
        <v>147.52000000000001</v>
      </c>
      <c r="D3934">
        <v>1.3926000000000001</v>
      </c>
      <c r="E3934">
        <v>83.43</v>
      </c>
      <c r="F3934">
        <v>367.95</v>
      </c>
      <c r="K3934" s="3"/>
      <c r="O3934" s="3"/>
    </row>
    <row r="3935" spans="1:15">
      <c r="A3935" s="3">
        <v>40459</v>
      </c>
      <c r="B3935" s="3">
        <v>40459</v>
      </c>
      <c r="C3935">
        <v>147.57</v>
      </c>
      <c r="D3935">
        <v>1.3938999999999999</v>
      </c>
      <c r="E3935">
        <v>84.03</v>
      </c>
      <c r="F3935">
        <v>377.45</v>
      </c>
      <c r="K3935" s="3"/>
      <c r="O3935" s="3"/>
    </row>
    <row r="3936" spans="1:15">
      <c r="A3936" s="3">
        <v>40460</v>
      </c>
      <c r="B3936" s="3">
        <v>40460</v>
      </c>
      <c r="C3936">
        <v>147.57</v>
      </c>
      <c r="D3936">
        <v>1.3938999999999999</v>
      </c>
      <c r="E3936">
        <v>84.03</v>
      </c>
      <c r="F3936">
        <v>377.45</v>
      </c>
      <c r="K3936" s="3"/>
      <c r="O3936" s="3"/>
    </row>
    <row r="3937" spans="1:15">
      <c r="A3937" s="3">
        <v>40461</v>
      </c>
      <c r="B3937" s="3">
        <v>40461</v>
      </c>
      <c r="C3937">
        <v>147.57</v>
      </c>
      <c r="D3937">
        <v>1.3938999999999999</v>
      </c>
      <c r="E3937">
        <v>84.03</v>
      </c>
      <c r="F3937">
        <v>377.45</v>
      </c>
      <c r="K3937" s="3"/>
      <c r="O3937" s="3"/>
    </row>
    <row r="3938" spans="1:15">
      <c r="A3938" s="3">
        <v>40462</v>
      </c>
      <c r="B3938" s="3">
        <v>40462</v>
      </c>
      <c r="C3938">
        <v>147.62</v>
      </c>
      <c r="D3938">
        <v>1.3875999999999999</v>
      </c>
      <c r="E3938">
        <v>83.72</v>
      </c>
      <c r="F3938">
        <v>378.95</v>
      </c>
      <c r="K3938" s="3"/>
      <c r="O3938" s="3"/>
    </row>
    <row r="3939" spans="1:15">
      <c r="A3939" s="3">
        <v>40463</v>
      </c>
      <c r="B3939" s="3">
        <v>40463</v>
      </c>
      <c r="C3939">
        <v>147.80000000000001</v>
      </c>
      <c r="D3939">
        <v>1.3925000000000001</v>
      </c>
      <c r="E3939">
        <v>83.5</v>
      </c>
      <c r="F3939">
        <v>378.95</v>
      </c>
      <c r="K3939" s="3"/>
      <c r="O3939" s="3"/>
    </row>
    <row r="3940" spans="1:15">
      <c r="A3940" s="3">
        <v>40464</v>
      </c>
      <c r="B3940" s="3">
        <v>40464</v>
      </c>
      <c r="C3940">
        <v>147.68</v>
      </c>
      <c r="D3940">
        <v>1.3960999999999999</v>
      </c>
      <c r="E3940">
        <v>84.64</v>
      </c>
      <c r="F3940">
        <v>382.05</v>
      </c>
      <c r="K3940" s="3"/>
      <c r="O3940" s="3"/>
    </row>
    <row r="3941" spans="1:15">
      <c r="A3941" s="3">
        <v>40465</v>
      </c>
      <c r="B3941" s="3">
        <v>40465</v>
      </c>
      <c r="C3941">
        <v>147.55000000000001</v>
      </c>
      <c r="D3941">
        <v>1.4084000000000001</v>
      </c>
      <c r="E3941">
        <v>84.53</v>
      </c>
      <c r="F3941">
        <v>381.55</v>
      </c>
      <c r="K3941" s="3"/>
      <c r="O3941" s="3"/>
    </row>
    <row r="3942" spans="1:15">
      <c r="A3942" s="3">
        <v>40466</v>
      </c>
      <c r="B3942" s="3">
        <v>40466</v>
      </c>
      <c r="C3942">
        <v>147.5</v>
      </c>
      <c r="D3942">
        <v>1.3976999999999999</v>
      </c>
      <c r="E3942">
        <v>82.45</v>
      </c>
      <c r="F3942">
        <v>383.9</v>
      </c>
      <c r="K3942" s="3"/>
      <c r="O3942" s="3"/>
    </row>
    <row r="3943" spans="1:15">
      <c r="A3943" s="3">
        <v>40467</v>
      </c>
      <c r="B3943" s="3">
        <v>40467</v>
      </c>
      <c r="C3943">
        <v>147.5</v>
      </c>
      <c r="D3943">
        <v>1.3976999999999999</v>
      </c>
      <c r="E3943">
        <v>82.45</v>
      </c>
      <c r="F3943">
        <v>383.9</v>
      </c>
      <c r="K3943" s="3"/>
      <c r="O3943" s="3"/>
    </row>
    <row r="3944" spans="1:15">
      <c r="A3944" s="3">
        <v>40468</v>
      </c>
      <c r="B3944" s="3">
        <v>40468</v>
      </c>
      <c r="C3944">
        <v>147.5</v>
      </c>
      <c r="D3944">
        <v>1.3976999999999999</v>
      </c>
      <c r="E3944">
        <v>82.45</v>
      </c>
      <c r="F3944">
        <v>383.9</v>
      </c>
      <c r="K3944" s="3"/>
      <c r="O3944" s="3"/>
    </row>
    <row r="3945" spans="1:15">
      <c r="A3945" s="3">
        <v>40469</v>
      </c>
      <c r="B3945" s="3">
        <v>40469</v>
      </c>
      <c r="C3945">
        <v>147.6</v>
      </c>
      <c r="D3945">
        <v>1.3934</v>
      </c>
      <c r="E3945">
        <v>84.37</v>
      </c>
      <c r="F3945">
        <v>385.5</v>
      </c>
      <c r="K3945" s="3"/>
      <c r="O3945" s="3"/>
    </row>
    <row r="3946" spans="1:15">
      <c r="A3946" s="3">
        <v>40470</v>
      </c>
      <c r="B3946" s="3">
        <v>40470</v>
      </c>
      <c r="C3946">
        <v>147.54</v>
      </c>
      <c r="D3946">
        <v>1.3727</v>
      </c>
      <c r="E3946">
        <v>81.099999999999994</v>
      </c>
      <c r="F3946">
        <v>375.75</v>
      </c>
      <c r="K3946" s="3"/>
      <c r="O3946" s="3"/>
    </row>
    <row r="3947" spans="1:15">
      <c r="A3947" s="3">
        <v>40471</v>
      </c>
      <c r="B3947" s="3">
        <v>40471</v>
      </c>
      <c r="C3947">
        <v>147.66</v>
      </c>
      <c r="D3947">
        <v>1.3964000000000001</v>
      </c>
      <c r="E3947">
        <v>83.6</v>
      </c>
      <c r="F3947">
        <v>379.35</v>
      </c>
      <c r="K3947" s="3"/>
      <c r="O3947" s="3"/>
    </row>
    <row r="3948" spans="1:15">
      <c r="A3948" s="3">
        <v>40472</v>
      </c>
      <c r="B3948" s="3">
        <v>40472</v>
      </c>
      <c r="C3948">
        <v>147.63999999999999</v>
      </c>
      <c r="D3948">
        <v>1.3919999999999999</v>
      </c>
      <c r="E3948">
        <v>81.83</v>
      </c>
      <c r="F3948">
        <v>378.15</v>
      </c>
      <c r="K3948" s="3"/>
      <c r="O3948" s="3"/>
    </row>
    <row r="3949" spans="1:15">
      <c r="A3949" s="3">
        <v>40473</v>
      </c>
      <c r="B3949" s="3">
        <v>40473</v>
      </c>
      <c r="C3949">
        <v>147.52000000000001</v>
      </c>
      <c r="D3949">
        <v>1.3954</v>
      </c>
      <c r="E3949">
        <v>82.96</v>
      </c>
      <c r="F3949">
        <v>379.7</v>
      </c>
      <c r="K3949" s="3"/>
      <c r="O3949" s="3"/>
    </row>
    <row r="3950" spans="1:15">
      <c r="A3950" s="3">
        <v>40474</v>
      </c>
      <c r="B3950" s="3">
        <v>40474</v>
      </c>
      <c r="C3950">
        <v>147.52000000000001</v>
      </c>
      <c r="D3950">
        <v>1.3954</v>
      </c>
      <c r="E3950">
        <v>82.96</v>
      </c>
      <c r="F3950">
        <v>379.7</v>
      </c>
      <c r="K3950" s="3"/>
      <c r="O3950" s="3"/>
    </row>
    <row r="3951" spans="1:15">
      <c r="A3951" s="3">
        <v>40475</v>
      </c>
      <c r="B3951" s="3">
        <v>40475</v>
      </c>
      <c r="C3951">
        <v>147.52000000000001</v>
      </c>
      <c r="D3951">
        <v>1.3954</v>
      </c>
      <c r="E3951">
        <v>82.96</v>
      </c>
      <c r="F3951">
        <v>379.7</v>
      </c>
      <c r="K3951" s="3"/>
      <c r="O3951" s="3"/>
    </row>
    <row r="3952" spans="1:15">
      <c r="A3952" s="3">
        <v>40476</v>
      </c>
      <c r="B3952" s="3">
        <v>40476</v>
      </c>
      <c r="C3952">
        <v>147.55000000000001</v>
      </c>
      <c r="D3952">
        <v>1.3965000000000001</v>
      </c>
      <c r="E3952">
        <v>83.54</v>
      </c>
      <c r="F3952">
        <v>386.3</v>
      </c>
      <c r="K3952" s="3"/>
      <c r="O3952" s="3"/>
    </row>
    <row r="3953" spans="1:15">
      <c r="A3953" s="3">
        <v>40477</v>
      </c>
      <c r="B3953" s="3">
        <v>40477</v>
      </c>
      <c r="C3953">
        <v>147.55000000000001</v>
      </c>
      <c r="D3953">
        <v>1.3858999999999999</v>
      </c>
      <c r="E3953">
        <v>83.66</v>
      </c>
      <c r="F3953">
        <v>386.9</v>
      </c>
      <c r="K3953" s="3"/>
      <c r="O3953" s="3"/>
    </row>
    <row r="3954" spans="1:15">
      <c r="A3954" s="3">
        <v>40478</v>
      </c>
      <c r="B3954" s="3">
        <v>40478</v>
      </c>
      <c r="C3954">
        <v>147.57</v>
      </c>
      <c r="D3954">
        <v>1.3769</v>
      </c>
      <c r="E3954">
        <v>83.23</v>
      </c>
      <c r="F3954">
        <v>377.55</v>
      </c>
      <c r="K3954" s="3"/>
      <c r="O3954" s="3"/>
    </row>
    <row r="3955" spans="1:15">
      <c r="A3955" s="3">
        <v>40479</v>
      </c>
      <c r="B3955" s="3">
        <v>40479</v>
      </c>
      <c r="C3955">
        <v>147.58000000000001</v>
      </c>
      <c r="D3955">
        <v>1.393</v>
      </c>
      <c r="E3955">
        <v>83.59</v>
      </c>
      <c r="F3955">
        <v>378.75</v>
      </c>
      <c r="K3955" s="3"/>
      <c r="O3955" s="3"/>
    </row>
    <row r="3956" spans="1:15">
      <c r="A3956" s="3">
        <v>40480</v>
      </c>
      <c r="B3956" s="3">
        <v>40480</v>
      </c>
      <c r="C3956">
        <v>147.57</v>
      </c>
      <c r="D3956">
        <v>1.3947000000000001</v>
      </c>
      <c r="E3956">
        <v>83.15</v>
      </c>
      <c r="F3956">
        <v>373.35</v>
      </c>
      <c r="K3956" s="3"/>
      <c r="O3956" s="3"/>
    </row>
    <row r="3957" spans="1:15">
      <c r="A3957" s="3">
        <v>40481</v>
      </c>
      <c r="B3957" s="3">
        <v>40481</v>
      </c>
      <c r="C3957">
        <v>147.57</v>
      </c>
      <c r="D3957">
        <v>1.3947000000000001</v>
      </c>
      <c r="E3957">
        <v>83.15</v>
      </c>
      <c r="F3957">
        <v>373.35</v>
      </c>
      <c r="K3957" s="3"/>
      <c r="O3957" s="3"/>
    </row>
    <row r="3958" spans="1:15">
      <c r="A3958" s="3">
        <v>40482</v>
      </c>
      <c r="B3958" s="3">
        <v>40482</v>
      </c>
      <c r="C3958">
        <v>147.57</v>
      </c>
      <c r="D3958">
        <v>1.3947000000000001</v>
      </c>
      <c r="E3958">
        <v>83.15</v>
      </c>
      <c r="F3958">
        <v>373.35</v>
      </c>
      <c r="K3958" s="3"/>
      <c r="O3958" s="3"/>
    </row>
    <row r="3959" spans="1:15">
      <c r="A3959" s="3">
        <v>40483</v>
      </c>
      <c r="B3959" s="3">
        <v>40483</v>
      </c>
      <c r="C3959">
        <v>147.51</v>
      </c>
      <c r="D3959">
        <v>1.3893</v>
      </c>
      <c r="E3959">
        <v>84.62</v>
      </c>
      <c r="F3959">
        <v>378.5</v>
      </c>
      <c r="K3959" s="3"/>
      <c r="O3959" s="3"/>
    </row>
    <row r="3960" spans="1:15">
      <c r="A3960" s="3">
        <v>40484</v>
      </c>
      <c r="B3960" s="3">
        <v>40484</v>
      </c>
      <c r="C3960">
        <v>147.56</v>
      </c>
      <c r="D3960">
        <v>1.4034</v>
      </c>
      <c r="E3960">
        <v>85.41</v>
      </c>
      <c r="F3960">
        <v>383.9</v>
      </c>
      <c r="K3960" s="3"/>
      <c r="O3960" s="3"/>
    </row>
    <row r="3961" spans="1:15">
      <c r="A3961" s="3">
        <v>40485</v>
      </c>
      <c r="B3961" s="3">
        <v>40485</v>
      </c>
      <c r="C3961">
        <v>147.66</v>
      </c>
      <c r="D3961">
        <v>1.4138999999999999</v>
      </c>
      <c r="E3961">
        <v>86.38</v>
      </c>
      <c r="F3961">
        <v>378.5</v>
      </c>
      <c r="K3961" s="3"/>
      <c r="O3961" s="3"/>
    </row>
    <row r="3962" spans="1:15">
      <c r="A3962" s="3">
        <v>40486</v>
      </c>
      <c r="B3962" s="3">
        <v>40486</v>
      </c>
      <c r="C3962">
        <v>147.52000000000001</v>
      </c>
      <c r="D3962">
        <v>1.4207000000000001</v>
      </c>
      <c r="E3962">
        <v>88</v>
      </c>
      <c r="F3962">
        <v>391.2</v>
      </c>
      <c r="K3962" s="3"/>
      <c r="O3962" s="3"/>
    </row>
    <row r="3963" spans="1:15">
      <c r="A3963" s="3">
        <v>40487</v>
      </c>
      <c r="B3963" s="3">
        <v>40487</v>
      </c>
      <c r="C3963">
        <v>147.55000000000001</v>
      </c>
      <c r="D3963">
        <v>1.4032</v>
      </c>
      <c r="E3963">
        <v>88.11</v>
      </c>
      <c r="F3963">
        <v>394.85</v>
      </c>
      <c r="K3963" s="3"/>
      <c r="O3963" s="3"/>
    </row>
    <row r="3964" spans="1:15">
      <c r="A3964" s="3">
        <v>40488</v>
      </c>
      <c r="B3964" s="3">
        <v>40488</v>
      </c>
      <c r="C3964">
        <v>147.55000000000001</v>
      </c>
      <c r="D3964">
        <v>1.4032</v>
      </c>
      <c r="E3964">
        <v>88.11</v>
      </c>
      <c r="F3964">
        <v>394.85</v>
      </c>
      <c r="K3964" s="3"/>
      <c r="O3964" s="3"/>
    </row>
    <row r="3965" spans="1:15">
      <c r="A3965" s="3">
        <v>40489</v>
      </c>
      <c r="B3965" s="3">
        <v>40489</v>
      </c>
      <c r="C3965">
        <v>147.55000000000001</v>
      </c>
      <c r="D3965">
        <v>1.4032</v>
      </c>
      <c r="E3965">
        <v>88.11</v>
      </c>
      <c r="F3965">
        <v>394.85</v>
      </c>
      <c r="K3965" s="3"/>
      <c r="O3965" s="3"/>
    </row>
    <row r="3966" spans="1:15">
      <c r="A3966" s="3">
        <v>40490</v>
      </c>
      <c r="B3966" s="3">
        <v>40490</v>
      </c>
      <c r="C3966">
        <v>147.69999999999999</v>
      </c>
      <c r="D3966">
        <v>1.3919999999999999</v>
      </c>
      <c r="E3966">
        <v>88.46</v>
      </c>
      <c r="F3966">
        <v>395.65</v>
      </c>
      <c r="K3966" s="3"/>
      <c r="O3966" s="3"/>
    </row>
    <row r="3967" spans="1:15">
      <c r="A3967" s="3">
        <v>40491</v>
      </c>
      <c r="B3967" s="3">
        <v>40491</v>
      </c>
      <c r="C3967">
        <v>147.5</v>
      </c>
      <c r="D3967">
        <v>1.3773</v>
      </c>
      <c r="E3967">
        <v>88.33</v>
      </c>
      <c r="F3967">
        <v>404.3</v>
      </c>
      <c r="K3967" s="3"/>
      <c r="O3967" s="3"/>
    </row>
    <row r="3968" spans="1:15">
      <c r="A3968" s="3">
        <v>40492</v>
      </c>
      <c r="B3968" s="3">
        <v>40492</v>
      </c>
      <c r="C3968">
        <v>147.53</v>
      </c>
      <c r="D3968">
        <v>1.3783000000000001</v>
      </c>
      <c r="E3968">
        <v>88.96</v>
      </c>
      <c r="F3968">
        <v>396.9</v>
      </c>
      <c r="K3968" s="3"/>
      <c r="O3968" s="3"/>
    </row>
    <row r="3969" spans="1:15">
      <c r="A3969" s="3">
        <v>40493</v>
      </c>
      <c r="B3969" s="3">
        <v>40493</v>
      </c>
      <c r="C3969">
        <v>147.53</v>
      </c>
      <c r="D3969">
        <v>1.3667</v>
      </c>
      <c r="E3969">
        <v>88.81</v>
      </c>
      <c r="F3969">
        <v>402.25</v>
      </c>
      <c r="K3969" s="3"/>
      <c r="O3969" s="3"/>
    </row>
    <row r="3970" spans="1:15">
      <c r="A3970" s="3">
        <v>40494</v>
      </c>
      <c r="B3970" s="3">
        <v>40494</v>
      </c>
      <c r="C3970">
        <v>147.59</v>
      </c>
      <c r="D3970">
        <v>1.3691</v>
      </c>
      <c r="E3970">
        <v>86.34</v>
      </c>
      <c r="F3970">
        <v>389.35</v>
      </c>
      <c r="K3970" s="3"/>
      <c r="O3970" s="3"/>
    </row>
    <row r="3971" spans="1:15">
      <c r="A3971" s="3">
        <v>40495</v>
      </c>
      <c r="B3971" s="3">
        <v>40495</v>
      </c>
      <c r="C3971">
        <v>147.59</v>
      </c>
      <c r="D3971">
        <v>1.3691</v>
      </c>
      <c r="E3971">
        <v>86.34</v>
      </c>
      <c r="F3971">
        <v>389.35</v>
      </c>
      <c r="K3971" s="3"/>
      <c r="O3971" s="3"/>
    </row>
    <row r="3972" spans="1:15">
      <c r="A3972" s="3">
        <v>40496</v>
      </c>
      <c r="B3972" s="3">
        <v>40496</v>
      </c>
      <c r="C3972">
        <v>147.59</v>
      </c>
      <c r="D3972">
        <v>1.3691</v>
      </c>
      <c r="E3972">
        <v>86.34</v>
      </c>
      <c r="F3972">
        <v>389.35</v>
      </c>
      <c r="K3972" s="3"/>
      <c r="O3972" s="3"/>
    </row>
    <row r="3973" spans="1:15">
      <c r="A3973" s="3">
        <v>40497</v>
      </c>
      <c r="B3973" s="3">
        <v>40497</v>
      </c>
      <c r="C3973">
        <v>147.69999999999999</v>
      </c>
      <c r="D3973">
        <v>1.3587</v>
      </c>
      <c r="E3973">
        <v>86.7</v>
      </c>
      <c r="F3973">
        <v>392.5</v>
      </c>
      <c r="K3973" s="3"/>
      <c r="O3973" s="3"/>
    </row>
    <row r="3974" spans="1:15">
      <c r="A3974" s="3">
        <v>40498</v>
      </c>
      <c r="B3974" s="3">
        <v>40498</v>
      </c>
      <c r="C3974">
        <v>147.69999999999999</v>
      </c>
      <c r="D3974">
        <v>1.3489</v>
      </c>
      <c r="E3974">
        <v>84.73</v>
      </c>
      <c r="F3974">
        <v>372.75</v>
      </c>
      <c r="K3974" s="3"/>
      <c r="O3974" s="3"/>
    </row>
    <row r="3975" spans="1:15">
      <c r="A3975" s="3">
        <v>40499</v>
      </c>
      <c r="B3975" s="3">
        <v>40499</v>
      </c>
      <c r="C3975">
        <v>147.49</v>
      </c>
      <c r="D3975">
        <v>1.3529</v>
      </c>
      <c r="E3975">
        <v>83.28</v>
      </c>
      <c r="F3975">
        <v>372.95</v>
      </c>
      <c r="K3975" s="3"/>
      <c r="O3975" s="3"/>
    </row>
    <row r="3976" spans="1:15">
      <c r="A3976" s="3">
        <v>40500</v>
      </c>
      <c r="B3976" s="3">
        <v>40500</v>
      </c>
      <c r="C3976">
        <v>147.53</v>
      </c>
      <c r="D3976">
        <v>1.3643000000000001</v>
      </c>
      <c r="E3976">
        <v>85.05</v>
      </c>
      <c r="F3976">
        <v>383.1</v>
      </c>
      <c r="K3976" s="3"/>
      <c r="O3976" s="3"/>
    </row>
    <row r="3977" spans="1:15">
      <c r="A3977" s="3">
        <v>40501</v>
      </c>
      <c r="B3977" s="3">
        <v>40501</v>
      </c>
      <c r="C3977">
        <v>147.47999999999999</v>
      </c>
      <c r="D3977">
        <v>1.3673</v>
      </c>
      <c r="E3977">
        <v>84.34</v>
      </c>
      <c r="F3977">
        <v>383.35</v>
      </c>
      <c r="K3977" s="3"/>
      <c r="O3977" s="3"/>
    </row>
    <row r="3978" spans="1:15">
      <c r="A3978" s="3">
        <v>40502</v>
      </c>
      <c r="B3978" s="3">
        <v>40502</v>
      </c>
      <c r="C3978">
        <v>147.47999999999999</v>
      </c>
      <c r="D3978">
        <v>1.3673</v>
      </c>
      <c r="E3978">
        <v>84.34</v>
      </c>
      <c r="F3978">
        <v>383.35</v>
      </c>
      <c r="K3978" s="3"/>
      <c r="O3978" s="3"/>
    </row>
    <row r="3979" spans="1:15">
      <c r="A3979" s="3">
        <v>40503</v>
      </c>
      <c r="B3979" s="3">
        <v>40503</v>
      </c>
      <c r="C3979">
        <v>147.47999999999999</v>
      </c>
      <c r="D3979">
        <v>1.3673</v>
      </c>
      <c r="E3979">
        <v>84.34</v>
      </c>
      <c r="F3979">
        <v>383.35</v>
      </c>
      <c r="K3979" s="3"/>
      <c r="O3979" s="3"/>
    </row>
    <row r="3980" spans="1:15">
      <c r="A3980" s="3">
        <v>40504</v>
      </c>
      <c r="B3980" s="3">
        <v>40504</v>
      </c>
      <c r="C3980">
        <v>147.38999999999999</v>
      </c>
      <c r="D3980">
        <v>1.3627</v>
      </c>
      <c r="E3980">
        <v>83.96</v>
      </c>
      <c r="F3980">
        <v>375.15</v>
      </c>
      <c r="K3980" s="3"/>
      <c r="O3980" s="3"/>
    </row>
    <row r="3981" spans="1:15">
      <c r="A3981" s="3">
        <v>40505</v>
      </c>
      <c r="B3981" s="3">
        <v>40505</v>
      </c>
      <c r="C3981">
        <v>147.34</v>
      </c>
      <c r="D3981">
        <v>1.3367</v>
      </c>
      <c r="E3981">
        <v>83.25</v>
      </c>
      <c r="F3981">
        <v>370.25</v>
      </c>
      <c r="K3981" s="3"/>
      <c r="O3981" s="3"/>
    </row>
    <row r="3982" spans="1:15">
      <c r="A3982" s="3">
        <v>40506</v>
      </c>
      <c r="B3982" s="3">
        <v>40506</v>
      </c>
      <c r="C3982">
        <v>147.37</v>
      </c>
      <c r="D3982">
        <v>1.3334999999999999</v>
      </c>
      <c r="E3982">
        <v>85.84</v>
      </c>
      <c r="F3982">
        <v>375.55</v>
      </c>
      <c r="K3982" s="3"/>
      <c r="O3982" s="3"/>
    </row>
    <row r="3983" spans="1:15">
      <c r="A3983" s="3">
        <v>40507</v>
      </c>
      <c r="B3983" s="3">
        <v>40507</v>
      </c>
      <c r="C3983">
        <v>147.38</v>
      </c>
      <c r="D3983">
        <v>1.3360000000000001</v>
      </c>
      <c r="E3983">
        <v>86.1</v>
      </c>
      <c r="F3983">
        <v>375.55</v>
      </c>
      <c r="K3983" s="3"/>
      <c r="O3983" s="3"/>
    </row>
    <row r="3984" spans="1:15">
      <c r="A3984" s="3">
        <v>40508</v>
      </c>
      <c r="B3984" s="3">
        <v>40508</v>
      </c>
      <c r="C3984">
        <v>147.52000000000001</v>
      </c>
      <c r="D3984">
        <v>1.3242</v>
      </c>
      <c r="E3984">
        <v>85.58</v>
      </c>
      <c r="F3984">
        <v>375.1</v>
      </c>
      <c r="K3984" s="3"/>
      <c r="O3984" s="3"/>
    </row>
    <row r="3985" spans="1:15">
      <c r="A3985" s="3">
        <v>40509</v>
      </c>
      <c r="B3985" s="3">
        <v>40509</v>
      </c>
      <c r="C3985">
        <v>147.52000000000001</v>
      </c>
      <c r="D3985">
        <v>1.3242</v>
      </c>
      <c r="E3985">
        <v>85.58</v>
      </c>
      <c r="F3985">
        <v>375.1</v>
      </c>
      <c r="K3985" s="3"/>
      <c r="O3985" s="3"/>
    </row>
    <row r="3986" spans="1:15">
      <c r="A3986" s="3">
        <v>40510</v>
      </c>
      <c r="B3986" s="3">
        <v>40510</v>
      </c>
      <c r="C3986">
        <v>147.52000000000001</v>
      </c>
      <c r="D3986">
        <v>1.3242</v>
      </c>
      <c r="E3986">
        <v>85.58</v>
      </c>
      <c r="F3986">
        <v>375.1</v>
      </c>
      <c r="K3986" s="3"/>
      <c r="O3986" s="3"/>
    </row>
    <row r="3987" spans="1:15">
      <c r="A3987" s="3">
        <v>40511</v>
      </c>
      <c r="B3987" s="3">
        <v>40511</v>
      </c>
      <c r="C3987">
        <v>147.55000000000001</v>
      </c>
      <c r="D3987">
        <v>1.3125</v>
      </c>
      <c r="E3987">
        <v>87.34</v>
      </c>
      <c r="F3987">
        <v>375.8</v>
      </c>
      <c r="K3987" s="3"/>
      <c r="O3987" s="3"/>
    </row>
    <row r="3988" spans="1:15">
      <c r="A3988" s="3">
        <v>40512</v>
      </c>
      <c r="B3988" s="3">
        <v>40512</v>
      </c>
      <c r="C3988">
        <v>147.55000000000001</v>
      </c>
      <c r="D3988">
        <v>1.2983</v>
      </c>
      <c r="E3988">
        <v>85.92</v>
      </c>
      <c r="F3988">
        <v>382.3</v>
      </c>
      <c r="K3988" s="3"/>
      <c r="O3988" s="3"/>
    </row>
    <row r="3989" spans="1:15">
      <c r="A3989" s="3">
        <v>40513</v>
      </c>
      <c r="B3989" s="3">
        <v>40513</v>
      </c>
      <c r="C3989">
        <v>147.66999999999999</v>
      </c>
      <c r="D3989">
        <v>1.3139000000000001</v>
      </c>
      <c r="E3989">
        <v>88.87</v>
      </c>
      <c r="F3989">
        <v>394.6</v>
      </c>
      <c r="K3989" s="3"/>
      <c r="O3989" s="3"/>
    </row>
    <row r="3990" spans="1:15">
      <c r="A3990" s="3">
        <v>40514</v>
      </c>
      <c r="B3990" s="3">
        <v>40514</v>
      </c>
      <c r="C3990">
        <v>147.63</v>
      </c>
      <c r="D3990">
        <v>1.3209</v>
      </c>
      <c r="E3990">
        <v>90.69</v>
      </c>
      <c r="F3990">
        <v>397.7</v>
      </c>
      <c r="K3990" s="3"/>
      <c r="O3990" s="3"/>
    </row>
    <row r="3991" spans="1:15">
      <c r="A3991" s="3">
        <v>40515</v>
      </c>
      <c r="B3991" s="3">
        <v>40515</v>
      </c>
      <c r="C3991">
        <v>147.6</v>
      </c>
      <c r="D3991">
        <v>1.3413999999999999</v>
      </c>
      <c r="E3991">
        <v>91.42</v>
      </c>
      <c r="F3991">
        <v>399.5</v>
      </c>
      <c r="K3991" s="3"/>
      <c r="O3991" s="3"/>
    </row>
    <row r="3992" spans="1:15">
      <c r="A3992" s="3">
        <v>40516</v>
      </c>
      <c r="B3992" s="3">
        <v>40516</v>
      </c>
      <c r="C3992">
        <v>147.6</v>
      </c>
      <c r="D3992">
        <v>1.3413999999999999</v>
      </c>
      <c r="E3992">
        <v>91.42</v>
      </c>
      <c r="F3992">
        <v>399.5</v>
      </c>
      <c r="K3992" s="3"/>
      <c r="O3992" s="3"/>
    </row>
    <row r="3993" spans="1:15">
      <c r="A3993" s="3">
        <v>40517</v>
      </c>
      <c r="B3993" s="3">
        <v>40517</v>
      </c>
      <c r="C3993">
        <v>147.6</v>
      </c>
      <c r="D3993">
        <v>1.3413999999999999</v>
      </c>
      <c r="E3993">
        <v>91.42</v>
      </c>
      <c r="F3993">
        <v>399.5</v>
      </c>
      <c r="K3993" s="3"/>
      <c r="O3993" s="3"/>
    </row>
    <row r="3994" spans="1:15">
      <c r="A3994" s="3">
        <v>40518</v>
      </c>
      <c r="B3994" s="3">
        <v>40518</v>
      </c>
      <c r="C3994">
        <v>147.54</v>
      </c>
      <c r="D3994">
        <v>1.3308</v>
      </c>
      <c r="E3994">
        <v>91.45</v>
      </c>
      <c r="F3994">
        <v>400.4</v>
      </c>
      <c r="K3994" s="3"/>
      <c r="O3994" s="3"/>
    </row>
    <row r="3995" spans="1:15">
      <c r="A3995" s="3">
        <v>40519</v>
      </c>
      <c r="B3995" s="3">
        <v>40519</v>
      </c>
      <c r="C3995">
        <v>147.44</v>
      </c>
      <c r="D3995">
        <v>1.3261000000000001</v>
      </c>
      <c r="E3995">
        <v>91.39</v>
      </c>
      <c r="F3995">
        <v>404.4</v>
      </c>
      <c r="K3995" s="3"/>
      <c r="O3995" s="3"/>
    </row>
    <row r="3996" spans="1:15">
      <c r="A3996" s="3">
        <v>40520</v>
      </c>
      <c r="B3996" s="3">
        <v>40520</v>
      </c>
      <c r="C3996">
        <v>147.44</v>
      </c>
      <c r="D3996">
        <v>1.3262</v>
      </c>
      <c r="E3996">
        <v>90.77</v>
      </c>
      <c r="F3996">
        <v>409.45</v>
      </c>
      <c r="K3996" s="3"/>
      <c r="O3996" s="3"/>
    </row>
    <row r="3997" spans="1:15">
      <c r="A3997" s="3">
        <v>40521</v>
      </c>
      <c r="B3997" s="3">
        <v>40521</v>
      </c>
      <c r="C3997">
        <v>147.41999999999999</v>
      </c>
      <c r="D3997">
        <v>1.3239000000000001</v>
      </c>
      <c r="E3997">
        <v>90.99</v>
      </c>
      <c r="F3997">
        <v>408.15</v>
      </c>
      <c r="K3997" s="3"/>
      <c r="O3997" s="3"/>
    </row>
    <row r="3998" spans="1:15">
      <c r="A3998" s="3">
        <v>40522</v>
      </c>
      <c r="B3998" s="3">
        <v>40522</v>
      </c>
      <c r="C3998">
        <v>147.4</v>
      </c>
      <c r="D3998">
        <v>1.3226</v>
      </c>
      <c r="E3998">
        <v>90.48</v>
      </c>
      <c r="F3998">
        <v>410.5</v>
      </c>
      <c r="K3998" s="3"/>
      <c r="O3998" s="3"/>
    </row>
    <row r="3999" spans="1:15">
      <c r="A3999" s="3">
        <v>40523</v>
      </c>
      <c r="B3999" s="3">
        <v>40523</v>
      </c>
      <c r="C3999">
        <v>147.4</v>
      </c>
      <c r="D3999">
        <v>1.3226</v>
      </c>
      <c r="E3999">
        <v>90.48</v>
      </c>
      <c r="F3999">
        <v>410.5</v>
      </c>
      <c r="K3999" s="3"/>
      <c r="O3999" s="3"/>
    </row>
    <row r="4000" spans="1:15">
      <c r="A4000" s="3">
        <v>40524</v>
      </c>
      <c r="B4000" s="3">
        <v>40524</v>
      </c>
      <c r="C4000">
        <v>147.4</v>
      </c>
      <c r="D4000">
        <v>1.3226</v>
      </c>
      <c r="E4000">
        <v>90.48</v>
      </c>
      <c r="F4000">
        <v>410.5</v>
      </c>
      <c r="K4000" s="3"/>
      <c r="O4000" s="3"/>
    </row>
    <row r="4001" spans="1:15">
      <c r="A4001" s="3">
        <v>40525</v>
      </c>
      <c r="B4001" s="3">
        <v>40525</v>
      </c>
      <c r="C4001">
        <v>147.32</v>
      </c>
      <c r="D4001">
        <v>1.3391</v>
      </c>
      <c r="E4001">
        <v>91.19</v>
      </c>
      <c r="F4001">
        <v>419.95</v>
      </c>
      <c r="K4001" s="3"/>
      <c r="O4001" s="3"/>
    </row>
    <row r="4002" spans="1:15">
      <c r="A4002" s="3">
        <v>40526</v>
      </c>
      <c r="B4002" s="3">
        <v>40526</v>
      </c>
      <c r="C4002">
        <v>147.37</v>
      </c>
      <c r="D4002">
        <v>1.3378000000000001</v>
      </c>
      <c r="E4002">
        <v>91.21</v>
      </c>
      <c r="F4002">
        <v>420.15</v>
      </c>
      <c r="K4002" s="3"/>
      <c r="O4002" s="3"/>
    </row>
    <row r="4003" spans="1:15">
      <c r="A4003" s="3">
        <v>40527</v>
      </c>
      <c r="B4003" s="3">
        <v>40527</v>
      </c>
      <c r="C4003">
        <v>147.49</v>
      </c>
      <c r="D4003">
        <v>1.3213999999999999</v>
      </c>
      <c r="E4003">
        <v>92.2</v>
      </c>
      <c r="F4003">
        <v>412.65</v>
      </c>
      <c r="K4003" s="3"/>
      <c r="O4003" s="3"/>
    </row>
    <row r="4004" spans="1:15">
      <c r="A4004" s="3">
        <v>40528</v>
      </c>
      <c r="B4004" s="3">
        <v>40528</v>
      </c>
      <c r="C4004">
        <v>147.49</v>
      </c>
      <c r="D4004">
        <v>1.3244</v>
      </c>
      <c r="E4004">
        <v>91.71</v>
      </c>
      <c r="F4004">
        <v>411.05</v>
      </c>
      <c r="K4004" s="3"/>
      <c r="O4004" s="3"/>
    </row>
    <row r="4005" spans="1:15">
      <c r="A4005" s="3">
        <v>40529</v>
      </c>
      <c r="B4005" s="3">
        <v>40529</v>
      </c>
      <c r="C4005">
        <v>147.47</v>
      </c>
      <c r="D4005">
        <v>1.3188</v>
      </c>
      <c r="E4005">
        <v>91.67</v>
      </c>
      <c r="F4005">
        <v>415.3</v>
      </c>
      <c r="K4005" s="3"/>
      <c r="O4005" s="3"/>
    </row>
    <row r="4006" spans="1:15">
      <c r="A4006" s="3">
        <v>40530</v>
      </c>
      <c r="B4006" s="3">
        <v>40530</v>
      </c>
      <c r="C4006">
        <v>147.47</v>
      </c>
      <c r="D4006">
        <v>1.3188</v>
      </c>
      <c r="E4006">
        <v>91.67</v>
      </c>
      <c r="F4006">
        <v>415.3</v>
      </c>
      <c r="K4006" s="3"/>
      <c r="O4006" s="3"/>
    </row>
    <row r="4007" spans="1:15">
      <c r="A4007" s="3">
        <v>40531</v>
      </c>
      <c r="B4007" s="3">
        <v>40531</v>
      </c>
      <c r="C4007">
        <v>147.47</v>
      </c>
      <c r="D4007">
        <v>1.3188</v>
      </c>
      <c r="E4007">
        <v>91.67</v>
      </c>
      <c r="F4007">
        <v>415.3</v>
      </c>
      <c r="K4007" s="3"/>
      <c r="O4007" s="3"/>
    </row>
    <row r="4008" spans="1:15">
      <c r="A4008" s="3">
        <v>40532</v>
      </c>
      <c r="B4008" s="3">
        <v>40532</v>
      </c>
      <c r="C4008">
        <v>147.34</v>
      </c>
      <c r="D4008">
        <v>1.3130999999999999</v>
      </c>
      <c r="E4008">
        <v>92.74</v>
      </c>
      <c r="F4008">
        <v>420.05</v>
      </c>
      <c r="K4008" s="3"/>
      <c r="O4008" s="3"/>
    </row>
    <row r="4009" spans="1:15">
      <c r="A4009" s="3">
        <v>40533</v>
      </c>
      <c r="B4009" s="3">
        <v>40533</v>
      </c>
      <c r="C4009">
        <v>147.22999999999999</v>
      </c>
      <c r="D4009">
        <v>1.31</v>
      </c>
      <c r="E4009">
        <v>93.2</v>
      </c>
      <c r="F4009">
        <v>427.05</v>
      </c>
      <c r="K4009" s="3"/>
      <c r="O4009" s="3"/>
    </row>
    <row r="4010" spans="1:15">
      <c r="A4010" s="3">
        <v>40534</v>
      </c>
      <c r="B4010" s="3">
        <v>40534</v>
      </c>
      <c r="C4010">
        <v>147.26</v>
      </c>
      <c r="D4010">
        <v>1.31</v>
      </c>
      <c r="E4010">
        <v>93.65</v>
      </c>
      <c r="F4010">
        <v>426.9</v>
      </c>
      <c r="K4010" s="3"/>
      <c r="O4010" s="3"/>
    </row>
    <row r="4011" spans="1:15">
      <c r="A4011" s="3">
        <v>40535</v>
      </c>
      <c r="B4011" s="3">
        <v>40535</v>
      </c>
      <c r="C4011">
        <v>147.16999999999999</v>
      </c>
      <c r="D4011">
        <v>1.3113999999999999</v>
      </c>
      <c r="E4011">
        <v>94.25</v>
      </c>
      <c r="F4011">
        <v>425.2</v>
      </c>
      <c r="K4011" s="3"/>
      <c r="O4011" s="3"/>
    </row>
    <row r="4012" spans="1:15">
      <c r="A4012" s="3">
        <v>40536</v>
      </c>
      <c r="B4012" s="3">
        <v>40536</v>
      </c>
      <c r="C4012">
        <v>147.30000000000001</v>
      </c>
      <c r="D4012">
        <v>1.3122</v>
      </c>
      <c r="E4012">
        <v>93.77</v>
      </c>
      <c r="F4012">
        <v>425.2</v>
      </c>
      <c r="K4012" s="3"/>
      <c r="O4012" s="3"/>
    </row>
    <row r="4013" spans="1:15">
      <c r="A4013" s="3">
        <v>40537</v>
      </c>
      <c r="B4013" s="3">
        <v>40537</v>
      </c>
      <c r="C4013">
        <v>147.30000000000001</v>
      </c>
      <c r="D4013">
        <v>1.3122</v>
      </c>
      <c r="E4013">
        <v>93.77</v>
      </c>
      <c r="F4013">
        <v>425.2</v>
      </c>
      <c r="K4013" s="3"/>
      <c r="O4013" s="3"/>
    </row>
    <row r="4014" spans="1:15">
      <c r="A4014" s="3">
        <v>40538</v>
      </c>
      <c r="B4014" s="3">
        <v>40538</v>
      </c>
      <c r="C4014">
        <v>147.30000000000001</v>
      </c>
      <c r="D4014">
        <v>1.3122</v>
      </c>
      <c r="E4014">
        <v>93.77</v>
      </c>
      <c r="F4014">
        <v>425.2</v>
      </c>
      <c r="K4014" s="3"/>
      <c r="O4014" s="3"/>
    </row>
    <row r="4015" spans="1:15">
      <c r="A4015" s="3">
        <v>40539</v>
      </c>
      <c r="B4015" s="3">
        <v>40539</v>
      </c>
      <c r="C4015">
        <v>147.47</v>
      </c>
      <c r="D4015">
        <v>1.3165</v>
      </c>
      <c r="E4015">
        <v>93.85</v>
      </c>
      <c r="F4015">
        <v>427.5</v>
      </c>
      <c r="K4015" s="3"/>
      <c r="O4015" s="3"/>
    </row>
    <row r="4016" spans="1:15">
      <c r="A4016" s="3">
        <v>40540</v>
      </c>
      <c r="B4016" s="3">
        <v>40540</v>
      </c>
      <c r="C4016">
        <v>147.30000000000001</v>
      </c>
      <c r="D4016">
        <v>1.3115000000000001</v>
      </c>
      <c r="E4016">
        <v>94.38</v>
      </c>
      <c r="F4016">
        <v>432.4</v>
      </c>
      <c r="K4016" s="3"/>
      <c r="O4016" s="3"/>
    </row>
    <row r="4017" spans="1:15">
      <c r="A4017" s="3">
        <v>40541</v>
      </c>
      <c r="B4017" s="3">
        <v>40541</v>
      </c>
      <c r="C4017">
        <v>147.37</v>
      </c>
      <c r="D4017">
        <v>1.3225</v>
      </c>
      <c r="E4017">
        <v>94.14</v>
      </c>
      <c r="F4017">
        <v>430.9</v>
      </c>
      <c r="K4017" s="3"/>
      <c r="O4017" s="3"/>
    </row>
    <row r="4018" spans="1:15">
      <c r="A4018" s="3">
        <v>40542</v>
      </c>
      <c r="B4018" s="3">
        <v>40542</v>
      </c>
      <c r="C4018">
        <v>147.43</v>
      </c>
      <c r="D4018">
        <v>1.3290999999999999</v>
      </c>
      <c r="E4018">
        <v>93.09</v>
      </c>
      <c r="F4018">
        <v>436.25</v>
      </c>
      <c r="K4018" s="3"/>
      <c r="O4018" s="3"/>
    </row>
    <row r="4019" spans="1:15">
      <c r="A4019" s="3">
        <v>40543</v>
      </c>
      <c r="B4019" s="3">
        <v>40543</v>
      </c>
      <c r="C4019">
        <v>147.37</v>
      </c>
      <c r="D4019">
        <v>1.3384</v>
      </c>
      <c r="E4019">
        <v>94.75</v>
      </c>
      <c r="F4019">
        <v>444.7</v>
      </c>
      <c r="K4019" s="3"/>
      <c r="O4019" s="3"/>
    </row>
    <row r="4020" spans="1:15">
      <c r="A4020" s="3">
        <v>40544</v>
      </c>
      <c r="B4020" s="3">
        <v>40544</v>
      </c>
      <c r="C4020">
        <v>147.37</v>
      </c>
      <c r="D4020">
        <v>1.3384</v>
      </c>
      <c r="E4020">
        <v>94.75</v>
      </c>
      <c r="F4020">
        <v>444.7</v>
      </c>
      <c r="K4020" s="3"/>
      <c r="O4020" s="3"/>
    </row>
    <row r="4021" spans="1:15">
      <c r="A4021" s="3">
        <v>40545</v>
      </c>
      <c r="B4021" s="3">
        <v>40545</v>
      </c>
      <c r="C4021">
        <v>147.37</v>
      </c>
      <c r="D4021">
        <v>1.3384</v>
      </c>
      <c r="E4021">
        <v>94.75</v>
      </c>
      <c r="F4021">
        <v>444.7</v>
      </c>
      <c r="K4021" s="3"/>
      <c r="O4021" s="3"/>
    </row>
    <row r="4022" spans="1:15">
      <c r="A4022" s="3">
        <v>40546</v>
      </c>
      <c r="B4022" s="3">
        <v>40546</v>
      </c>
      <c r="C4022">
        <v>147.37</v>
      </c>
      <c r="D4022">
        <v>1.3361000000000001</v>
      </c>
      <c r="E4022">
        <v>94.84</v>
      </c>
      <c r="F4022">
        <v>445.75</v>
      </c>
      <c r="K4022" s="3"/>
      <c r="O4022" s="3"/>
    </row>
    <row r="4023" spans="1:15">
      <c r="A4023" s="3">
        <v>40547</v>
      </c>
      <c r="B4023" s="3">
        <v>40547</v>
      </c>
      <c r="C4023">
        <v>147.36000000000001</v>
      </c>
      <c r="D4023">
        <v>1.3308</v>
      </c>
      <c r="E4023">
        <v>93.53</v>
      </c>
      <c r="F4023">
        <v>436.9</v>
      </c>
      <c r="K4023" s="3"/>
      <c r="O4023" s="3"/>
    </row>
    <row r="4024" spans="1:15">
      <c r="A4024" s="3">
        <v>40548</v>
      </c>
      <c r="B4024" s="3">
        <v>40548</v>
      </c>
      <c r="C4024">
        <v>147.1</v>
      </c>
      <c r="D4024">
        <v>1.3149</v>
      </c>
      <c r="E4024">
        <v>95.5</v>
      </c>
      <c r="F4024">
        <v>440.8</v>
      </c>
      <c r="K4024" s="3"/>
      <c r="O4024" s="3"/>
    </row>
    <row r="4025" spans="1:15">
      <c r="A4025" s="3">
        <v>40549</v>
      </c>
      <c r="B4025" s="3">
        <v>40549</v>
      </c>
      <c r="C4025">
        <v>147.1</v>
      </c>
      <c r="D4025">
        <v>1.3003</v>
      </c>
      <c r="E4025">
        <v>94.52</v>
      </c>
      <c r="F4025">
        <v>432.95</v>
      </c>
      <c r="K4025" s="3"/>
      <c r="O4025" s="3"/>
    </row>
    <row r="4026" spans="1:15">
      <c r="A4026" s="3">
        <v>40550</v>
      </c>
      <c r="B4026" s="3">
        <v>40550</v>
      </c>
      <c r="C4026">
        <v>147.1</v>
      </c>
      <c r="D4026">
        <v>1.2907</v>
      </c>
      <c r="E4026">
        <v>93.33</v>
      </c>
      <c r="F4026">
        <v>428.25</v>
      </c>
      <c r="K4026" s="3"/>
      <c r="O4026" s="3"/>
    </row>
    <row r="4027" spans="1:15">
      <c r="A4027" s="3">
        <v>40551</v>
      </c>
      <c r="B4027" s="3">
        <v>40551</v>
      </c>
      <c r="C4027">
        <v>147.1</v>
      </c>
      <c r="D4027">
        <v>1.2907</v>
      </c>
      <c r="E4027">
        <v>93.33</v>
      </c>
      <c r="F4027">
        <v>428.25</v>
      </c>
      <c r="K4027" s="3"/>
      <c r="O4027" s="3"/>
    </row>
    <row r="4028" spans="1:15">
      <c r="A4028" s="3">
        <v>40552</v>
      </c>
      <c r="B4028" s="3">
        <v>40552</v>
      </c>
      <c r="C4028">
        <v>147.1</v>
      </c>
      <c r="D4028">
        <v>1.2907</v>
      </c>
      <c r="E4028">
        <v>93.33</v>
      </c>
      <c r="F4028">
        <v>428.25</v>
      </c>
      <c r="K4028" s="3"/>
      <c r="O4028" s="3"/>
    </row>
    <row r="4029" spans="1:15">
      <c r="A4029" s="3">
        <v>40553</v>
      </c>
      <c r="B4029" s="3">
        <v>40553</v>
      </c>
      <c r="C4029">
        <v>147.24</v>
      </c>
      <c r="D4029">
        <v>1.2950999999999999</v>
      </c>
      <c r="E4029">
        <v>95.7</v>
      </c>
      <c r="F4029">
        <v>426.45</v>
      </c>
      <c r="K4029" s="3"/>
      <c r="O4029" s="3"/>
    </row>
    <row r="4030" spans="1:15">
      <c r="A4030" s="3">
        <v>40554</v>
      </c>
      <c r="B4030" s="3">
        <v>40554</v>
      </c>
      <c r="C4030">
        <v>147.22</v>
      </c>
      <c r="D4030">
        <v>1.2974000000000001</v>
      </c>
      <c r="E4030">
        <v>97.61</v>
      </c>
      <c r="F4030">
        <v>434.9</v>
      </c>
      <c r="K4030" s="3"/>
      <c r="O4030" s="3"/>
    </row>
    <row r="4031" spans="1:15">
      <c r="A4031" s="3">
        <v>40555</v>
      </c>
      <c r="B4031" s="3">
        <v>40555</v>
      </c>
      <c r="C4031">
        <v>147.25</v>
      </c>
      <c r="D4031">
        <v>1.3130999999999999</v>
      </c>
      <c r="E4031">
        <v>98.12</v>
      </c>
      <c r="F4031">
        <v>441.15</v>
      </c>
      <c r="K4031" s="3"/>
      <c r="O4031" s="3"/>
    </row>
    <row r="4032" spans="1:15">
      <c r="A4032" s="3">
        <v>40556</v>
      </c>
      <c r="B4032" s="3">
        <v>40556</v>
      </c>
      <c r="C4032">
        <v>147.03</v>
      </c>
      <c r="D4032">
        <v>1.3364</v>
      </c>
      <c r="E4032">
        <v>98.06</v>
      </c>
      <c r="F4032">
        <v>437.7</v>
      </c>
      <c r="K4032" s="3"/>
      <c r="O4032" s="3"/>
    </row>
    <row r="4033" spans="1:15">
      <c r="A4033" s="3">
        <v>40557</v>
      </c>
      <c r="B4033" s="3">
        <v>40557</v>
      </c>
      <c r="C4033">
        <v>147.01</v>
      </c>
      <c r="D4033">
        <v>1.3388</v>
      </c>
      <c r="E4033">
        <v>98.68</v>
      </c>
      <c r="F4033">
        <v>441.2</v>
      </c>
      <c r="K4033" s="3"/>
      <c r="O4033" s="3"/>
    </row>
    <row r="4034" spans="1:15">
      <c r="A4034" s="3">
        <v>40558</v>
      </c>
      <c r="B4034" s="3">
        <v>40558</v>
      </c>
      <c r="C4034">
        <v>147.01</v>
      </c>
      <c r="D4034">
        <v>1.3388</v>
      </c>
      <c r="E4034">
        <v>98.68</v>
      </c>
      <c r="F4034">
        <v>441.2</v>
      </c>
      <c r="K4034" s="3"/>
      <c r="O4034" s="3"/>
    </row>
    <row r="4035" spans="1:15">
      <c r="A4035" s="3">
        <v>40559</v>
      </c>
      <c r="B4035" s="3">
        <v>40559</v>
      </c>
      <c r="C4035">
        <v>147.01</v>
      </c>
      <c r="D4035">
        <v>1.3388</v>
      </c>
      <c r="E4035">
        <v>98.68</v>
      </c>
      <c r="F4035">
        <v>441.2</v>
      </c>
      <c r="K4035" s="3"/>
      <c r="O4035" s="3"/>
    </row>
    <row r="4036" spans="1:15">
      <c r="A4036" s="3">
        <v>40560</v>
      </c>
      <c r="B4036" s="3">
        <v>40560</v>
      </c>
      <c r="C4036">
        <v>147</v>
      </c>
      <c r="D4036">
        <v>1.3293999999999999</v>
      </c>
      <c r="E4036">
        <v>97.43</v>
      </c>
      <c r="F4036">
        <v>441.2</v>
      </c>
      <c r="K4036" s="3"/>
      <c r="O4036" s="3"/>
    </row>
    <row r="4037" spans="1:15">
      <c r="A4037" s="3">
        <v>40561</v>
      </c>
      <c r="B4037" s="3">
        <v>40561</v>
      </c>
      <c r="C4037">
        <v>147.03</v>
      </c>
      <c r="D4037">
        <v>1.3387</v>
      </c>
      <c r="E4037">
        <v>97.8</v>
      </c>
      <c r="F4037">
        <v>442.8</v>
      </c>
      <c r="K4037" s="3"/>
      <c r="O4037" s="3"/>
    </row>
    <row r="4038" spans="1:15">
      <c r="A4038" s="3">
        <v>40562</v>
      </c>
      <c r="B4038" s="3">
        <v>40562</v>
      </c>
      <c r="C4038">
        <v>146.91999999999999</v>
      </c>
      <c r="D4038">
        <v>1.3472999999999999</v>
      </c>
      <c r="E4038">
        <v>98.16</v>
      </c>
      <c r="F4038">
        <v>437</v>
      </c>
      <c r="K4038" s="3"/>
      <c r="O4038" s="3"/>
    </row>
    <row r="4039" spans="1:15">
      <c r="A4039" s="3">
        <v>40563</v>
      </c>
      <c r="B4039" s="3">
        <v>40563</v>
      </c>
      <c r="C4039">
        <v>146.94999999999999</v>
      </c>
      <c r="D4039">
        <v>1.3472999999999999</v>
      </c>
      <c r="E4039">
        <v>96.58</v>
      </c>
      <c r="F4039">
        <v>427.2</v>
      </c>
      <c r="K4039" s="3"/>
      <c r="O4039" s="3"/>
    </row>
    <row r="4040" spans="1:15">
      <c r="A4040" s="3">
        <v>40564</v>
      </c>
      <c r="B4040" s="3">
        <v>40564</v>
      </c>
      <c r="C4040">
        <v>146.93</v>
      </c>
      <c r="D4040">
        <v>1.3621000000000001</v>
      </c>
      <c r="E4040">
        <v>97.6</v>
      </c>
      <c r="F4040">
        <v>430.9</v>
      </c>
      <c r="K4040" s="3"/>
      <c r="O4040" s="3"/>
    </row>
    <row r="4041" spans="1:15">
      <c r="A4041" s="3">
        <v>40565</v>
      </c>
      <c r="B4041" s="3">
        <v>40565</v>
      </c>
      <c r="C4041">
        <v>146.93</v>
      </c>
      <c r="D4041">
        <v>1.3621000000000001</v>
      </c>
      <c r="E4041">
        <v>97.6</v>
      </c>
      <c r="F4041">
        <v>430.9</v>
      </c>
      <c r="K4041" s="3"/>
      <c r="O4041" s="3"/>
    </row>
    <row r="4042" spans="1:15">
      <c r="A4042" s="3">
        <v>40566</v>
      </c>
      <c r="B4042" s="3">
        <v>40566</v>
      </c>
      <c r="C4042">
        <v>146.93</v>
      </c>
      <c r="D4042">
        <v>1.3621000000000001</v>
      </c>
      <c r="E4042">
        <v>97.6</v>
      </c>
      <c r="F4042">
        <v>430.9</v>
      </c>
      <c r="K4042" s="3"/>
      <c r="O4042" s="3"/>
    </row>
    <row r="4043" spans="1:15">
      <c r="A4043" s="3">
        <v>40567</v>
      </c>
      <c r="B4043" s="3">
        <v>40567</v>
      </c>
      <c r="C4043">
        <v>146.84</v>
      </c>
      <c r="D4043">
        <v>1.3637999999999999</v>
      </c>
      <c r="E4043">
        <v>96.61</v>
      </c>
      <c r="F4043">
        <v>434.85</v>
      </c>
      <c r="K4043" s="3"/>
      <c r="O4043" s="3"/>
    </row>
    <row r="4044" spans="1:15">
      <c r="A4044" s="3">
        <v>40568</v>
      </c>
      <c r="B4044" s="3">
        <v>40568</v>
      </c>
      <c r="C4044">
        <v>146.82</v>
      </c>
      <c r="D4044">
        <v>1.3681000000000001</v>
      </c>
      <c r="E4044">
        <v>95.25</v>
      </c>
      <c r="F4044">
        <v>422.6</v>
      </c>
      <c r="K4044" s="3"/>
      <c r="O4044" s="3"/>
    </row>
    <row r="4045" spans="1:15">
      <c r="A4045" s="3">
        <v>40569</v>
      </c>
      <c r="B4045" s="3">
        <v>40569</v>
      </c>
      <c r="C4045">
        <v>146.80000000000001</v>
      </c>
      <c r="D4045">
        <v>1.3713</v>
      </c>
      <c r="E4045">
        <v>97.91</v>
      </c>
      <c r="F4045">
        <v>426.7</v>
      </c>
      <c r="K4045" s="3"/>
      <c r="O4045" s="3"/>
    </row>
    <row r="4046" spans="1:15">
      <c r="A4046" s="3">
        <v>40570</v>
      </c>
      <c r="B4046" s="3">
        <v>40570</v>
      </c>
      <c r="C4046">
        <v>146.78</v>
      </c>
      <c r="D4046">
        <v>1.3734</v>
      </c>
      <c r="E4046">
        <v>97.39</v>
      </c>
      <c r="F4046">
        <v>433.85</v>
      </c>
      <c r="K4046" s="3"/>
      <c r="O4046" s="3"/>
    </row>
    <row r="4047" spans="1:15">
      <c r="A4047" s="3">
        <v>40571</v>
      </c>
      <c r="B4047" s="3">
        <v>40571</v>
      </c>
      <c r="C4047">
        <v>146.83000000000001</v>
      </c>
      <c r="D4047">
        <v>1.3611</v>
      </c>
      <c r="E4047">
        <v>99.42</v>
      </c>
      <c r="F4047">
        <v>437.3</v>
      </c>
      <c r="K4047" s="3"/>
      <c r="O4047" s="3"/>
    </row>
    <row r="4048" spans="1:15">
      <c r="A4048" s="3">
        <v>40572</v>
      </c>
      <c r="B4048" s="3">
        <v>40572</v>
      </c>
      <c r="C4048">
        <v>146.83000000000001</v>
      </c>
      <c r="D4048">
        <v>1.3611</v>
      </c>
      <c r="E4048">
        <v>99.42</v>
      </c>
      <c r="F4048">
        <v>437.3</v>
      </c>
      <c r="K4048" s="3"/>
      <c r="O4048" s="3"/>
    </row>
    <row r="4049" spans="1:15">
      <c r="A4049" s="3">
        <v>40573</v>
      </c>
      <c r="B4049" s="3">
        <v>40573</v>
      </c>
      <c r="C4049">
        <v>146.83000000000001</v>
      </c>
      <c r="D4049">
        <v>1.3611</v>
      </c>
      <c r="E4049">
        <v>99.42</v>
      </c>
      <c r="F4049">
        <v>437.3</v>
      </c>
      <c r="K4049" s="3"/>
      <c r="O4049" s="3"/>
    </row>
    <row r="4050" spans="1:15">
      <c r="A4050" s="3">
        <v>40574</v>
      </c>
      <c r="B4050" s="3">
        <v>40574</v>
      </c>
      <c r="C4050">
        <v>146.94999999999999</v>
      </c>
      <c r="D4050">
        <v>1.3694</v>
      </c>
      <c r="E4050">
        <v>101.01</v>
      </c>
      <c r="F4050">
        <v>445.85</v>
      </c>
      <c r="K4050" s="3"/>
      <c r="O4050" s="3"/>
    </row>
    <row r="4051" spans="1:15">
      <c r="A4051" s="3">
        <v>40575</v>
      </c>
      <c r="B4051" s="3">
        <v>40575</v>
      </c>
      <c r="C4051">
        <v>146.88</v>
      </c>
      <c r="D4051">
        <v>1.3829</v>
      </c>
      <c r="E4051">
        <v>101.74</v>
      </c>
      <c r="F4051">
        <v>454.7</v>
      </c>
      <c r="K4051" s="3"/>
      <c r="O4051" s="3"/>
    </row>
    <row r="4052" spans="1:15">
      <c r="A4052" s="3">
        <v>40576</v>
      </c>
      <c r="B4052" s="3">
        <v>40576</v>
      </c>
      <c r="C4052">
        <v>146.86000000000001</v>
      </c>
      <c r="D4052">
        <v>1.3811</v>
      </c>
      <c r="E4052">
        <v>102.34</v>
      </c>
      <c r="F4052">
        <v>454.4</v>
      </c>
      <c r="K4052" s="3"/>
      <c r="O4052" s="3"/>
    </row>
    <row r="4053" spans="1:15">
      <c r="A4053" s="3">
        <v>40577</v>
      </c>
      <c r="B4053" s="3">
        <v>40577</v>
      </c>
      <c r="C4053">
        <v>146.77000000000001</v>
      </c>
      <c r="D4053">
        <v>1.3633999999999999</v>
      </c>
      <c r="E4053">
        <v>101.76</v>
      </c>
      <c r="F4053">
        <v>454.45</v>
      </c>
      <c r="K4053" s="3"/>
      <c r="O4053" s="3"/>
    </row>
    <row r="4054" spans="1:15">
      <c r="A4054" s="3">
        <v>40578</v>
      </c>
      <c r="B4054" s="3">
        <v>40578</v>
      </c>
      <c r="C4054">
        <v>146.78</v>
      </c>
      <c r="D4054">
        <v>1.3581000000000001</v>
      </c>
      <c r="E4054">
        <v>99.83</v>
      </c>
      <c r="F4054">
        <v>457.95</v>
      </c>
      <c r="K4054" s="3"/>
      <c r="O4054" s="3"/>
    </row>
    <row r="4055" spans="1:15">
      <c r="A4055" s="3">
        <v>40579</v>
      </c>
      <c r="B4055" s="3">
        <v>40579</v>
      </c>
      <c r="C4055">
        <v>146.78</v>
      </c>
      <c r="D4055">
        <v>1.3581000000000001</v>
      </c>
      <c r="E4055">
        <v>99.83</v>
      </c>
      <c r="F4055">
        <v>457.95</v>
      </c>
      <c r="K4055" s="3"/>
      <c r="O4055" s="3"/>
    </row>
    <row r="4056" spans="1:15">
      <c r="A4056" s="3">
        <v>40580</v>
      </c>
      <c r="B4056" s="3">
        <v>40580</v>
      </c>
      <c r="C4056">
        <v>146.78</v>
      </c>
      <c r="D4056">
        <v>1.3581000000000001</v>
      </c>
      <c r="E4056">
        <v>99.83</v>
      </c>
      <c r="F4056">
        <v>457.95</v>
      </c>
      <c r="K4056" s="3"/>
      <c r="O4056" s="3"/>
    </row>
    <row r="4057" spans="1:15">
      <c r="A4057" s="3">
        <v>40581</v>
      </c>
      <c r="B4057" s="3">
        <v>40581</v>
      </c>
      <c r="C4057">
        <v>146.72</v>
      </c>
      <c r="D4057">
        <v>1.3583000000000001</v>
      </c>
      <c r="E4057">
        <v>99.25</v>
      </c>
      <c r="F4057">
        <v>457.5</v>
      </c>
      <c r="K4057" s="3"/>
      <c r="O4057" s="3"/>
    </row>
    <row r="4058" spans="1:15">
      <c r="A4058" s="3">
        <v>40582</v>
      </c>
      <c r="B4058" s="3">
        <v>40582</v>
      </c>
      <c r="C4058">
        <v>146.51</v>
      </c>
      <c r="D4058">
        <v>1.3625</v>
      </c>
      <c r="E4058">
        <v>99.92</v>
      </c>
      <c r="F4058">
        <v>457.4</v>
      </c>
      <c r="K4058" s="3"/>
      <c r="O4058" s="3"/>
    </row>
    <row r="4059" spans="1:15">
      <c r="A4059" s="3">
        <v>40583</v>
      </c>
      <c r="B4059" s="3">
        <v>40583</v>
      </c>
      <c r="C4059">
        <v>146.44999999999999</v>
      </c>
      <c r="D4059">
        <v>1.3733</v>
      </c>
      <c r="E4059">
        <v>101.82</v>
      </c>
      <c r="F4059">
        <v>452.4</v>
      </c>
      <c r="K4059" s="3"/>
      <c r="O4059" s="3"/>
    </row>
    <row r="4060" spans="1:15">
      <c r="A4060" s="3">
        <v>40584</v>
      </c>
      <c r="B4060" s="3">
        <v>40584</v>
      </c>
      <c r="C4060">
        <v>146.5</v>
      </c>
      <c r="D4060">
        <v>1.3603000000000001</v>
      </c>
      <c r="E4060">
        <v>100.87</v>
      </c>
      <c r="F4060">
        <v>454.35</v>
      </c>
      <c r="K4060" s="3"/>
      <c r="O4060" s="3"/>
    </row>
    <row r="4061" spans="1:15">
      <c r="A4061" s="3">
        <v>40585</v>
      </c>
      <c r="B4061" s="3">
        <v>40585</v>
      </c>
      <c r="C4061">
        <v>146.41999999999999</v>
      </c>
      <c r="D4061">
        <v>1.3553999999999999</v>
      </c>
      <c r="E4061">
        <v>101.43</v>
      </c>
      <c r="F4061">
        <v>453.6</v>
      </c>
      <c r="K4061" s="3"/>
      <c r="O4061" s="3"/>
    </row>
    <row r="4062" spans="1:15">
      <c r="A4062" s="3">
        <v>40586</v>
      </c>
      <c r="B4062" s="3">
        <v>40586</v>
      </c>
      <c r="C4062">
        <v>146.41999999999999</v>
      </c>
      <c r="D4062">
        <v>1.3553999999999999</v>
      </c>
      <c r="E4062">
        <v>101.43</v>
      </c>
      <c r="F4062">
        <v>453.6</v>
      </c>
      <c r="K4062" s="3"/>
      <c r="O4062" s="3"/>
    </row>
    <row r="4063" spans="1:15">
      <c r="A4063" s="3">
        <v>40587</v>
      </c>
      <c r="B4063" s="3">
        <v>40587</v>
      </c>
      <c r="C4063">
        <v>146.41999999999999</v>
      </c>
      <c r="D4063">
        <v>1.3553999999999999</v>
      </c>
      <c r="E4063">
        <v>101.43</v>
      </c>
      <c r="F4063">
        <v>453.6</v>
      </c>
      <c r="K4063" s="3"/>
      <c r="O4063" s="3"/>
    </row>
    <row r="4064" spans="1:15">
      <c r="A4064" s="3">
        <v>40588</v>
      </c>
      <c r="B4064" s="3">
        <v>40588</v>
      </c>
      <c r="C4064">
        <v>146.4</v>
      </c>
      <c r="D4064">
        <v>1.3489</v>
      </c>
      <c r="E4064">
        <v>103.08</v>
      </c>
      <c r="F4064">
        <v>462.85</v>
      </c>
      <c r="K4064" s="3"/>
      <c r="O4064" s="3"/>
    </row>
    <row r="4065" spans="1:15">
      <c r="A4065" s="3">
        <v>40589</v>
      </c>
      <c r="B4065" s="3">
        <v>40589</v>
      </c>
      <c r="C4065">
        <v>146.38999999999999</v>
      </c>
      <c r="D4065">
        <v>1.3487</v>
      </c>
      <c r="E4065">
        <v>101.64</v>
      </c>
      <c r="F4065">
        <v>453.6</v>
      </c>
      <c r="K4065" s="3"/>
      <c r="O4065" s="3"/>
    </row>
    <row r="4066" spans="1:15">
      <c r="A4066" s="3">
        <v>40590</v>
      </c>
      <c r="B4066" s="3">
        <v>40590</v>
      </c>
      <c r="C4066">
        <v>146.33000000000001</v>
      </c>
      <c r="D4066">
        <v>1.3569</v>
      </c>
      <c r="E4066">
        <v>103.78</v>
      </c>
      <c r="F4066">
        <v>447</v>
      </c>
      <c r="K4066" s="3"/>
      <c r="O4066" s="3"/>
    </row>
    <row r="4067" spans="1:15">
      <c r="A4067" s="3">
        <v>40591</v>
      </c>
      <c r="B4067" s="3">
        <v>40591</v>
      </c>
      <c r="C4067">
        <v>146.24</v>
      </c>
      <c r="D4067">
        <v>1.3609</v>
      </c>
      <c r="E4067">
        <v>102.59</v>
      </c>
      <c r="F4067">
        <v>448.4</v>
      </c>
      <c r="K4067" s="3"/>
      <c r="O4067" s="3"/>
    </row>
    <row r="4068" spans="1:15">
      <c r="A4068" s="3">
        <v>40592</v>
      </c>
      <c r="B4068" s="3">
        <v>40592</v>
      </c>
      <c r="C4068">
        <v>146.19</v>
      </c>
      <c r="D4068">
        <v>1.3693</v>
      </c>
      <c r="E4068">
        <v>102.52</v>
      </c>
      <c r="F4068">
        <v>448.2</v>
      </c>
      <c r="K4068" s="3"/>
      <c r="O4068" s="3"/>
    </row>
    <row r="4069" spans="1:15">
      <c r="A4069" s="3">
        <v>40593</v>
      </c>
      <c r="B4069" s="3">
        <v>40593</v>
      </c>
      <c r="C4069">
        <v>146.19</v>
      </c>
      <c r="D4069">
        <v>1.3693</v>
      </c>
      <c r="E4069">
        <v>102.52</v>
      </c>
      <c r="F4069">
        <v>448.2</v>
      </c>
      <c r="K4069" s="3"/>
      <c r="O4069" s="3"/>
    </row>
    <row r="4070" spans="1:15">
      <c r="A4070" s="3">
        <v>40594</v>
      </c>
      <c r="B4070" s="3">
        <v>40594</v>
      </c>
      <c r="C4070">
        <v>146.19</v>
      </c>
      <c r="D4070">
        <v>1.3693</v>
      </c>
      <c r="E4070">
        <v>102.52</v>
      </c>
      <c r="F4070">
        <v>448.2</v>
      </c>
      <c r="K4070" s="3"/>
      <c r="O4070" s="3"/>
    </row>
    <row r="4071" spans="1:15">
      <c r="A4071" s="3">
        <v>40595</v>
      </c>
      <c r="B4071" s="3">
        <v>40595</v>
      </c>
      <c r="C4071">
        <v>146.18</v>
      </c>
      <c r="D4071">
        <v>1.3677999999999999</v>
      </c>
      <c r="E4071">
        <v>105.74</v>
      </c>
      <c r="F4071">
        <v>448.2</v>
      </c>
      <c r="K4071" s="3"/>
      <c r="O4071" s="3"/>
    </row>
    <row r="4072" spans="1:15">
      <c r="A4072" s="3">
        <v>40596</v>
      </c>
      <c r="B4072" s="3">
        <v>40596</v>
      </c>
      <c r="C4072">
        <v>146.22</v>
      </c>
      <c r="D4072">
        <v>1.365</v>
      </c>
      <c r="E4072">
        <v>105.78</v>
      </c>
      <c r="F4072">
        <v>434.7</v>
      </c>
      <c r="K4072" s="3"/>
      <c r="O4072" s="3"/>
    </row>
    <row r="4073" spans="1:15">
      <c r="A4073" s="3">
        <v>40597</v>
      </c>
      <c r="B4073" s="3">
        <v>40597</v>
      </c>
      <c r="C4073">
        <v>146.07</v>
      </c>
      <c r="D4073">
        <v>1.3749</v>
      </c>
      <c r="E4073">
        <v>111.25</v>
      </c>
      <c r="F4073">
        <v>427.55</v>
      </c>
      <c r="K4073" s="3"/>
      <c r="O4073" s="3"/>
    </row>
    <row r="4074" spans="1:15">
      <c r="A4074" s="3">
        <v>40598</v>
      </c>
      <c r="B4074" s="3">
        <v>40598</v>
      </c>
      <c r="C4074">
        <v>146.01</v>
      </c>
      <c r="D4074">
        <v>1.38</v>
      </c>
      <c r="E4074">
        <v>111.36</v>
      </c>
      <c r="F4074">
        <v>432.65</v>
      </c>
      <c r="K4074" s="3"/>
      <c r="O4074" s="3"/>
    </row>
    <row r="4075" spans="1:15">
      <c r="A4075" s="3">
        <v>40599</v>
      </c>
      <c r="B4075" s="3">
        <v>40599</v>
      </c>
      <c r="C4075">
        <v>145.99</v>
      </c>
      <c r="D4075">
        <v>1.3754</v>
      </c>
      <c r="E4075">
        <v>112.14</v>
      </c>
      <c r="F4075">
        <v>443.6</v>
      </c>
      <c r="K4075" s="3"/>
      <c r="O4075" s="3"/>
    </row>
    <row r="4076" spans="1:15">
      <c r="A4076" s="3">
        <v>40600</v>
      </c>
      <c r="B4076" s="3">
        <v>40600</v>
      </c>
      <c r="C4076">
        <v>145.99</v>
      </c>
      <c r="D4076">
        <v>1.3754</v>
      </c>
      <c r="E4076">
        <v>112.14</v>
      </c>
      <c r="F4076">
        <v>443.6</v>
      </c>
      <c r="K4076" s="3"/>
      <c r="O4076" s="3"/>
    </row>
    <row r="4077" spans="1:15">
      <c r="A4077" s="3">
        <v>40601</v>
      </c>
      <c r="B4077" s="3">
        <v>40601</v>
      </c>
      <c r="C4077">
        <v>145.99</v>
      </c>
      <c r="D4077">
        <v>1.3754</v>
      </c>
      <c r="E4077">
        <v>112.14</v>
      </c>
      <c r="F4077">
        <v>443.6</v>
      </c>
      <c r="K4077" s="3"/>
      <c r="O4077" s="3"/>
    </row>
    <row r="4078" spans="1:15">
      <c r="A4078" s="3">
        <v>40602</v>
      </c>
      <c r="B4078" s="3">
        <v>40602</v>
      </c>
      <c r="C4078">
        <v>145.94999999999999</v>
      </c>
      <c r="D4078">
        <v>1.3806</v>
      </c>
      <c r="E4078">
        <v>111.8</v>
      </c>
      <c r="F4078">
        <v>447.8</v>
      </c>
      <c r="K4078" s="3"/>
      <c r="O4078" s="3"/>
    </row>
    <row r="4079" spans="1:15">
      <c r="A4079" s="3">
        <v>40603</v>
      </c>
      <c r="B4079" s="3">
        <v>40603</v>
      </c>
      <c r="C4079">
        <v>145.91</v>
      </c>
      <c r="D4079">
        <v>1.3776999999999999</v>
      </c>
      <c r="E4079">
        <v>115.42</v>
      </c>
      <c r="F4079">
        <v>449.05</v>
      </c>
      <c r="K4079" s="3"/>
      <c r="O4079" s="3"/>
    </row>
    <row r="4080" spans="1:15">
      <c r="A4080" s="3">
        <v>40604</v>
      </c>
      <c r="B4080" s="3">
        <v>40604</v>
      </c>
      <c r="C4080">
        <v>145.81</v>
      </c>
      <c r="D4080">
        <v>1.3866000000000001</v>
      </c>
      <c r="E4080">
        <v>116.35</v>
      </c>
      <c r="F4080">
        <v>448</v>
      </c>
      <c r="K4080" s="3"/>
      <c r="O4080" s="3"/>
    </row>
    <row r="4081" spans="1:15">
      <c r="A4081" s="3">
        <v>40605</v>
      </c>
      <c r="B4081" s="3">
        <v>40605</v>
      </c>
      <c r="C4081">
        <v>145.72</v>
      </c>
      <c r="D4081">
        <v>1.3969</v>
      </c>
      <c r="E4081">
        <v>114.79</v>
      </c>
      <c r="F4081">
        <v>447.5</v>
      </c>
      <c r="K4081" s="3"/>
      <c r="O4081" s="3"/>
    </row>
    <row r="4082" spans="1:15">
      <c r="A4082" s="3">
        <v>40606</v>
      </c>
      <c r="B4082" s="3">
        <v>40606</v>
      </c>
      <c r="C4082">
        <v>145.6</v>
      </c>
      <c r="D4082">
        <v>1.3987000000000001</v>
      </c>
      <c r="E4082">
        <v>115.97</v>
      </c>
      <c r="F4082">
        <v>447.2</v>
      </c>
      <c r="K4082" s="3"/>
      <c r="O4082" s="3"/>
    </row>
    <row r="4083" spans="1:15">
      <c r="A4083" s="3">
        <v>40607</v>
      </c>
      <c r="B4083" s="3">
        <v>40607</v>
      </c>
      <c r="C4083">
        <v>145.6</v>
      </c>
      <c r="D4083">
        <v>1.3987000000000001</v>
      </c>
      <c r="E4083">
        <v>115.97</v>
      </c>
      <c r="F4083">
        <v>447.2</v>
      </c>
      <c r="K4083" s="3"/>
      <c r="O4083" s="3"/>
    </row>
    <row r="4084" spans="1:15">
      <c r="A4084" s="3">
        <v>40608</v>
      </c>
      <c r="B4084" s="3">
        <v>40608</v>
      </c>
      <c r="C4084">
        <v>145.6</v>
      </c>
      <c r="D4084">
        <v>1.3987000000000001</v>
      </c>
      <c r="E4084">
        <v>115.97</v>
      </c>
      <c r="F4084">
        <v>447.2</v>
      </c>
      <c r="K4084" s="3"/>
      <c r="O4084" s="3"/>
    </row>
    <row r="4085" spans="1:15">
      <c r="A4085" s="3">
        <v>40609</v>
      </c>
      <c r="B4085" s="3">
        <v>40609</v>
      </c>
      <c r="C4085">
        <v>145.6</v>
      </c>
      <c r="D4085">
        <v>1.3968</v>
      </c>
      <c r="E4085">
        <v>115.04</v>
      </c>
      <c r="F4085">
        <v>431.3</v>
      </c>
      <c r="K4085" s="3"/>
      <c r="O4085" s="3"/>
    </row>
    <row r="4086" spans="1:15">
      <c r="A4086" s="3">
        <v>40610</v>
      </c>
      <c r="B4086" s="3">
        <v>40610</v>
      </c>
      <c r="C4086">
        <v>145.6</v>
      </c>
      <c r="D4086">
        <v>1.3905000000000001</v>
      </c>
      <c r="E4086">
        <v>113.06</v>
      </c>
      <c r="F4086">
        <v>432.5</v>
      </c>
      <c r="K4086" s="3"/>
      <c r="O4086" s="3"/>
    </row>
    <row r="4087" spans="1:15">
      <c r="A4087" s="3">
        <v>40611</v>
      </c>
      <c r="B4087" s="3">
        <v>40611</v>
      </c>
      <c r="C4087">
        <v>145.66</v>
      </c>
      <c r="D4087">
        <v>1.3909</v>
      </c>
      <c r="E4087">
        <v>115.94</v>
      </c>
      <c r="F4087">
        <v>419.95</v>
      </c>
      <c r="K4087" s="3"/>
      <c r="O4087" s="3"/>
    </row>
    <row r="4088" spans="1:15">
      <c r="A4088" s="3">
        <v>40612</v>
      </c>
      <c r="B4088" s="3">
        <v>40612</v>
      </c>
      <c r="C4088">
        <v>145.6</v>
      </c>
      <c r="D4088">
        <v>1.3797999999999999</v>
      </c>
      <c r="E4088">
        <v>115.43</v>
      </c>
      <c r="F4088">
        <v>418.45</v>
      </c>
      <c r="K4088" s="3"/>
      <c r="O4088" s="3"/>
    </row>
    <row r="4089" spans="1:15">
      <c r="A4089" s="3">
        <v>40613</v>
      </c>
      <c r="B4089" s="3">
        <v>40613</v>
      </c>
      <c r="C4089">
        <v>145.94999999999999</v>
      </c>
      <c r="D4089">
        <v>1.3903000000000001</v>
      </c>
      <c r="E4089">
        <v>113.84</v>
      </c>
      <c r="F4089">
        <v>419.5</v>
      </c>
      <c r="K4089" s="3"/>
      <c r="O4089" s="3"/>
    </row>
    <row r="4090" spans="1:15">
      <c r="A4090" s="3">
        <v>40614</v>
      </c>
      <c r="B4090" s="3">
        <v>40614</v>
      </c>
      <c r="C4090">
        <v>145.94999999999999</v>
      </c>
      <c r="D4090">
        <v>1.3903000000000001</v>
      </c>
      <c r="E4090">
        <v>113.84</v>
      </c>
      <c r="F4090">
        <v>419.5</v>
      </c>
      <c r="K4090" s="3"/>
      <c r="O4090" s="3"/>
    </row>
    <row r="4091" spans="1:15">
      <c r="A4091" s="3">
        <v>40615</v>
      </c>
      <c r="B4091" s="3">
        <v>40615</v>
      </c>
      <c r="C4091">
        <v>145.94999999999999</v>
      </c>
      <c r="D4091">
        <v>1.3903000000000001</v>
      </c>
      <c r="E4091">
        <v>113.84</v>
      </c>
      <c r="F4091">
        <v>419.5</v>
      </c>
      <c r="K4091" s="3"/>
      <c r="O4091" s="3"/>
    </row>
    <row r="4092" spans="1:15">
      <c r="A4092" s="3">
        <v>40616</v>
      </c>
      <c r="B4092" s="3">
        <v>40616</v>
      </c>
      <c r="C4092">
        <v>146</v>
      </c>
      <c r="D4092">
        <v>1.3992</v>
      </c>
      <c r="E4092">
        <v>113.67</v>
      </c>
      <c r="F4092">
        <v>417.35</v>
      </c>
      <c r="K4092" s="3"/>
      <c r="O4092" s="3"/>
    </row>
    <row r="4093" spans="1:15">
      <c r="A4093" s="3">
        <v>40617</v>
      </c>
      <c r="B4093" s="3">
        <v>40617</v>
      </c>
      <c r="C4093">
        <v>146.03</v>
      </c>
      <c r="D4093">
        <v>1.3997999999999999</v>
      </c>
      <c r="E4093">
        <v>108.52</v>
      </c>
      <c r="F4093">
        <v>412.5</v>
      </c>
      <c r="K4093" s="3"/>
      <c r="O4093" s="3"/>
    </row>
    <row r="4094" spans="1:15">
      <c r="A4094" s="3">
        <v>40618</v>
      </c>
      <c r="B4094" s="3">
        <v>40618</v>
      </c>
      <c r="C4094">
        <v>145.78</v>
      </c>
      <c r="D4094">
        <v>1.39</v>
      </c>
      <c r="E4094">
        <v>110.62</v>
      </c>
      <c r="F4094">
        <v>418.7</v>
      </c>
      <c r="K4094" s="3"/>
      <c r="O4094" s="3"/>
    </row>
    <row r="4095" spans="1:15">
      <c r="A4095" s="3">
        <v>40619</v>
      </c>
      <c r="B4095" s="3">
        <v>40619</v>
      </c>
      <c r="C4095">
        <v>145.79</v>
      </c>
      <c r="D4095">
        <v>1.4020999999999999</v>
      </c>
      <c r="E4095">
        <v>114.9</v>
      </c>
      <c r="F4095">
        <v>433.6</v>
      </c>
      <c r="K4095" s="3"/>
      <c r="O4095" s="3"/>
    </row>
    <row r="4096" spans="1:15">
      <c r="A4096" s="3">
        <v>40620</v>
      </c>
      <c r="B4096" s="3">
        <v>40620</v>
      </c>
      <c r="C4096">
        <v>145.69999999999999</v>
      </c>
      <c r="D4096">
        <v>1.4181999999999999</v>
      </c>
      <c r="E4096">
        <v>113.93</v>
      </c>
      <c r="F4096">
        <v>432.95</v>
      </c>
      <c r="K4096" s="3"/>
      <c r="O4096" s="3"/>
    </row>
    <row r="4097" spans="1:15">
      <c r="A4097" s="3">
        <v>40621</v>
      </c>
      <c r="B4097" s="3">
        <v>40621</v>
      </c>
      <c r="C4097">
        <v>145.69999999999999</v>
      </c>
      <c r="D4097">
        <v>1.4181999999999999</v>
      </c>
      <c r="E4097">
        <v>113.93</v>
      </c>
      <c r="F4097">
        <v>432.95</v>
      </c>
      <c r="K4097" s="3"/>
      <c r="O4097" s="3"/>
    </row>
    <row r="4098" spans="1:15">
      <c r="A4098" s="3">
        <v>40622</v>
      </c>
      <c r="B4098" s="3">
        <v>40622</v>
      </c>
      <c r="C4098">
        <v>145.69999999999999</v>
      </c>
      <c r="D4098">
        <v>1.4181999999999999</v>
      </c>
      <c r="E4098">
        <v>113.93</v>
      </c>
      <c r="F4098">
        <v>432.95</v>
      </c>
      <c r="K4098" s="3"/>
      <c r="O4098" s="3"/>
    </row>
    <row r="4099" spans="1:15">
      <c r="A4099" s="3">
        <v>40623</v>
      </c>
      <c r="B4099" s="3">
        <v>40623</v>
      </c>
      <c r="C4099">
        <v>145.69999999999999</v>
      </c>
      <c r="D4099">
        <v>1.4226000000000001</v>
      </c>
      <c r="E4099">
        <v>114.96</v>
      </c>
      <c r="F4099">
        <v>427.55</v>
      </c>
      <c r="K4099" s="3"/>
      <c r="O4099" s="3"/>
    </row>
    <row r="4100" spans="1:15">
      <c r="A4100" s="3">
        <v>40624</v>
      </c>
      <c r="B4100" s="3">
        <v>40624</v>
      </c>
      <c r="C4100">
        <v>145.83000000000001</v>
      </c>
      <c r="D4100">
        <v>1.4196</v>
      </c>
      <c r="E4100">
        <v>115.7</v>
      </c>
      <c r="F4100">
        <v>430.35</v>
      </c>
      <c r="K4100" s="3"/>
      <c r="O4100" s="3"/>
    </row>
    <row r="4101" spans="1:15">
      <c r="A4101" s="3">
        <v>40625</v>
      </c>
      <c r="B4101" s="3">
        <v>40625</v>
      </c>
      <c r="C4101">
        <v>145.81</v>
      </c>
      <c r="D4101">
        <v>1.4088000000000001</v>
      </c>
      <c r="E4101">
        <v>115.55</v>
      </c>
      <c r="F4101">
        <v>441.85</v>
      </c>
      <c r="K4101" s="3"/>
      <c r="O4101" s="3"/>
    </row>
    <row r="4102" spans="1:15">
      <c r="A4102" s="3">
        <v>40626</v>
      </c>
      <c r="B4102" s="3">
        <v>40626</v>
      </c>
      <c r="C4102">
        <v>145.84</v>
      </c>
      <c r="D4102">
        <v>1.4177</v>
      </c>
      <c r="E4102">
        <v>115.72</v>
      </c>
      <c r="F4102">
        <v>441.4</v>
      </c>
      <c r="K4102" s="3"/>
      <c r="O4102" s="3"/>
    </row>
    <row r="4103" spans="1:15">
      <c r="A4103" s="3">
        <v>40627</v>
      </c>
      <c r="B4103" s="3">
        <v>40627</v>
      </c>
      <c r="C4103">
        <v>145.51</v>
      </c>
      <c r="D4103">
        <v>1.4088000000000001</v>
      </c>
      <c r="E4103">
        <v>115.59</v>
      </c>
      <c r="F4103">
        <v>440.85</v>
      </c>
      <c r="K4103" s="3"/>
      <c r="O4103" s="3"/>
    </row>
    <row r="4104" spans="1:15">
      <c r="A4104" s="3">
        <v>40628</v>
      </c>
      <c r="B4104" s="3">
        <v>40628</v>
      </c>
      <c r="C4104">
        <v>145.51</v>
      </c>
      <c r="D4104">
        <v>1.4088000000000001</v>
      </c>
      <c r="E4104">
        <v>115.59</v>
      </c>
      <c r="F4104">
        <v>440.85</v>
      </c>
      <c r="K4104" s="3"/>
      <c r="O4104" s="3"/>
    </row>
    <row r="4105" spans="1:15">
      <c r="A4105" s="3">
        <v>40629</v>
      </c>
      <c r="B4105" s="3">
        <v>40629</v>
      </c>
      <c r="C4105">
        <v>145.51</v>
      </c>
      <c r="D4105">
        <v>1.4088000000000001</v>
      </c>
      <c r="E4105">
        <v>115.59</v>
      </c>
      <c r="F4105">
        <v>440.85</v>
      </c>
      <c r="K4105" s="3"/>
      <c r="O4105" s="3"/>
    </row>
    <row r="4106" spans="1:15">
      <c r="A4106" s="3">
        <v>40630</v>
      </c>
      <c r="B4106" s="3">
        <v>40630</v>
      </c>
      <c r="C4106">
        <v>145.59</v>
      </c>
      <c r="D4106">
        <v>1.4087000000000001</v>
      </c>
      <c r="E4106">
        <v>114.8</v>
      </c>
      <c r="F4106">
        <v>434.05</v>
      </c>
      <c r="K4106" s="3"/>
      <c r="O4106" s="3"/>
    </row>
    <row r="4107" spans="1:15">
      <c r="A4107" s="3">
        <v>40631</v>
      </c>
      <c r="B4107" s="3">
        <v>40631</v>
      </c>
      <c r="C4107">
        <v>145.59</v>
      </c>
      <c r="D4107">
        <v>1.4113</v>
      </c>
      <c r="E4107">
        <v>115.16</v>
      </c>
      <c r="F4107">
        <v>433.75</v>
      </c>
      <c r="K4107" s="3"/>
      <c r="O4107" s="3"/>
    </row>
    <row r="4108" spans="1:15">
      <c r="A4108" s="3">
        <v>40632</v>
      </c>
      <c r="B4108" s="3">
        <v>40632</v>
      </c>
      <c r="C4108">
        <v>145.69999999999999</v>
      </c>
      <c r="D4108">
        <v>1.4127000000000001</v>
      </c>
      <c r="E4108">
        <v>115.13</v>
      </c>
      <c r="F4108">
        <v>427.4</v>
      </c>
      <c r="K4108" s="3"/>
      <c r="O4108" s="3"/>
    </row>
    <row r="4109" spans="1:15">
      <c r="A4109" s="3">
        <v>40633</v>
      </c>
      <c r="B4109" s="3">
        <v>40633</v>
      </c>
      <c r="C4109">
        <v>145.61000000000001</v>
      </c>
      <c r="D4109">
        <v>1.4157999999999999</v>
      </c>
      <c r="E4109">
        <v>117.36</v>
      </c>
      <c r="F4109">
        <v>430.75</v>
      </c>
      <c r="K4109" s="3"/>
      <c r="O4109" s="3"/>
    </row>
    <row r="4110" spans="1:15">
      <c r="A4110" s="3">
        <v>40634</v>
      </c>
      <c r="B4110" s="3">
        <v>40634</v>
      </c>
      <c r="C4110">
        <v>145.69999999999999</v>
      </c>
      <c r="D4110">
        <v>1.4237</v>
      </c>
      <c r="E4110">
        <v>118.7</v>
      </c>
      <c r="F4110">
        <v>425.85</v>
      </c>
      <c r="K4110" s="3"/>
      <c r="O4110" s="3"/>
    </row>
    <row r="4111" spans="1:15">
      <c r="A4111" s="3">
        <v>40635</v>
      </c>
      <c r="B4111" s="3">
        <v>40635</v>
      </c>
      <c r="C4111">
        <v>145.69999999999999</v>
      </c>
      <c r="D4111">
        <v>1.4237</v>
      </c>
      <c r="E4111">
        <v>118.7</v>
      </c>
      <c r="F4111">
        <v>425.85</v>
      </c>
      <c r="K4111" s="3"/>
      <c r="O4111" s="3"/>
    </row>
    <row r="4112" spans="1:15">
      <c r="A4112" s="3">
        <v>40636</v>
      </c>
      <c r="B4112" s="3">
        <v>40636</v>
      </c>
      <c r="C4112">
        <v>145.69999999999999</v>
      </c>
      <c r="D4112">
        <v>1.4237</v>
      </c>
      <c r="E4112">
        <v>118.7</v>
      </c>
      <c r="F4112">
        <v>425.85</v>
      </c>
      <c r="K4112" s="3"/>
      <c r="O4112" s="3"/>
    </row>
    <row r="4113" spans="1:15">
      <c r="A4113" s="3">
        <v>40637</v>
      </c>
      <c r="B4113" s="3">
        <v>40637</v>
      </c>
      <c r="C4113">
        <v>145.69999999999999</v>
      </c>
      <c r="D4113">
        <v>1.4220999999999999</v>
      </c>
      <c r="E4113">
        <v>121.06</v>
      </c>
      <c r="F4113">
        <v>425.5</v>
      </c>
      <c r="K4113" s="3"/>
      <c r="O4113" s="3"/>
    </row>
    <row r="4114" spans="1:15">
      <c r="A4114" s="3">
        <v>40638</v>
      </c>
      <c r="B4114" s="3">
        <v>40638</v>
      </c>
      <c r="C4114">
        <v>145.49</v>
      </c>
      <c r="D4114">
        <v>1.4222999999999999</v>
      </c>
      <c r="E4114">
        <v>122.22</v>
      </c>
      <c r="F4114">
        <v>426.45</v>
      </c>
      <c r="K4114" s="3"/>
      <c r="O4114" s="3"/>
    </row>
    <row r="4115" spans="1:15">
      <c r="A4115" s="3">
        <v>40639</v>
      </c>
      <c r="B4115" s="3">
        <v>40639</v>
      </c>
      <c r="C4115">
        <v>145.4</v>
      </c>
      <c r="D4115">
        <v>1.4331</v>
      </c>
      <c r="E4115">
        <v>122.3</v>
      </c>
      <c r="F4115">
        <v>437</v>
      </c>
      <c r="K4115" s="3"/>
      <c r="O4115" s="3"/>
    </row>
    <row r="4116" spans="1:15">
      <c r="A4116" s="3">
        <v>40640</v>
      </c>
      <c r="B4116" s="3">
        <v>40640</v>
      </c>
      <c r="C4116">
        <v>145.44</v>
      </c>
      <c r="D4116">
        <v>1.4308000000000001</v>
      </c>
      <c r="E4116">
        <v>122.67</v>
      </c>
      <c r="F4116">
        <v>441.65</v>
      </c>
      <c r="K4116" s="3"/>
      <c r="O4116" s="3"/>
    </row>
    <row r="4117" spans="1:15">
      <c r="A4117" s="3">
        <v>40641</v>
      </c>
      <c r="B4117" s="3">
        <v>40641</v>
      </c>
      <c r="C4117">
        <v>145.41</v>
      </c>
      <c r="D4117">
        <v>1.4482999999999999</v>
      </c>
      <c r="E4117">
        <v>126.65</v>
      </c>
      <c r="F4117">
        <v>450.15</v>
      </c>
      <c r="K4117" s="3"/>
      <c r="O4117" s="3"/>
    </row>
    <row r="4118" spans="1:15">
      <c r="A4118" s="3">
        <v>40642</v>
      </c>
      <c r="B4118" s="3">
        <v>40642</v>
      </c>
      <c r="C4118">
        <v>145.41</v>
      </c>
      <c r="D4118">
        <v>1.4482999999999999</v>
      </c>
      <c r="E4118">
        <v>126.65</v>
      </c>
      <c r="F4118">
        <v>450.15</v>
      </c>
      <c r="K4118" s="3"/>
      <c r="O4118" s="3"/>
    </row>
    <row r="4119" spans="1:15">
      <c r="A4119" s="3">
        <v>40643</v>
      </c>
      <c r="B4119" s="3">
        <v>40643</v>
      </c>
      <c r="C4119">
        <v>145.41</v>
      </c>
      <c r="D4119">
        <v>1.4482999999999999</v>
      </c>
      <c r="E4119">
        <v>126.65</v>
      </c>
      <c r="F4119">
        <v>450.15</v>
      </c>
      <c r="K4119" s="3"/>
      <c r="O4119" s="3"/>
    </row>
    <row r="4120" spans="1:15">
      <c r="A4120" s="3">
        <v>40644</v>
      </c>
      <c r="B4120" s="3">
        <v>40644</v>
      </c>
      <c r="C4120">
        <v>145.4</v>
      </c>
      <c r="D4120">
        <v>1.4436</v>
      </c>
      <c r="E4120">
        <v>123.98</v>
      </c>
      <c r="F4120">
        <v>446</v>
      </c>
      <c r="K4120" s="3"/>
      <c r="O4120" s="3"/>
    </row>
    <row r="4121" spans="1:15">
      <c r="A4121" s="3">
        <v>40645</v>
      </c>
      <c r="B4121" s="3">
        <v>40645</v>
      </c>
      <c r="C4121">
        <v>145.38999999999999</v>
      </c>
      <c r="D4121">
        <v>1.4477</v>
      </c>
      <c r="E4121">
        <v>120.92</v>
      </c>
      <c r="F4121">
        <v>438.35</v>
      </c>
      <c r="K4121" s="3"/>
      <c r="O4121" s="3"/>
    </row>
    <row r="4122" spans="1:15">
      <c r="A4122" s="3">
        <v>40646</v>
      </c>
      <c r="B4122" s="3">
        <v>40646</v>
      </c>
      <c r="C4122">
        <v>145.33000000000001</v>
      </c>
      <c r="D4122">
        <v>1.4442999999999999</v>
      </c>
      <c r="E4122">
        <v>122.88</v>
      </c>
      <c r="F4122">
        <v>429.45</v>
      </c>
      <c r="K4122" s="3"/>
      <c r="O4122" s="3"/>
    </row>
    <row r="4123" spans="1:15">
      <c r="A4123" s="3">
        <v>40647</v>
      </c>
      <c r="B4123" s="3">
        <v>40647</v>
      </c>
      <c r="C4123">
        <v>145.37</v>
      </c>
      <c r="D4123">
        <v>1.4488000000000001</v>
      </c>
      <c r="E4123">
        <v>122.36</v>
      </c>
      <c r="F4123">
        <v>428.4</v>
      </c>
      <c r="K4123" s="3"/>
      <c r="O4123" s="3"/>
    </row>
    <row r="4124" spans="1:15">
      <c r="A4124" s="3">
        <v>40648</v>
      </c>
      <c r="B4124" s="3">
        <v>40648</v>
      </c>
      <c r="C4124">
        <v>145.44999999999999</v>
      </c>
      <c r="D4124">
        <v>1.4430000000000001</v>
      </c>
      <c r="E4124">
        <v>123.45</v>
      </c>
      <c r="F4124">
        <v>425.75</v>
      </c>
      <c r="K4124" s="3"/>
      <c r="O4124" s="3"/>
    </row>
    <row r="4125" spans="1:15">
      <c r="A4125" s="3">
        <v>40649</v>
      </c>
      <c r="B4125" s="3">
        <v>40649</v>
      </c>
      <c r="C4125">
        <v>145.44999999999999</v>
      </c>
      <c r="D4125">
        <v>1.4430000000000001</v>
      </c>
      <c r="E4125">
        <v>123.45</v>
      </c>
      <c r="F4125">
        <v>425.75</v>
      </c>
      <c r="K4125" s="3"/>
      <c r="O4125" s="3"/>
    </row>
    <row r="4126" spans="1:15">
      <c r="A4126" s="3">
        <v>40650</v>
      </c>
      <c r="B4126" s="3">
        <v>40650</v>
      </c>
      <c r="C4126">
        <v>145.44999999999999</v>
      </c>
      <c r="D4126">
        <v>1.4430000000000001</v>
      </c>
      <c r="E4126">
        <v>123.45</v>
      </c>
      <c r="F4126">
        <v>425.75</v>
      </c>
      <c r="K4126" s="3"/>
      <c r="O4126" s="3"/>
    </row>
    <row r="4127" spans="1:15">
      <c r="A4127" s="3">
        <v>40651</v>
      </c>
      <c r="B4127" s="3">
        <v>40651</v>
      </c>
      <c r="C4127">
        <v>145.63</v>
      </c>
      <c r="D4127">
        <v>1.4235</v>
      </c>
      <c r="E4127">
        <v>121.61</v>
      </c>
      <c r="F4127">
        <v>419.8</v>
      </c>
      <c r="K4127" s="3"/>
      <c r="O4127" s="3"/>
    </row>
    <row r="4128" spans="1:15">
      <c r="A4128" s="3">
        <v>40652</v>
      </c>
      <c r="B4128" s="3">
        <v>40652</v>
      </c>
      <c r="C4128">
        <v>145.47999999999999</v>
      </c>
      <c r="D4128">
        <v>1.4335</v>
      </c>
      <c r="E4128">
        <v>121.33</v>
      </c>
      <c r="F4128">
        <v>422.95</v>
      </c>
      <c r="K4128" s="3"/>
      <c r="O4128" s="3"/>
    </row>
    <row r="4129" spans="1:15">
      <c r="A4129" s="3">
        <v>40653</v>
      </c>
      <c r="B4129" s="3">
        <v>40653</v>
      </c>
      <c r="C4129">
        <v>145.43</v>
      </c>
      <c r="D4129">
        <v>1.4522999999999999</v>
      </c>
      <c r="E4129">
        <v>123.85</v>
      </c>
      <c r="F4129">
        <v>433.95</v>
      </c>
      <c r="K4129" s="3"/>
      <c r="O4129" s="3"/>
    </row>
    <row r="4130" spans="1:15">
      <c r="A4130" s="3">
        <v>40654</v>
      </c>
      <c r="B4130" s="3">
        <v>40654</v>
      </c>
      <c r="C4130">
        <v>145.24</v>
      </c>
      <c r="D4130">
        <v>1.4552</v>
      </c>
      <c r="E4130">
        <v>123.99</v>
      </c>
      <c r="F4130">
        <v>440</v>
      </c>
      <c r="K4130" s="3"/>
      <c r="O4130" s="3"/>
    </row>
    <row r="4131" spans="1:15">
      <c r="A4131" s="3">
        <v>40655</v>
      </c>
      <c r="B4131" s="3">
        <v>40655</v>
      </c>
      <c r="C4131">
        <v>145.44999999999999</v>
      </c>
      <c r="D4131">
        <v>1.4560999999999999</v>
      </c>
      <c r="E4131">
        <v>123.99</v>
      </c>
      <c r="F4131">
        <v>440</v>
      </c>
      <c r="K4131" s="3"/>
      <c r="O4131" s="3"/>
    </row>
    <row r="4132" spans="1:15">
      <c r="A4132" s="3">
        <v>40656</v>
      </c>
      <c r="B4132" s="3">
        <v>40656</v>
      </c>
      <c r="C4132">
        <v>145.44999999999999</v>
      </c>
      <c r="D4132">
        <v>1.4560999999999999</v>
      </c>
      <c r="E4132">
        <v>123.99</v>
      </c>
      <c r="F4132">
        <v>440</v>
      </c>
      <c r="K4132" s="3"/>
      <c r="O4132" s="3"/>
    </row>
    <row r="4133" spans="1:15">
      <c r="A4133" s="3">
        <v>40657</v>
      </c>
      <c r="B4133" s="3">
        <v>40657</v>
      </c>
      <c r="C4133">
        <v>145.44999999999999</v>
      </c>
      <c r="D4133">
        <v>1.4560999999999999</v>
      </c>
      <c r="E4133">
        <v>123.99</v>
      </c>
      <c r="F4133">
        <v>440</v>
      </c>
      <c r="K4133" s="3"/>
      <c r="O4133" s="3"/>
    </row>
    <row r="4134" spans="1:15">
      <c r="A4134" s="3">
        <v>40658</v>
      </c>
      <c r="B4134" s="3">
        <v>40658</v>
      </c>
      <c r="C4134">
        <v>145.49</v>
      </c>
      <c r="D4134">
        <v>1.4581999999999999</v>
      </c>
      <c r="E4134">
        <v>123.66</v>
      </c>
      <c r="F4134">
        <v>430.3</v>
      </c>
      <c r="K4134" s="3"/>
      <c r="O4134" s="3"/>
    </row>
    <row r="4135" spans="1:15">
      <c r="A4135" s="3">
        <v>40659</v>
      </c>
      <c r="B4135" s="3">
        <v>40659</v>
      </c>
      <c r="C4135">
        <v>145.44999999999999</v>
      </c>
      <c r="D4135">
        <v>1.4643999999999999</v>
      </c>
      <c r="E4135">
        <v>124.14</v>
      </c>
      <c r="F4135">
        <v>431.9</v>
      </c>
      <c r="K4135" s="3"/>
      <c r="O4135" s="3"/>
    </row>
    <row r="4136" spans="1:15">
      <c r="A4136" s="3">
        <v>40660</v>
      </c>
      <c r="B4136" s="3">
        <v>40660</v>
      </c>
      <c r="C4136">
        <v>145.5</v>
      </c>
      <c r="D4136">
        <v>1.4787999999999999</v>
      </c>
      <c r="E4136">
        <v>125.13</v>
      </c>
      <c r="F4136">
        <v>422.8</v>
      </c>
      <c r="K4136" s="3"/>
      <c r="O4136" s="3"/>
    </row>
    <row r="4137" spans="1:15">
      <c r="A4137" s="3">
        <v>40661</v>
      </c>
      <c r="B4137" s="3">
        <v>40661</v>
      </c>
      <c r="C4137">
        <v>145.44</v>
      </c>
      <c r="D4137">
        <v>1.4822</v>
      </c>
      <c r="E4137">
        <v>125.02</v>
      </c>
      <c r="F4137">
        <v>424.5</v>
      </c>
      <c r="K4137" s="3"/>
      <c r="O4137" s="3"/>
    </row>
    <row r="4138" spans="1:15">
      <c r="A4138" s="3">
        <v>40662</v>
      </c>
      <c r="B4138" s="3">
        <v>40662</v>
      </c>
      <c r="C4138">
        <v>145.84</v>
      </c>
      <c r="D4138">
        <v>1.4806999999999999</v>
      </c>
      <c r="E4138">
        <v>125.89</v>
      </c>
      <c r="F4138">
        <v>416.55</v>
      </c>
      <c r="K4138" s="3"/>
      <c r="O4138" s="3"/>
    </row>
    <row r="4139" spans="1:15">
      <c r="A4139" s="3">
        <v>40663</v>
      </c>
      <c r="B4139" s="3">
        <v>40663</v>
      </c>
      <c r="C4139">
        <v>145.84</v>
      </c>
      <c r="D4139">
        <v>1.4806999999999999</v>
      </c>
      <c r="E4139">
        <v>125.89</v>
      </c>
      <c r="F4139">
        <v>416.55</v>
      </c>
      <c r="K4139" s="3"/>
      <c r="O4139" s="3"/>
    </row>
    <row r="4140" spans="1:15">
      <c r="A4140" s="3">
        <v>40664</v>
      </c>
      <c r="B4140" s="3">
        <v>40664</v>
      </c>
      <c r="C4140">
        <v>145.84</v>
      </c>
      <c r="D4140">
        <v>1.4806999999999999</v>
      </c>
      <c r="E4140">
        <v>125.89</v>
      </c>
      <c r="F4140">
        <v>416.55</v>
      </c>
      <c r="K4140" s="3"/>
      <c r="O4140" s="3"/>
    </row>
    <row r="4141" spans="1:15">
      <c r="A4141" s="3">
        <v>40665</v>
      </c>
      <c r="B4141" s="3">
        <v>40665</v>
      </c>
      <c r="C4141">
        <v>145.80000000000001</v>
      </c>
      <c r="D4141">
        <v>1.4830000000000001</v>
      </c>
      <c r="E4141">
        <v>125.12</v>
      </c>
      <c r="F4141">
        <v>418.25</v>
      </c>
      <c r="K4141" s="3"/>
      <c r="O4141" s="3"/>
    </row>
    <row r="4142" spans="1:15">
      <c r="A4142" s="3">
        <v>40666</v>
      </c>
      <c r="B4142" s="3">
        <v>40666</v>
      </c>
      <c r="C4142">
        <v>145.9</v>
      </c>
      <c r="D4142">
        <v>1.4824999999999999</v>
      </c>
      <c r="E4142">
        <v>122.45</v>
      </c>
      <c r="F4142">
        <v>424</v>
      </c>
      <c r="K4142" s="3"/>
      <c r="O4142" s="3"/>
    </row>
    <row r="4143" spans="1:15">
      <c r="A4143" s="3">
        <v>40667</v>
      </c>
      <c r="B4143" s="3">
        <v>40667</v>
      </c>
      <c r="C4143">
        <v>145.78</v>
      </c>
      <c r="D4143">
        <v>1.4826999999999999</v>
      </c>
      <c r="E4143">
        <v>121.19</v>
      </c>
      <c r="F4143">
        <v>412.05</v>
      </c>
      <c r="K4143" s="3"/>
      <c r="O4143" s="3"/>
    </row>
    <row r="4144" spans="1:15">
      <c r="A4144" s="3">
        <v>40668</v>
      </c>
      <c r="B4144" s="3">
        <v>40668</v>
      </c>
      <c r="C4144">
        <v>145.63999999999999</v>
      </c>
      <c r="D4144">
        <v>1.4539</v>
      </c>
      <c r="E4144">
        <v>110.8</v>
      </c>
      <c r="F4144">
        <v>398.55</v>
      </c>
      <c r="K4144" s="3"/>
      <c r="O4144" s="3"/>
    </row>
    <row r="4145" spans="1:15">
      <c r="A4145" s="3">
        <v>40669</v>
      </c>
      <c r="B4145" s="3">
        <v>40669</v>
      </c>
      <c r="C4145">
        <v>145.88999999999999</v>
      </c>
      <c r="D4145">
        <v>1.4316</v>
      </c>
      <c r="E4145">
        <v>109.13</v>
      </c>
      <c r="F4145">
        <v>396.35</v>
      </c>
      <c r="K4145" s="3"/>
      <c r="O4145" s="3"/>
    </row>
    <row r="4146" spans="1:15">
      <c r="A4146" s="3">
        <v>40670</v>
      </c>
      <c r="B4146" s="3">
        <v>40670</v>
      </c>
      <c r="C4146">
        <v>145.88999999999999</v>
      </c>
      <c r="D4146">
        <v>1.4316</v>
      </c>
      <c r="E4146">
        <v>109.13</v>
      </c>
      <c r="F4146">
        <v>396.35</v>
      </c>
      <c r="K4146" s="3"/>
      <c r="O4146" s="3"/>
    </row>
    <row r="4147" spans="1:15">
      <c r="A4147" s="3">
        <v>40671</v>
      </c>
      <c r="B4147" s="3">
        <v>40671</v>
      </c>
      <c r="C4147">
        <v>145.88999999999999</v>
      </c>
      <c r="D4147">
        <v>1.4316</v>
      </c>
      <c r="E4147">
        <v>109.13</v>
      </c>
      <c r="F4147">
        <v>396.35</v>
      </c>
      <c r="K4147" s="3"/>
      <c r="O4147" s="3"/>
    </row>
    <row r="4148" spans="1:15">
      <c r="A4148" s="3">
        <v>40672</v>
      </c>
      <c r="B4148" s="3">
        <v>40672</v>
      </c>
      <c r="C4148">
        <v>145.88999999999999</v>
      </c>
      <c r="D4148">
        <v>1.4365000000000001</v>
      </c>
      <c r="E4148">
        <v>115.9</v>
      </c>
      <c r="F4148">
        <v>400.4</v>
      </c>
      <c r="K4148" s="3"/>
      <c r="O4148" s="3"/>
    </row>
    <row r="4149" spans="1:15">
      <c r="A4149" s="3">
        <v>40673</v>
      </c>
      <c r="B4149" s="3">
        <v>40673</v>
      </c>
      <c r="C4149">
        <v>145.69</v>
      </c>
      <c r="D4149">
        <v>1.4409000000000001</v>
      </c>
      <c r="E4149">
        <v>117.63</v>
      </c>
      <c r="F4149">
        <v>402.95</v>
      </c>
      <c r="K4149" s="3"/>
      <c r="O4149" s="3"/>
    </row>
    <row r="4150" spans="1:15">
      <c r="A4150" s="3">
        <v>40674</v>
      </c>
      <c r="B4150" s="3">
        <v>40674</v>
      </c>
      <c r="C4150">
        <v>145.69</v>
      </c>
      <c r="D4150">
        <v>1.4192</v>
      </c>
      <c r="E4150">
        <v>112.57</v>
      </c>
      <c r="F4150">
        <v>390.2</v>
      </c>
      <c r="K4150" s="3"/>
      <c r="O4150" s="3"/>
    </row>
    <row r="4151" spans="1:15">
      <c r="A4151" s="3">
        <v>40675</v>
      </c>
      <c r="B4151" s="3">
        <v>40675</v>
      </c>
      <c r="C4151">
        <v>145.91999999999999</v>
      </c>
      <c r="D4151">
        <v>1.4246000000000001</v>
      </c>
      <c r="E4151">
        <v>112.98</v>
      </c>
      <c r="F4151">
        <v>396.05</v>
      </c>
      <c r="K4151" s="3"/>
      <c r="O4151" s="3"/>
    </row>
    <row r="4152" spans="1:15">
      <c r="A4152" s="3">
        <v>40676</v>
      </c>
      <c r="B4152" s="3">
        <v>40676</v>
      </c>
      <c r="C4152">
        <v>145.83000000000001</v>
      </c>
      <c r="D4152">
        <v>1.4118999999999999</v>
      </c>
      <c r="E4152">
        <v>113.83</v>
      </c>
      <c r="F4152">
        <v>397.5</v>
      </c>
      <c r="K4152" s="3"/>
      <c r="O4152" s="3"/>
    </row>
    <row r="4153" spans="1:15">
      <c r="A4153" s="3">
        <v>40677</v>
      </c>
      <c r="B4153" s="3">
        <v>40677</v>
      </c>
      <c r="C4153">
        <v>145.83000000000001</v>
      </c>
      <c r="D4153">
        <v>1.4118999999999999</v>
      </c>
      <c r="E4153">
        <v>113.83</v>
      </c>
      <c r="F4153">
        <v>397.5</v>
      </c>
      <c r="K4153" s="3"/>
      <c r="O4153" s="3"/>
    </row>
    <row r="4154" spans="1:15">
      <c r="A4154" s="3">
        <v>40678</v>
      </c>
      <c r="B4154" s="3">
        <v>40678</v>
      </c>
      <c r="C4154">
        <v>145.83000000000001</v>
      </c>
      <c r="D4154">
        <v>1.4118999999999999</v>
      </c>
      <c r="E4154">
        <v>113.83</v>
      </c>
      <c r="F4154">
        <v>397.5</v>
      </c>
      <c r="K4154" s="3"/>
      <c r="O4154" s="3"/>
    </row>
    <row r="4155" spans="1:15">
      <c r="A4155" s="3">
        <v>40679</v>
      </c>
      <c r="B4155" s="3">
        <v>40679</v>
      </c>
      <c r="C4155">
        <v>145.83000000000001</v>
      </c>
      <c r="D4155">
        <v>1.4156</v>
      </c>
      <c r="E4155">
        <v>112.73</v>
      </c>
      <c r="F4155">
        <v>398.3</v>
      </c>
      <c r="K4155" s="3"/>
      <c r="O4155" s="3"/>
    </row>
    <row r="4156" spans="1:15">
      <c r="A4156" s="3">
        <v>40680</v>
      </c>
      <c r="B4156" s="3">
        <v>40680</v>
      </c>
      <c r="C4156">
        <v>145.69</v>
      </c>
      <c r="D4156">
        <v>1.4237</v>
      </c>
      <c r="E4156">
        <v>109.99</v>
      </c>
      <c r="F4156">
        <v>399.1</v>
      </c>
      <c r="K4156" s="3"/>
      <c r="O4156" s="3"/>
    </row>
    <row r="4157" spans="1:15">
      <c r="A4157" s="3">
        <v>40681</v>
      </c>
      <c r="B4157" s="3">
        <v>40681</v>
      </c>
      <c r="C4157">
        <v>145.49</v>
      </c>
      <c r="D4157">
        <v>1.425</v>
      </c>
      <c r="E4157">
        <v>112.3</v>
      </c>
      <c r="F4157">
        <v>409.95</v>
      </c>
      <c r="K4157" s="3"/>
      <c r="O4157" s="3"/>
    </row>
    <row r="4158" spans="1:15">
      <c r="A4158" s="3">
        <v>40682</v>
      </c>
      <c r="B4158" s="3">
        <v>40682</v>
      </c>
      <c r="C4158">
        <v>145.36000000000001</v>
      </c>
      <c r="D4158">
        <v>1.4309000000000001</v>
      </c>
      <c r="E4158">
        <v>111.42</v>
      </c>
      <c r="F4158">
        <v>404.7</v>
      </c>
      <c r="K4158" s="3"/>
      <c r="O4158" s="3"/>
    </row>
    <row r="4159" spans="1:15">
      <c r="A4159" s="3">
        <v>40683</v>
      </c>
      <c r="B4159" s="3">
        <v>40683</v>
      </c>
      <c r="C4159">
        <v>145.29</v>
      </c>
      <c r="D4159">
        <v>1.4160999999999999</v>
      </c>
      <c r="E4159">
        <v>112.39</v>
      </c>
      <c r="F4159">
        <v>411.9</v>
      </c>
      <c r="K4159" s="3"/>
      <c r="O4159" s="3"/>
    </row>
    <row r="4160" spans="1:15">
      <c r="A4160" s="3">
        <v>40684</v>
      </c>
      <c r="B4160" s="3">
        <v>40684</v>
      </c>
      <c r="C4160">
        <v>145.29</v>
      </c>
      <c r="D4160">
        <v>1.4160999999999999</v>
      </c>
      <c r="E4160">
        <v>112.39</v>
      </c>
      <c r="F4160">
        <v>411.9</v>
      </c>
      <c r="K4160" s="3"/>
      <c r="O4160" s="3"/>
    </row>
    <row r="4161" spans="1:15">
      <c r="A4161" s="3">
        <v>40685</v>
      </c>
      <c r="B4161" s="3">
        <v>40685</v>
      </c>
      <c r="C4161">
        <v>145.29</v>
      </c>
      <c r="D4161">
        <v>1.4160999999999999</v>
      </c>
      <c r="E4161">
        <v>112.39</v>
      </c>
      <c r="F4161">
        <v>411.9</v>
      </c>
      <c r="K4161" s="3"/>
      <c r="O4161" s="3"/>
    </row>
    <row r="4162" spans="1:15">
      <c r="A4162" s="3">
        <v>40686</v>
      </c>
      <c r="B4162" s="3">
        <v>40686</v>
      </c>
      <c r="C4162">
        <v>145.38</v>
      </c>
      <c r="D4162">
        <v>1.4048</v>
      </c>
      <c r="E4162">
        <v>110.1</v>
      </c>
      <c r="F4162">
        <v>399</v>
      </c>
      <c r="K4162" s="3"/>
      <c r="O4162" s="3"/>
    </row>
    <row r="4163" spans="1:15">
      <c r="A4163" s="3">
        <v>40687</v>
      </c>
      <c r="B4163" s="3">
        <v>40687</v>
      </c>
      <c r="C4163">
        <v>145.22999999999999</v>
      </c>
      <c r="D4163">
        <v>1.41</v>
      </c>
      <c r="E4163">
        <v>112.53</v>
      </c>
      <c r="F4163">
        <v>401.25</v>
      </c>
      <c r="K4163" s="3"/>
      <c r="O4163" s="3"/>
    </row>
    <row r="4164" spans="1:15">
      <c r="A4164" s="3">
        <v>40688</v>
      </c>
      <c r="B4164" s="3">
        <v>40688</v>
      </c>
      <c r="C4164">
        <v>145.24</v>
      </c>
      <c r="D4164">
        <v>1.4088000000000001</v>
      </c>
      <c r="E4164">
        <v>114.93</v>
      </c>
      <c r="F4164">
        <v>410.2</v>
      </c>
      <c r="K4164" s="3"/>
      <c r="O4164" s="3"/>
    </row>
    <row r="4165" spans="1:15">
      <c r="A4165" s="3">
        <v>40689</v>
      </c>
      <c r="B4165" s="3">
        <v>40689</v>
      </c>
      <c r="C4165">
        <v>145.26</v>
      </c>
      <c r="D4165">
        <v>1.4145000000000001</v>
      </c>
      <c r="E4165">
        <v>115.05</v>
      </c>
      <c r="F4165">
        <v>410.7</v>
      </c>
      <c r="K4165" s="3"/>
      <c r="O4165" s="3"/>
    </row>
    <row r="4166" spans="1:15">
      <c r="A4166" s="3">
        <v>40690</v>
      </c>
      <c r="B4166" s="3">
        <v>40690</v>
      </c>
      <c r="C4166">
        <v>145.37</v>
      </c>
      <c r="D4166">
        <v>1.4319</v>
      </c>
      <c r="E4166">
        <v>115.03</v>
      </c>
      <c r="F4166">
        <v>418.6</v>
      </c>
      <c r="K4166" s="3"/>
      <c r="O4166" s="3"/>
    </row>
    <row r="4167" spans="1:15">
      <c r="A4167" s="3">
        <v>40691</v>
      </c>
      <c r="B4167" s="3">
        <v>40691</v>
      </c>
      <c r="C4167">
        <v>145.37</v>
      </c>
      <c r="D4167">
        <v>1.4319</v>
      </c>
      <c r="E4167">
        <v>115.03</v>
      </c>
      <c r="F4167">
        <v>418.6</v>
      </c>
      <c r="K4167" s="3"/>
      <c r="O4167" s="3"/>
    </row>
    <row r="4168" spans="1:15">
      <c r="A4168" s="3">
        <v>40692</v>
      </c>
      <c r="B4168" s="3">
        <v>40692</v>
      </c>
      <c r="C4168">
        <v>145.37</v>
      </c>
      <c r="D4168">
        <v>1.4319</v>
      </c>
      <c r="E4168">
        <v>115.03</v>
      </c>
      <c r="F4168">
        <v>418.6</v>
      </c>
      <c r="K4168" s="3"/>
      <c r="O4168" s="3"/>
    </row>
    <row r="4169" spans="1:15">
      <c r="A4169" s="3">
        <v>40693</v>
      </c>
      <c r="B4169" s="3">
        <v>40693</v>
      </c>
      <c r="C4169">
        <v>145.36000000000001</v>
      </c>
      <c r="D4169">
        <v>1.4281999999999999</v>
      </c>
      <c r="E4169">
        <v>114.68</v>
      </c>
      <c r="F4169">
        <v>418.6</v>
      </c>
      <c r="K4169" s="3"/>
      <c r="O4169" s="3"/>
    </row>
    <row r="4170" spans="1:15">
      <c r="A4170" s="3">
        <v>40694</v>
      </c>
      <c r="B4170" s="3">
        <v>40694</v>
      </c>
      <c r="C4170">
        <v>145.4</v>
      </c>
      <c r="D4170">
        <v>1.4396</v>
      </c>
      <c r="E4170">
        <v>116.73</v>
      </c>
      <c r="F4170">
        <v>417.75</v>
      </c>
      <c r="K4170" s="3"/>
      <c r="O4170" s="3"/>
    </row>
    <row r="4171" spans="1:15">
      <c r="A4171" s="3">
        <v>40695</v>
      </c>
      <c r="B4171" s="3">
        <v>40695</v>
      </c>
      <c r="C4171">
        <v>145.43</v>
      </c>
      <c r="D4171">
        <v>1.4328000000000001</v>
      </c>
      <c r="E4171">
        <v>114.53</v>
      </c>
      <c r="F4171">
        <v>410.65</v>
      </c>
      <c r="K4171" s="3"/>
      <c r="O4171" s="3"/>
    </row>
    <row r="4172" spans="1:15">
      <c r="A4172" s="3">
        <v>40696</v>
      </c>
      <c r="B4172" s="3">
        <v>40696</v>
      </c>
      <c r="C4172">
        <v>145.54</v>
      </c>
      <c r="D4172">
        <v>1.4491000000000001</v>
      </c>
      <c r="E4172">
        <v>115.54</v>
      </c>
      <c r="F4172">
        <v>408.45</v>
      </c>
      <c r="K4172" s="3"/>
      <c r="O4172" s="3"/>
    </row>
    <row r="4173" spans="1:15">
      <c r="A4173" s="3">
        <v>40697</v>
      </c>
      <c r="B4173" s="3">
        <v>40697</v>
      </c>
      <c r="C4173">
        <v>145.56</v>
      </c>
      <c r="D4173">
        <v>1.4635</v>
      </c>
      <c r="E4173">
        <v>115.84</v>
      </c>
      <c r="F4173">
        <v>413.45</v>
      </c>
      <c r="K4173" s="3"/>
      <c r="O4173" s="3"/>
    </row>
    <row r="4174" spans="1:15">
      <c r="A4174" s="3">
        <v>40698</v>
      </c>
      <c r="B4174" s="3">
        <v>40698</v>
      </c>
      <c r="C4174">
        <v>145.56</v>
      </c>
      <c r="D4174">
        <v>1.4635</v>
      </c>
      <c r="E4174">
        <v>115.84</v>
      </c>
      <c r="F4174">
        <v>413.45</v>
      </c>
      <c r="K4174" s="3"/>
      <c r="O4174" s="3"/>
    </row>
    <row r="4175" spans="1:15">
      <c r="A4175" s="3">
        <v>40699</v>
      </c>
      <c r="B4175" s="3">
        <v>40699</v>
      </c>
      <c r="C4175">
        <v>145.56</v>
      </c>
      <c r="D4175">
        <v>1.4635</v>
      </c>
      <c r="E4175">
        <v>115.84</v>
      </c>
      <c r="F4175">
        <v>413.45</v>
      </c>
      <c r="K4175" s="3"/>
      <c r="O4175" s="3"/>
    </row>
    <row r="4176" spans="1:15">
      <c r="A4176" s="3">
        <v>40700</v>
      </c>
      <c r="B4176" s="3">
        <v>40700</v>
      </c>
      <c r="C4176">
        <v>145.53</v>
      </c>
      <c r="D4176">
        <v>1.4576</v>
      </c>
      <c r="E4176">
        <v>114.48</v>
      </c>
      <c r="F4176">
        <v>414.2</v>
      </c>
      <c r="K4176" s="3"/>
      <c r="O4176" s="3"/>
    </row>
    <row r="4177" spans="1:15">
      <c r="A4177" s="3">
        <v>40701</v>
      </c>
      <c r="B4177" s="3">
        <v>40701</v>
      </c>
      <c r="C4177">
        <v>145.44999999999999</v>
      </c>
      <c r="D4177">
        <v>1.4691000000000001</v>
      </c>
      <c r="E4177">
        <v>116.78</v>
      </c>
      <c r="F4177">
        <v>414.95</v>
      </c>
      <c r="K4177" s="3"/>
      <c r="O4177" s="3"/>
    </row>
    <row r="4178" spans="1:15">
      <c r="A4178" s="3">
        <v>40702</v>
      </c>
      <c r="B4178" s="3">
        <v>40702</v>
      </c>
      <c r="C4178">
        <v>145.51</v>
      </c>
      <c r="D4178">
        <v>1.4582999999999999</v>
      </c>
      <c r="E4178">
        <v>117.85</v>
      </c>
      <c r="F4178">
        <v>410.85</v>
      </c>
      <c r="K4178" s="3"/>
      <c r="O4178" s="3"/>
    </row>
    <row r="4179" spans="1:15">
      <c r="A4179" s="3">
        <v>40703</v>
      </c>
      <c r="B4179" s="3">
        <v>40703</v>
      </c>
      <c r="C4179">
        <v>145.51</v>
      </c>
      <c r="D4179">
        <v>1.4510000000000001</v>
      </c>
      <c r="E4179">
        <v>119.57</v>
      </c>
      <c r="F4179">
        <v>410.75</v>
      </c>
      <c r="K4179" s="3"/>
      <c r="O4179" s="3"/>
    </row>
    <row r="4180" spans="1:15">
      <c r="A4180" s="3">
        <v>40704</v>
      </c>
      <c r="B4180" s="3">
        <v>40704</v>
      </c>
      <c r="C4180">
        <v>145.5</v>
      </c>
      <c r="D4180">
        <v>1.4347000000000001</v>
      </c>
      <c r="E4180">
        <v>118.78</v>
      </c>
      <c r="F4180">
        <v>405.6</v>
      </c>
      <c r="K4180" s="3"/>
      <c r="O4180" s="3"/>
    </row>
    <row r="4181" spans="1:15">
      <c r="A4181" s="3">
        <v>40705</v>
      </c>
      <c r="B4181" s="3">
        <v>40705</v>
      </c>
      <c r="C4181">
        <v>145.5</v>
      </c>
      <c r="D4181">
        <v>1.4347000000000001</v>
      </c>
      <c r="E4181">
        <v>118.78</v>
      </c>
      <c r="F4181">
        <v>405.6</v>
      </c>
      <c r="K4181" s="3"/>
      <c r="O4181" s="3"/>
    </row>
    <row r="4182" spans="1:15">
      <c r="A4182" s="3">
        <v>40706</v>
      </c>
      <c r="B4182" s="3">
        <v>40706</v>
      </c>
      <c r="C4182">
        <v>145.5</v>
      </c>
      <c r="D4182">
        <v>1.4347000000000001</v>
      </c>
      <c r="E4182">
        <v>118.78</v>
      </c>
      <c r="F4182">
        <v>405.6</v>
      </c>
      <c r="K4182" s="3"/>
      <c r="O4182" s="3"/>
    </row>
    <row r="4183" spans="1:15">
      <c r="A4183" s="3">
        <v>40707</v>
      </c>
      <c r="B4183" s="3">
        <v>40707</v>
      </c>
      <c r="C4183">
        <v>145.79</v>
      </c>
      <c r="D4183">
        <v>1.4413</v>
      </c>
      <c r="E4183">
        <v>119.1</v>
      </c>
      <c r="F4183">
        <v>403.45</v>
      </c>
      <c r="K4183" s="3"/>
      <c r="O4183" s="3"/>
    </row>
    <row r="4184" spans="1:15">
      <c r="A4184" s="3">
        <v>40708</v>
      </c>
      <c r="B4184" s="3">
        <v>40708</v>
      </c>
      <c r="C4184">
        <v>145.76</v>
      </c>
      <c r="D4184">
        <v>1.444</v>
      </c>
      <c r="E4184">
        <v>120.16</v>
      </c>
      <c r="F4184">
        <v>415.5</v>
      </c>
      <c r="K4184" s="3"/>
      <c r="O4184" s="3"/>
    </row>
    <row r="4185" spans="1:15">
      <c r="A4185" s="3">
        <v>40709</v>
      </c>
      <c r="B4185" s="3">
        <v>40709</v>
      </c>
      <c r="C4185">
        <v>145.75</v>
      </c>
      <c r="D4185">
        <v>1.4180999999999999</v>
      </c>
      <c r="E4185">
        <v>117.1</v>
      </c>
      <c r="F4185">
        <v>412.2</v>
      </c>
      <c r="K4185" s="3"/>
      <c r="O4185" s="3"/>
    </row>
    <row r="4186" spans="1:15">
      <c r="A4186" s="3">
        <v>40710</v>
      </c>
      <c r="B4186" s="3">
        <v>40710</v>
      </c>
      <c r="C4186">
        <v>145.88</v>
      </c>
      <c r="D4186">
        <v>1.4204000000000001</v>
      </c>
      <c r="E4186">
        <v>114.02</v>
      </c>
      <c r="F4186">
        <v>411.75</v>
      </c>
      <c r="K4186" s="3"/>
      <c r="O4186" s="3"/>
    </row>
    <row r="4187" spans="1:15">
      <c r="A4187" s="3">
        <v>40711</v>
      </c>
      <c r="B4187" s="3">
        <v>40711</v>
      </c>
      <c r="C4187">
        <v>146</v>
      </c>
      <c r="D4187">
        <v>1.4306000000000001</v>
      </c>
      <c r="E4187">
        <v>113.21</v>
      </c>
      <c r="F4187">
        <v>410.2</v>
      </c>
      <c r="K4187" s="3"/>
      <c r="O4187" s="3"/>
    </row>
    <row r="4188" spans="1:15">
      <c r="A4188" s="3">
        <v>40712</v>
      </c>
      <c r="B4188" s="3">
        <v>40712</v>
      </c>
      <c r="C4188">
        <v>146</v>
      </c>
      <c r="D4188">
        <v>1.4306000000000001</v>
      </c>
      <c r="E4188">
        <v>113.21</v>
      </c>
      <c r="F4188">
        <v>410.2</v>
      </c>
      <c r="K4188" s="3"/>
      <c r="O4188" s="3"/>
    </row>
    <row r="4189" spans="1:15">
      <c r="A4189" s="3">
        <v>40713</v>
      </c>
      <c r="B4189" s="3">
        <v>40713</v>
      </c>
      <c r="C4189">
        <v>146</v>
      </c>
      <c r="D4189">
        <v>1.4306000000000001</v>
      </c>
      <c r="E4189">
        <v>113.21</v>
      </c>
      <c r="F4189">
        <v>410.2</v>
      </c>
      <c r="K4189" s="3"/>
      <c r="O4189" s="3"/>
    </row>
    <row r="4190" spans="1:15">
      <c r="A4190" s="3">
        <v>40714</v>
      </c>
      <c r="B4190" s="3">
        <v>40714</v>
      </c>
      <c r="C4190">
        <v>146.08000000000001</v>
      </c>
      <c r="D4190">
        <v>1.4303999999999999</v>
      </c>
      <c r="E4190">
        <v>111.69</v>
      </c>
      <c r="F4190">
        <v>407.35</v>
      </c>
      <c r="K4190" s="3"/>
      <c r="O4190" s="3"/>
    </row>
    <row r="4191" spans="1:15">
      <c r="A4191" s="3">
        <v>40715</v>
      </c>
      <c r="B4191" s="3">
        <v>40715</v>
      </c>
      <c r="C4191">
        <v>145.99</v>
      </c>
      <c r="D4191">
        <v>1.4412</v>
      </c>
      <c r="E4191">
        <v>110.95</v>
      </c>
      <c r="F4191">
        <v>408.85</v>
      </c>
      <c r="K4191" s="3"/>
      <c r="O4191" s="3"/>
    </row>
    <row r="4192" spans="1:15">
      <c r="A4192" s="3">
        <v>40716</v>
      </c>
      <c r="B4192" s="3">
        <v>40716</v>
      </c>
      <c r="C4192">
        <v>145.94</v>
      </c>
      <c r="D4192">
        <v>1.4357</v>
      </c>
      <c r="E4192">
        <v>114.21</v>
      </c>
      <c r="F4192">
        <v>408.8</v>
      </c>
      <c r="K4192" s="3"/>
      <c r="O4192" s="3"/>
    </row>
    <row r="4193" spans="1:15">
      <c r="A4193" s="3">
        <v>40717</v>
      </c>
      <c r="B4193" s="3">
        <v>40717</v>
      </c>
      <c r="C4193">
        <v>146.04</v>
      </c>
      <c r="D4193">
        <v>1.4256</v>
      </c>
      <c r="E4193">
        <v>107.26</v>
      </c>
      <c r="F4193">
        <v>403.9</v>
      </c>
      <c r="K4193" s="3"/>
      <c r="O4193" s="3"/>
    </row>
    <row r="4194" spans="1:15">
      <c r="A4194" s="3">
        <v>40718</v>
      </c>
      <c r="B4194" s="3">
        <v>40718</v>
      </c>
      <c r="C4194">
        <v>146.22999999999999</v>
      </c>
      <c r="D4194">
        <v>1.4188000000000001</v>
      </c>
      <c r="E4194">
        <v>105.12</v>
      </c>
      <c r="F4194">
        <v>409.85</v>
      </c>
      <c r="K4194" s="3"/>
      <c r="O4194" s="3"/>
    </row>
    <row r="4195" spans="1:15">
      <c r="A4195" s="3">
        <v>40719</v>
      </c>
      <c r="B4195" s="3">
        <v>40719</v>
      </c>
      <c r="C4195">
        <v>146.22999999999999</v>
      </c>
      <c r="D4195">
        <v>1.4188000000000001</v>
      </c>
      <c r="E4195">
        <v>105.12</v>
      </c>
      <c r="F4195">
        <v>409.85</v>
      </c>
      <c r="K4195" s="3"/>
      <c r="O4195" s="3"/>
    </row>
    <row r="4196" spans="1:15">
      <c r="A4196" s="3">
        <v>40720</v>
      </c>
      <c r="B4196" s="3">
        <v>40720</v>
      </c>
      <c r="C4196">
        <v>146.22999999999999</v>
      </c>
      <c r="D4196">
        <v>1.4188000000000001</v>
      </c>
      <c r="E4196">
        <v>105.12</v>
      </c>
      <c r="F4196">
        <v>409.85</v>
      </c>
      <c r="K4196" s="3"/>
      <c r="O4196" s="3"/>
    </row>
    <row r="4197" spans="1:15">
      <c r="A4197" s="3">
        <v>40721</v>
      </c>
      <c r="B4197" s="3">
        <v>40721</v>
      </c>
      <c r="C4197">
        <v>146.30000000000001</v>
      </c>
      <c r="D4197">
        <v>1.4287000000000001</v>
      </c>
      <c r="E4197">
        <v>105.99</v>
      </c>
      <c r="F4197">
        <v>405.15</v>
      </c>
      <c r="K4197" s="3"/>
      <c r="O4197" s="3"/>
    </row>
    <row r="4198" spans="1:15">
      <c r="A4198" s="3">
        <v>40722</v>
      </c>
      <c r="B4198" s="3">
        <v>40722</v>
      </c>
      <c r="C4198">
        <v>146.30000000000001</v>
      </c>
      <c r="D4198">
        <v>1.4371</v>
      </c>
      <c r="E4198">
        <v>108.78</v>
      </c>
      <c r="F4198">
        <v>409.2</v>
      </c>
      <c r="K4198" s="3"/>
      <c r="O4198" s="3"/>
    </row>
    <row r="4199" spans="1:15">
      <c r="A4199" s="3">
        <v>40723</v>
      </c>
      <c r="B4199" s="3">
        <v>40723</v>
      </c>
      <c r="C4199">
        <v>146.13999999999999</v>
      </c>
      <c r="D4199">
        <v>1.4435</v>
      </c>
      <c r="E4199">
        <v>112.4</v>
      </c>
      <c r="F4199">
        <v>420.95</v>
      </c>
      <c r="K4199" s="3"/>
      <c r="O4199" s="3"/>
    </row>
    <row r="4200" spans="1:15">
      <c r="A4200" s="3">
        <v>40724</v>
      </c>
      <c r="B4200" s="3">
        <v>40724</v>
      </c>
      <c r="C4200">
        <v>145.9</v>
      </c>
      <c r="D4200">
        <v>1.4501999999999999</v>
      </c>
      <c r="E4200">
        <v>112.48</v>
      </c>
      <c r="F4200">
        <v>427.2</v>
      </c>
      <c r="K4200" s="3"/>
      <c r="O4200" s="3"/>
    </row>
    <row r="4201" spans="1:15">
      <c r="A4201" s="3">
        <v>40725</v>
      </c>
      <c r="B4201" s="3">
        <v>40725</v>
      </c>
      <c r="C4201">
        <v>145.75</v>
      </c>
      <c r="D4201">
        <v>1.4525999999999999</v>
      </c>
      <c r="E4201">
        <v>111.77</v>
      </c>
      <c r="F4201">
        <v>429.2</v>
      </c>
      <c r="K4201" s="3"/>
      <c r="O4201" s="3"/>
    </row>
    <row r="4202" spans="1:15">
      <c r="A4202" s="3">
        <v>40726</v>
      </c>
      <c r="B4202" s="3">
        <v>40726</v>
      </c>
      <c r="C4202">
        <v>145.75</v>
      </c>
      <c r="D4202">
        <v>1.4525999999999999</v>
      </c>
      <c r="E4202">
        <v>111.77</v>
      </c>
      <c r="F4202">
        <v>429.2</v>
      </c>
      <c r="K4202" s="3"/>
      <c r="O4202" s="3"/>
    </row>
    <row r="4203" spans="1:15">
      <c r="A4203" s="3">
        <v>40727</v>
      </c>
      <c r="B4203" s="3">
        <v>40727</v>
      </c>
      <c r="C4203">
        <v>145.75</v>
      </c>
      <c r="D4203">
        <v>1.4525999999999999</v>
      </c>
      <c r="E4203">
        <v>111.77</v>
      </c>
      <c r="F4203">
        <v>429.2</v>
      </c>
      <c r="K4203" s="3"/>
      <c r="O4203" s="3"/>
    </row>
    <row r="4204" spans="1:15">
      <c r="A4204" s="3">
        <v>40728</v>
      </c>
      <c r="B4204" s="3">
        <v>40728</v>
      </c>
      <c r="C4204">
        <v>145.78</v>
      </c>
      <c r="D4204">
        <v>1.4539</v>
      </c>
      <c r="E4204">
        <v>111.39</v>
      </c>
      <c r="F4204">
        <v>429.2</v>
      </c>
      <c r="K4204" s="3"/>
      <c r="O4204" s="3"/>
    </row>
    <row r="4205" spans="1:15">
      <c r="A4205" s="3">
        <v>40729</v>
      </c>
      <c r="B4205" s="3">
        <v>40729</v>
      </c>
      <c r="C4205">
        <v>145.6</v>
      </c>
      <c r="D4205">
        <v>1.4429000000000001</v>
      </c>
      <c r="E4205">
        <v>113.61</v>
      </c>
      <c r="F4205">
        <v>433.9</v>
      </c>
      <c r="K4205" s="3"/>
      <c r="O4205" s="3"/>
    </row>
    <row r="4206" spans="1:15">
      <c r="A4206" s="3">
        <v>40730</v>
      </c>
      <c r="B4206" s="3">
        <v>40730</v>
      </c>
      <c r="C4206">
        <v>145.6</v>
      </c>
      <c r="D4206">
        <v>1.4319</v>
      </c>
      <c r="E4206">
        <v>113.62</v>
      </c>
      <c r="F4206">
        <v>432.65</v>
      </c>
      <c r="K4206" s="3"/>
      <c r="O4206" s="3"/>
    </row>
    <row r="4207" spans="1:15">
      <c r="A4207" s="3">
        <v>40731</v>
      </c>
      <c r="B4207" s="3">
        <v>40731</v>
      </c>
      <c r="C4207">
        <v>145.61000000000001</v>
      </c>
      <c r="D4207">
        <v>1.4363999999999999</v>
      </c>
      <c r="E4207">
        <v>118.59</v>
      </c>
      <c r="F4207">
        <v>443.2</v>
      </c>
      <c r="K4207" s="3"/>
      <c r="O4207" s="3"/>
    </row>
    <row r="4208" spans="1:15">
      <c r="A4208" s="3">
        <v>40732</v>
      </c>
      <c r="B4208" s="3">
        <v>40732</v>
      </c>
      <c r="C4208">
        <v>145.52000000000001</v>
      </c>
      <c r="D4208">
        <v>1.4265000000000001</v>
      </c>
      <c r="E4208">
        <v>118.33</v>
      </c>
      <c r="F4208">
        <v>440.25</v>
      </c>
      <c r="K4208" s="3"/>
      <c r="O4208" s="3"/>
    </row>
    <row r="4209" spans="1:15">
      <c r="A4209" s="3">
        <v>40733</v>
      </c>
      <c r="B4209" s="3">
        <v>40733</v>
      </c>
      <c r="C4209">
        <v>145.52000000000001</v>
      </c>
      <c r="D4209">
        <v>1.4265000000000001</v>
      </c>
      <c r="E4209">
        <v>118.33</v>
      </c>
      <c r="F4209">
        <v>440.25</v>
      </c>
      <c r="K4209" s="3"/>
      <c r="O4209" s="3"/>
    </row>
    <row r="4210" spans="1:15">
      <c r="A4210" s="3">
        <v>40734</v>
      </c>
      <c r="B4210" s="3">
        <v>40734</v>
      </c>
      <c r="C4210">
        <v>145.52000000000001</v>
      </c>
      <c r="D4210">
        <v>1.4265000000000001</v>
      </c>
      <c r="E4210">
        <v>118.33</v>
      </c>
      <c r="F4210">
        <v>440.25</v>
      </c>
      <c r="K4210" s="3"/>
      <c r="O4210" s="3"/>
    </row>
    <row r="4211" spans="1:15">
      <c r="A4211" s="3">
        <v>40735</v>
      </c>
      <c r="B4211" s="3">
        <v>40735</v>
      </c>
      <c r="C4211">
        <v>145.82</v>
      </c>
      <c r="D4211">
        <v>1.4029</v>
      </c>
      <c r="E4211">
        <v>117.24</v>
      </c>
      <c r="F4211">
        <v>435.85</v>
      </c>
      <c r="K4211" s="3"/>
      <c r="O4211" s="3"/>
    </row>
    <row r="4212" spans="1:15">
      <c r="A4212" s="3">
        <v>40736</v>
      </c>
      <c r="B4212" s="3">
        <v>40736</v>
      </c>
      <c r="C4212">
        <v>146.33000000000001</v>
      </c>
      <c r="D4212">
        <v>1.3976</v>
      </c>
      <c r="E4212">
        <v>117.75</v>
      </c>
      <c r="F4212">
        <v>438.15</v>
      </c>
      <c r="K4212" s="3"/>
      <c r="O4212" s="3"/>
    </row>
    <row r="4213" spans="1:15">
      <c r="A4213" s="3">
        <v>40737</v>
      </c>
      <c r="B4213" s="3">
        <v>40737</v>
      </c>
      <c r="C4213">
        <v>146.19</v>
      </c>
      <c r="D4213">
        <v>1.4167000000000001</v>
      </c>
      <c r="E4213">
        <v>118.78</v>
      </c>
      <c r="F4213">
        <v>439.45</v>
      </c>
      <c r="K4213" s="3"/>
      <c r="O4213" s="3"/>
    </row>
    <row r="4214" spans="1:15">
      <c r="A4214" s="3">
        <v>40738</v>
      </c>
      <c r="B4214" s="3">
        <v>40738</v>
      </c>
      <c r="C4214">
        <v>146.1</v>
      </c>
      <c r="D4214">
        <v>1.4142999999999999</v>
      </c>
      <c r="E4214">
        <v>118.32</v>
      </c>
      <c r="F4214">
        <v>437.2</v>
      </c>
      <c r="K4214" s="3"/>
      <c r="O4214" s="3"/>
    </row>
    <row r="4215" spans="1:15">
      <c r="A4215" s="3">
        <v>40739</v>
      </c>
      <c r="B4215" s="3">
        <v>40739</v>
      </c>
      <c r="C4215">
        <v>145.94999999999999</v>
      </c>
      <c r="D4215">
        <v>1.4157</v>
      </c>
      <c r="E4215">
        <v>117.26</v>
      </c>
      <c r="F4215">
        <v>440.5</v>
      </c>
      <c r="K4215" s="3"/>
      <c r="O4215" s="3"/>
    </row>
    <row r="4216" spans="1:15">
      <c r="A4216" s="3">
        <v>40740</v>
      </c>
      <c r="B4216" s="3">
        <v>40740</v>
      </c>
      <c r="C4216">
        <v>145.94999999999999</v>
      </c>
      <c r="D4216">
        <v>1.4157</v>
      </c>
      <c r="E4216">
        <v>117.26</v>
      </c>
      <c r="F4216">
        <v>440.5</v>
      </c>
      <c r="K4216" s="3"/>
      <c r="O4216" s="3"/>
    </row>
    <row r="4217" spans="1:15">
      <c r="A4217" s="3">
        <v>40741</v>
      </c>
      <c r="B4217" s="3">
        <v>40741</v>
      </c>
      <c r="C4217">
        <v>145.94999999999999</v>
      </c>
      <c r="D4217">
        <v>1.4157</v>
      </c>
      <c r="E4217">
        <v>117.26</v>
      </c>
      <c r="F4217">
        <v>440.5</v>
      </c>
      <c r="K4217" s="3"/>
      <c r="O4217" s="3"/>
    </row>
    <row r="4218" spans="1:15">
      <c r="A4218" s="3">
        <v>40742</v>
      </c>
      <c r="B4218" s="3">
        <v>40742</v>
      </c>
      <c r="C4218">
        <v>146.1</v>
      </c>
      <c r="D4218">
        <v>1.4112</v>
      </c>
      <c r="E4218">
        <v>116.05</v>
      </c>
      <c r="F4218">
        <v>439.6</v>
      </c>
      <c r="K4218" s="3"/>
      <c r="O4218" s="3"/>
    </row>
    <row r="4219" spans="1:15">
      <c r="A4219" s="3">
        <v>40743</v>
      </c>
      <c r="B4219" s="3">
        <v>40743</v>
      </c>
      <c r="C4219">
        <v>146.4</v>
      </c>
      <c r="D4219">
        <v>1.4156</v>
      </c>
      <c r="E4219">
        <v>117.06</v>
      </c>
      <c r="F4219">
        <v>446.05</v>
      </c>
      <c r="K4219" s="3"/>
      <c r="O4219" s="3"/>
    </row>
    <row r="4220" spans="1:15">
      <c r="A4220" s="3">
        <v>40744</v>
      </c>
      <c r="B4220" s="3">
        <v>40744</v>
      </c>
      <c r="C4220">
        <v>146.31</v>
      </c>
      <c r="D4220">
        <v>1.4215</v>
      </c>
      <c r="E4220">
        <v>118.15</v>
      </c>
      <c r="F4220">
        <v>442.85</v>
      </c>
      <c r="K4220" s="3"/>
      <c r="O4220" s="3"/>
    </row>
    <row r="4221" spans="1:15">
      <c r="A4221" s="3">
        <v>40745</v>
      </c>
      <c r="B4221" s="3">
        <v>40745</v>
      </c>
      <c r="C4221">
        <v>146.25</v>
      </c>
      <c r="D4221">
        <v>1.4424999999999999</v>
      </c>
      <c r="E4221">
        <v>117.51</v>
      </c>
      <c r="F4221">
        <v>437.75</v>
      </c>
      <c r="K4221" s="3"/>
      <c r="O4221" s="3"/>
    </row>
    <row r="4222" spans="1:15">
      <c r="A4222" s="3">
        <v>40746</v>
      </c>
      <c r="B4222" s="3">
        <v>40746</v>
      </c>
      <c r="C4222">
        <v>146.03</v>
      </c>
      <c r="D4222">
        <v>1.4359999999999999</v>
      </c>
      <c r="E4222">
        <v>118.67</v>
      </c>
      <c r="F4222">
        <v>440.45</v>
      </c>
      <c r="K4222" s="3"/>
      <c r="O4222" s="3"/>
    </row>
    <row r="4223" spans="1:15">
      <c r="A4223" s="3">
        <v>40747</v>
      </c>
      <c r="B4223" s="3">
        <v>40747</v>
      </c>
      <c r="C4223">
        <v>146.03</v>
      </c>
      <c r="D4223">
        <v>1.4359999999999999</v>
      </c>
      <c r="E4223">
        <v>118.67</v>
      </c>
      <c r="F4223">
        <v>440.45</v>
      </c>
      <c r="K4223" s="3"/>
      <c r="O4223" s="3"/>
    </row>
    <row r="4224" spans="1:15">
      <c r="A4224" s="3">
        <v>40748</v>
      </c>
      <c r="B4224" s="3">
        <v>40748</v>
      </c>
      <c r="C4224">
        <v>146.03</v>
      </c>
      <c r="D4224">
        <v>1.4359999999999999</v>
      </c>
      <c r="E4224">
        <v>118.67</v>
      </c>
      <c r="F4224">
        <v>440.45</v>
      </c>
      <c r="K4224" s="3"/>
      <c r="O4224" s="3"/>
    </row>
    <row r="4225" spans="1:15">
      <c r="A4225" s="3">
        <v>40749</v>
      </c>
      <c r="B4225" s="3">
        <v>40749</v>
      </c>
      <c r="C4225">
        <v>145.86000000000001</v>
      </c>
      <c r="D4225">
        <v>1.4377</v>
      </c>
      <c r="E4225">
        <v>117.94</v>
      </c>
      <c r="F4225">
        <v>440.15</v>
      </c>
      <c r="K4225" s="3"/>
      <c r="O4225" s="3"/>
    </row>
    <row r="4226" spans="1:15">
      <c r="A4226" s="3">
        <v>40750</v>
      </c>
      <c r="B4226" s="3">
        <v>40750</v>
      </c>
      <c r="C4226">
        <v>145.57</v>
      </c>
      <c r="D4226">
        <v>1.4511000000000001</v>
      </c>
      <c r="E4226">
        <v>118.28</v>
      </c>
      <c r="F4226">
        <v>447.4</v>
      </c>
      <c r="K4226" s="3"/>
      <c r="O4226" s="3"/>
    </row>
    <row r="4227" spans="1:15">
      <c r="A4227" s="3">
        <v>40751</v>
      </c>
      <c r="B4227" s="3">
        <v>40751</v>
      </c>
      <c r="C4227">
        <v>145.97999999999999</v>
      </c>
      <c r="D4227">
        <v>1.4369000000000001</v>
      </c>
      <c r="E4227">
        <v>117.43</v>
      </c>
      <c r="F4227">
        <v>444.05</v>
      </c>
      <c r="K4227" s="3"/>
      <c r="O4227" s="3"/>
    </row>
    <row r="4228" spans="1:15">
      <c r="A4228" s="3">
        <v>40752</v>
      </c>
      <c r="B4228" s="3">
        <v>40752</v>
      </c>
      <c r="C4228">
        <v>146.30000000000001</v>
      </c>
      <c r="D4228">
        <v>1.4334</v>
      </c>
      <c r="E4228">
        <v>117.36</v>
      </c>
      <c r="F4228">
        <v>446.95</v>
      </c>
      <c r="K4228" s="3"/>
      <c r="O4228" s="3"/>
    </row>
    <row r="4229" spans="1:15">
      <c r="A4229" s="3">
        <v>40753</v>
      </c>
      <c r="B4229" s="3">
        <v>40753</v>
      </c>
      <c r="C4229">
        <v>146.47</v>
      </c>
      <c r="D4229">
        <v>1.4398</v>
      </c>
      <c r="E4229">
        <v>116.74</v>
      </c>
      <c r="F4229">
        <v>447.95</v>
      </c>
      <c r="K4229" s="3"/>
      <c r="O4229" s="3"/>
    </row>
    <row r="4230" spans="1:15">
      <c r="A4230" s="3">
        <v>40754</v>
      </c>
      <c r="B4230" s="3">
        <v>40754</v>
      </c>
      <c r="C4230">
        <v>146.47</v>
      </c>
      <c r="D4230">
        <v>1.4398</v>
      </c>
      <c r="E4230">
        <v>116.74</v>
      </c>
      <c r="F4230">
        <v>447.95</v>
      </c>
      <c r="K4230" s="3"/>
      <c r="O4230" s="3"/>
    </row>
    <row r="4231" spans="1:15">
      <c r="A4231" s="3">
        <v>40755</v>
      </c>
      <c r="B4231" s="3">
        <v>40755</v>
      </c>
      <c r="C4231">
        <v>146.47</v>
      </c>
      <c r="D4231">
        <v>1.4398</v>
      </c>
      <c r="E4231">
        <v>116.74</v>
      </c>
      <c r="F4231">
        <v>447.95</v>
      </c>
      <c r="K4231" s="3"/>
      <c r="O4231" s="3"/>
    </row>
    <row r="4232" spans="1:15">
      <c r="A4232" s="3">
        <v>40756</v>
      </c>
      <c r="B4232" s="3">
        <v>40756</v>
      </c>
      <c r="C4232">
        <v>146.06</v>
      </c>
      <c r="D4232">
        <v>1.425</v>
      </c>
      <c r="E4232">
        <v>116.81</v>
      </c>
      <c r="F4232">
        <v>441</v>
      </c>
      <c r="K4232" s="3"/>
      <c r="O4232" s="3"/>
    </row>
    <row r="4233" spans="1:15">
      <c r="A4233" s="3">
        <v>40757</v>
      </c>
      <c r="B4233" s="3">
        <v>40757</v>
      </c>
      <c r="C4233">
        <v>146.18</v>
      </c>
      <c r="D4233">
        <v>1.4202999999999999</v>
      </c>
      <c r="E4233">
        <v>116.46</v>
      </c>
      <c r="F4233">
        <v>439.5</v>
      </c>
      <c r="K4233" s="3"/>
      <c r="O4233" s="3"/>
    </row>
    <row r="4234" spans="1:15">
      <c r="A4234" s="3">
        <v>40758</v>
      </c>
      <c r="B4234" s="3">
        <v>40758</v>
      </c>
      <c r="C4234">
        <v>146.47999999999999</v>
      </c>
      <c r="D4234">
        <v>1.4322999999999999</v>
      </c>
      <c r="E4234">
        <v>113.23</v>
      </c>
      <c r="F4234">
        <v>432.6</v>
      </c>
      <c r="K4234" s="3"/>
      <c r="O4234" s="3"/>
    </row>
    <row r="4235" spans="1:15">
      <c r="A4235" s="3">
        <v>40759</v>
      </c>
      <c r="B4235" s="3">
        <v>40759</v>
      </c>
      <c r="C4235">
        <v>146.49</v>
      </c>
      <c r="D4235">
        <v>1.4092</v>
      </c>
      <c r="E4235">
        <v>107.25</v>
      </c>
      <c r="F4235">
        <v>423.55</v>
      </c>
      <c r="K4235" s="3"/>
      <c r="O4235" s="3"/>
    </row>
    <row r="4236" spans="1:15">
      <c r="A4236" s="3">
        <v>40760</v>
      </c>
      <c r="B4236" s="3">
        <v>40760</v>
      </c>
      <c r="C4236">
        <v>146.56</v>
      </c>
      <c r="D4236">
        <v>1.4281999999999999</v>
      </c>
      <c r="E4236">
        <v>109.37</v>
      </c>
      <c r="F4236">
        <v>411.7</v>
      </c>
      <c r="K4236" s="3"/>
      <c r="O4236" s="3"/>
    </row>
    <row r="4237" spans="1:15">
      <c r="A4237" s="3">
        <v>40761</v>
      </c>
      <c r="B4237" s="3">
        <v>40761</v>
      </c>
      <c r="C4237">
        <v>146.56</v>
      </c>
      <c r="D4237">
        <v>1.4281999999999999</v>
      </c>
      <c r="E4237">
        <v>109.37</v>
      </c>
      <c r="F4237">
        <v>411.7</v>
      </c>
      <c r="K4237" s="3"/>
      <c r="O4237" s="3"/>
    </row>
    <row r="4238" spans="1:15">
      <c r="A4238" s="3">
        <v>40762</v>
      </c>
      <c r="B4238" s="3">
        <v>40762</v>
      </c>
      <c r="C4238">
        <v>146.56</v>
      </c>
      <c r="D4238">
        <v>1.4281999999999999</v>
      </c>
      <c r="E4238">
        <v>109.37</v>
      </c>
      <c r="F4238">
        <v>411.7</v>
      </c>
      <c r="K4238" s="3"/>
      <c r="O4238" s="3"/>
    </row>
    <row r="4239" spans="1:15">
      <c r="A4239" s="3">
        <v>40763</v>
      </c>
      <c r="B4239" s="3">
        <v>40763</v>
      </c>
      <c r="C4239">
        <v>146.69999999999999</v>
      </c>
      <c r="D4239">
        <v>1.4178999999999999</v>
      </c>
      <c r="E4239">
        <v>103.74</v>
      </c>
      <c r="F4239">
        <v>396.15</v>
      </c>
      <c r="K4239" s="3"/>
      <c r="O4239" s="3"/>
    </row>
    <row r="4240" spans="1:15">
      <c r="A4240" s="3">
        <v>40764</v>
      </c>
      <c r="B4240" s="3">
        <v>40764</v>
      </c>
      <c r="C4240">
        <v>147.04</v>
      </c>
      <c r="D4240">
        <v>1.4376</v>
      </c>
      <c r="E4240">
        <v>102.57</v>
      </c>
      <c r="F4240">
        <v>397</v>
      </c>
      <c r="K4240" s="3"/>
      <c r="O4240" s="3"/>
    </row>
    <row r="4241" spans="1:15">
      <c r="A4241" s="3">
        <v>40765</v>
      </c>
      <c r="B4241" s="3">
        <v>40765</v>
      </c>
      <c r="C4241">
        <v>146.85</v>
      </c>
      <c r="D4241">
        <v>1.4177999999999999</v>
      </c>
      <c r="E4241">
        <v>106.68</v>
      </c>
      <c r="F4241">
        <v>388.85</v>
      </c>
      <c r="K4241" s="3"/>
      <c r="O4241" s="3"/>
    </row>
    <row r="4242" spans="1:15">
      <c r="A4242" s="3">
        <v>40766</v>
      </c>
      <c r="B4242" s="3">
        <v>40766</v>
      </c>
      <c r="C4242">
        <v>147.16999999999999</v>
      </c>
      <c r="D4242">
        <v>1.4240999999999999</v>
      </c>
      <c r="E4242">
        <v>108.02</v>
      </c>
      <c r="F4242">
        <v>400.85</v>
      </c>
      <c r="K4242" s="3"/>
      <c r="O4242" s="3"/>
    </row>
    <row r="4243" spans="1:15">
      <c r="A4243" s="3">
        <v>40767</v>
      </c>
      <c r="B4243" s="3">
        <v>40767</v>
      </c>
      <c r="C4243">
        <v>147.18</v>
      </c>
      <c r="D4243">
        <v>1.4248000000000001</v>
      </c>
      <c r="E4243">
        <v>108.03</v>
      </c>
      <c r="F4243">
        <v>401.2</v>
      </c>
      <c r="K4243" s="3"/>
      <c r="O4243" s="3"/>
    </row>
    <row r="4244" spans="1:15">
      <c r="A4244" s="3">
        <v>40768</v>
      </c>
      <c r="B4244" s="3">
        <v>40768</v>
      </c>
      <c r="C4244">
        <v>147.18</v>
      </c>
      <c r="D4244">
        <v>1.4248000000000001</v>
      </c>
      <c r="E4244">
        <v>108.03</v>
      </c>
      <c r="F4244">
        <v>401.2</v>
      </c>
      <c r="K4244" s="3"/>
      <c r="O4244" s="3"/>
    </row>
    <row r="4245" spans="1:15">
      <c r="A4245" s="3">
        <v>40769</v>
      </c>
      <c r="B4245" s="3">
        <v>40769</v>
      </c>
      <c r="C4245">
        <v>147.18</v>
      </c>
      <c r="D4245">
        <v>1.4248000000000001</v>
      </c>
      <c r="E4245">
        <v>108.03</v>
      </c>
      <c r="F4245">
        <v>401.2</v>
      </c>
      <c r="K4245" s="3"/>
      <c r="O4245" s="3"/>
    </row>
    <row r="4246" spans="1:15">
      <c r="A4246" s="3">
        <v>40770</v>
      </c>
      <c r="B4246" s="3">
        <v>40770</v>
      </c>
      <c r="C4246">
        <v>147.24</v>
      </c>
      <c r="D4246">
        <v>1.4444999999999999</v>
      </c>
      <c r="E4246">
        <v>109.91</v>
      </c>
      <c r="F4246">
        <v>403.2</v>
      </c>
      <c r="K4246" s="3"/>
      <c r="O4246" s="3"/>
    </row>
    <row r="4247" spans="1:15">
      <c r="A4247" s="3">
        <v>40771</v>
      </c>
      <c r="B4247" s="3">
        <v>40771</v>
      </c>
      <c r="C4247">
        <v>146.71</v>
      </c>
      <c r="D4247">
        <v>1.4407000000000001</v>
      </c>
      <c r="E4247">
        <v>109.47</v>
      </c>
      <c r="F4247">
        <v>399.4</v>
      </c>
      <c r="K4247" s="3"/>
      <c r="O4247" s="3"/>
    </row>
    <row r="4248" spans="1:15">
      <c r="A4248" s="3">
        <v>40772</v>
      </c>
      <c r="B4248" s="3">
        <v>40772</v>
      </c>
      <c r="C4248">
        <v>146.33000000000001</v>
      </c>
      <c r="D4248">
        <v>1.4426000000000001</v>
      </c>
      <c r="E4248">
        <v>110.6</v>
      </c>
      <c r="F4248">
        <v>403.2</v>
      </c>
      <c r="K4248" s="3"/>
      <c r="O4248" s="3"/>
    </row>
    <row r="4249" spans="1:15">
      <c r="A4249" s="3">
        <v>40773</v>
      </c>
      <c r="B4249" s="3">
        <v>40773</v>
      </c>
      <c r="C4249">
        <v>146.61000000000001</v>
      </c>
      <c r="D4249">
        <v>1.4333</v>
      </c>
      <c r="E4249">
        <v>106.99</v>
      </c>
      <c r="F4249">
        <v>396.6</v>
      </c>
      <c r="K4249" s="3"/>
      <c r="O4249" s="3"/>
    </row>
    <row r="4250" spans="1:15">
      <c r="A4250" s="3">
        <v>40774</v>
      </c>
      <c r="B4250" s="3">
        <v>40774</v>
      </c>
      <c r="C4250">
        <v>146.63</v>
      </c>
      <c r="D4250">
        <v>1.4397</v>
      </c>
      <c r="E4250">
        <v>108.62</v>
      </c>
      <c r="F4250">
        <v>398.35</v>
      </c>
      <c r="K4250" s="3"/>
      <c r="O4250" s="3"/>
    </row>
    <row r="4251" spans="1:15">
      <c r="A4251" s="3">
        <v>40775</v>
      </c>
      <c r="B4251" s="3">
        <v>40775</v>
      </c>
      <c r="C4251">
        <v>146.63</v>
      </c>
      <c r="D4251">
        <v>1.4397</v>
      </c>
      <c r="E4251">
        <v>108.62</v>
      </c>
      <c r="F4251">
        <v>398.35</v>
      </c>
      <c r="K4251" s="3"/>
      <c r="O4251" s="3"/>
    </row>
    <row r="4252" spans="1:15">
      <c r="A4252" s="3">
        <v>40776</v>
      </c>
      <c r="B4252" s="3">
        <v>40776</v>
      </c>
      <c r="C4252">
        <v>146.63</v>
      </c>
      <c r="D4252">
        <v>1.4397</v>
      </c>
      <c r="E4252">
        <v>108.62</v>
      </c>
      <c r="F4252">
        <v>398.35</v>
      </c>
      <c r="K4252" s="3"/>
      <c r="O4252" s="3"/>
    </row>
    <row r="4253" spans="1:15">
      <c r="A4253" s="3">
        <v>40777</v>
      </c>
      <c r="B4253" s="3">
        <v>40777</v>
      </c>
      <c r="C4253">
        <v>146.63999999999999</v>
      </c>
      <c r="D4253">
        <v>1.4358</v>
      </c>
      <c r="E4253">
        <v>108.36</v>
      </c>
      <c r="F4253">
        <v>395.55</v>
      </c>
      <c r="K4253" s="3"/>
      <c r="O4253" s="3"/>
    </row>
    <row r="4254" spans="1:15">
      <c r="A4254" s="3">
        <v>40778</v>
      </c>
      <c r="B4254" s="3">
        <v>40778</v>
      </c>
      <c r="C4254">
        <v>146.49</v>
      </c>
      <c r="D4254">
        <v>1.4441999999999999</v>
      </c>
      <c r="E4254">
        <v>109.31</v>
      </c>
      <c r="F4254">
        <v>399.6</v>
      </c>
      <c r="K4254" s="3"/>
      <c r="O4254" s="3"/>
    </row>
    <row r="4255" spans="1:15">
      <c r="A4255" s="3">
        <v>40779</v>
      </c>
      <c r="B4255" s="3">
        <v>40779</v>
      </c>
      <c r="C4255">
        <v>146.4</v>
      </c>
      <c r="D4255">
        <v>1.4414</v>
      </c>
      <c r="E4255">
        <v>110.15</v>
      </c>
      <c r="F4255">
        <v>399.8</v>
      </c>
      <c r="K4255" s="3"/>
      <c r="O4255" s="3"/>
    </row>
    <row r="4256" spans="1:15">
      <c r="A4256" s="3">
        <v>40780</v>
      </c>
      <c r="B4256" s="3">
        <v>40780</v>
      </c>
      <c r="C4256">
        <v>146.36000000000001</v>
      </c>
      <c r="D4256">
        <v>1.4379</v>
      </c>
      <c r="E4256">
        <v>110.62</v>
      </c>
      <c r="F4256">
        <v>407.9</v>
      </c>
      <c r="K4256" s="3"/>
      <c r="O4256" s="3"/>
    </row>
    <row r="4257" spans="1:15">
      <c r="A4257" s="3">
        <v>40781</v>
      </c>
      <c r="B4257" s="3">
        <v>40781</v>
      </c>
      <c r="C4257">
        <v>146.52000000000001</v>
      </c>
      <c r="D4257">
        <v>1.4499</v>
      </c>
      <c r="E4257">
        <v>111.36</v>
      </c>
      <c r="F4257">
        <v>409.9</v>
      </c>
      <c r="K4257" s="3"/>
      <c r="O4257" s="3"/>
    </row>
    <row r="4258" spans="1:15">
      <c r="A4258" s="3">
        <v>40782</v>
      </c>
      <c r="B4258" s="3">
        <v>40782</v>
      </c>
      <c r="C4258">
        <v>146.52000000000001</v>
      </c>
      <c r="D4258">
        <v>1.4499</v>
      </c>
      <c r="E4258">
        <v>111.36</v>
      </c>
      <c r="F4258">
        <v>409.9</v>
      </c>
      <c r="K4258" s="3"/>
      <c r="O4258" s="3"/>
    </row>
    <row r="4259" spans="1:15">
      <c r="A4259" s="3">
        <v>40783</v>
      </c>
      <c r="B4259" s="3">
        <v>40783</v>
      </c>
      <c r="C4259">
        <v>146.52000000000001</v>
      </c>
      <c r="D4259">
        <v>1.4499</v>
      </c>
      <c r="E4259">
        <v>111.36</v>
      </c>
      <c r="F4259">
        <v>409.9</v>
      </c>
      <c r="K4259" s="3"/>
      <c r="O4259" s="3"/>
    </row>
    <row r="4260" spans="1:15">
      <c r="A4260" s="3">
        <v>40784</v>
      </c>
      <c r="B4260" s="3">
        <v>40784</v>
      </c>
      <c r="C4260">
        <v>146.38</v>
      </c>
      <c r="D4260">
        <v>1.4511000000000001</v>
      </c>
      <c r="E4260">
        <v>111.88</v>
      </c>
      <c r="F4260">
        <v>408.9</v>
      </c>
      <c r="K4260" s="3"/>
      <c r="O4260" s="3"/>
    </row>
    <row r="4261" spans="1:15">
      <c r="A4261" s="3">
        <v>40785</v>
      </c>
      <c r="B4261" s="3">
        <v>40785</v>
      </c>
      <c r="C4261">
        <v>146.38</v>
      </c>
      <c r="D4261">
        <v>1.4440999999999999</v>
      </c>
      <c r="E4261">
        <v>114.02</v>
      </c>
      <c r="F4261">
        <v>412.3</v>
      </c>
      <c r="K4261" s="3"/>
      <c r="O4261" s="3"/>
    </row>
    <row r="4262" spans="1:15">
      <c r="A4262" s="3">
        <v>40786</v>
      </c>
      <c r="B4262" s="3">
        <v>40786</v>
      </c>
      <c r="C4262">
        <v>146.71</v>
      </c>
      <c r="D4262">
        <v>1.4369000000000001</v>
      </c>
      <c r="E4262">
        <v>114.85</v>
      </c>
      <c r="F4262">
        <v>418.7</v>
      </c>
      <c r="K4262" s="3"/>
      <c r="O4262" s="3"/>
    </row>
    <row r="4263" spans="1:15">
      <c r="A4263" s="3">
        <v>40787</v>
      </c>
      <c r="B4263" s="3">
        <v>40787</v>
      </c>
      <c r="C4263">
        <v>146.68</v>
      </c>
      <c r="D4263">
        <v>1.4258999999999999</v>
      </c>
      <c r="E4263">
        <v>114.29</v>
      </c>
      <c r="F4263">
        <v>414.25</v>
      </c>
      <c r="K4263" s="3"/>
      <c r="O4263" s="3"/>
    </row>
    <row r="4264" spans="1:15">
      <c r="A4264" s="3">
        <v>40788</v>
      </c>
      <c r="B4264" s="3">
        <v>40788</v>
      </c>
      <c r="C4264">
        <v>146.80000000000001</v>
      </c>
      <c r="D4264">
        <v>1.4205000000000001</v>
      </c>
      <c r="E4264">
        <v>112.33</v>
      </c>
      <c r="F4264">
        <v>410.7</v>
      </c>
      <c r="K4264" s="3"/>
      <c r="O4264" s="3"/>
    </row>
    <row r="4265" spans="1:15">
      <c r="A4265" s="3">
        <v>40789</v>
      </c>
      <c r="B4265" s="3">
        <v>40789</v>
      </c>
      <c r="C4265">
        <v>146.80000000000001</v>
      </c>
      <c r="D4265">
        <v>1.4205000000000001</v>
      </c>
      <c r="E4265">
        <v>112.33</v>
      </c>
      <c r="F4265">
        <v>410.7</v>
      </c>
      <c r="K4265" s="3"/>
      <c r="O4265" s="3"/>
    </row>
    <row r="4266" spans="1:15">
      <c r="A4266" s="3">
        <v>40790</v>
      </c>
      <c r="B4266" s="3">
        <v>40790</v>
      </c>
      <c r="C4266">
        <v>146.80000000000001</v>
      </c>
      <c r="D4266">
        <v>1.4205000000000001</v>
      </c>
      <c r="E4266">
        <v>112.33</v>
      </c>
      <c r="F4266">
        <v>410.7</v>
      </c>
      <c r="K4266" s="3"/>
      <c r="O4266" s="3"/>
    </row>
    <row r="4267" spans="1:15">
      <c r="A4267" s="3">
        <v>40791</v>
      </c>
      <c r="B4267" s="3">
        <v>40791</v>
      </c>
      <c r="C4267">
        <v>146.93</v>
      </c>
      <c r="D4267">
        <v>1.4097999999999999</v>
      </c>
      <c r="E4267">
        <v>110.08</v>
      </c>
      <c r="F4267">
        <v>410.7</v>
      </c>
      <c r="K4267" s="3"/>
      <c r="O4267" s="3"/>
    </row>
    <row r="4268" spans="1:15">
      <c r="A4268" s="3">
        <v>40792</v>
      </c>
      <c r="B4268" s="3">
        <v>40792</v>
      </c>
      <c r="C4268">
        <v>146.97999999999999</v>
      </c>
      <c r="D4268">
        <v>1.3997999999999999</v>
      </c>
      <c r="E4268">
        <v>112.89</v>
      </c>
      <c r="F4268">
        <v>403.95</v>
      </c>
      <c r="K4268" s="3"/>
      <c r="O4268" s="3"/>
    </row>
    <row r="4269" spans="1:15">
      <c r="A4269" s="3">
        <v>40793</v>
      </c>
      <c r="B4269" s="3">
        <v>40793</v>
      </c>
      <c r="C4269">
        <v>146.91999999999999</v>
      </c>
      <c r="D4269">
        <v>1.4097999999999999</v>
      </c>
      <c r="E4269">
        <v>115.8</v>
      </c>
      <c r="F4269">
        <v>411.55</v>
      </c>
      <c r="K4269" s="3"/>
      <c r="O4269" s="3"/>
    </row>
    <row r="4270" spans="1:15">
      <c r="A4270" s="3">
        <v>40794</v>
      </c>
      <c r="B4270" s="3">
        <v>40794</v>
      </c>
      <c r="C4270">
        <v>147.08000000000001</v>
      </c>
      <c r="D4270">
        <v>1.3882000000000001</v>
      </c>
      <c r="E4270">
        <v>114.55</v>
      </c>
      <c r="F4270">
        <v>412.8</v>
      </c>
      <c r="K4270" s="3"/>
      <c r="O4270" s="3"/>
    </row>
    <row r="4271" spans="1:15">
      <c r="A4271" s="3">
        <v>40795</v>
      </c>
      <c r="B4271" s="3">
        <v>40795</v>
      </c>
      <c r="C4271">
        <v>147.24</v>
      </c>
      <c r="D4271">
        <v>1.3655999999999999</v>
      </c>
      <c r="E4271">
        <v>112.77</v>
      </c>
      <c r="F4271">
        <v>398.75</v>
      </c>
      <c r="K4271" s="3"/>
      <c r="O4271" s="3"/>
    </row>
    <row r="4272" spans="1:15">
      <c r="A4272" s="3">
        <v>40796</v>
      </c>
      <c r="B4272" s="3">
        <v>40796</v>
      </c>
      <c r="C4272">
        <v>147.24</v>
      </c>
      <c r="D4272">
        <v>1.3655999999999999</v>
      </c>
      <c r="E4272">
        <v>112.77</v>
      </c>
      <c r="F4272">
        <v>398.75</v>
      </c>
      <c r="K4272" s="3"/>
      <c r="O4272" s="3"/>
    </row>
    <row r="4273" spans="1:15">
      <c r="A4273" s="3">
        <v>40797</v>
      </c>
      <c r="B4273" s="3">
        <v>40797</v>
      </c>
      <c r="C4273">
        <v>147.24</v>
      </c>
      <c r="D4273">
        <v>1.3655999999999999</v>
      </c>
      <c r="E4273">
        <v>112.77</v>
      </c>
      <c r="F4273">
        <v>398.75</v>
      </c>
      <c r="K4273" s="3"/>
      <c r="O4273" s="3"/>
    </row>
    <row r="4274" spans="1:15">
      <c r="A4274" s="3">
        <v>40798</v>
      </c>
      <c r="B4274" s="3">
        <v>40798</v>
      </c>
      <c r="C4274">
        <v>147.36000000000001</v>
      </c>
      <c r="D4274">
        <v>1.3678999999999999</v>
      </c>
      <c r="E4274">
        <v>112.25</v>
      </c>
      <c r="F4274">
        <v>395.05</v>
      </c>
      <c r="K4274" s="3"/>
      <c r="O4274" s="3"/>
    </row>
    <row r="4275" spans="1:15">
      <c r="A4275" s="3">
        <v>40799</v>
      </c>
      <c r="B4275" s="3">
        <v>40799</v>
      </c>
      <c r="C4275">
        <v>147.36000000000001</v>
      </c>
      <c r="D4275">
        <v>1.3677999999999999</v>
      </c>
      <c r="E4275">
        <v>111.89</v>
      </c>
      <c r="F4275">
        <v>395.6</v>
      </c>
      <c r="K4275" s="3"/>
      <c r="O4275" s="3"/>
    </row>
    <row r="4276" spans="1:15">
      <c r="A4276" s="3">
        <v>40800</v>
      </c>
      <c r="B4276" s="3">
        <v>40800</v>
      </c>
      <c r="C4276">
        <v>147.01</v>
      </c>
      <c r="D4276">
        <v>1.3754999999999999</v>
      </c>
      <c r="E4276">
        <v>112.4</v>
      </c>
      <c r="F4276">
        <v>388.5</v>
      </c>
      <c r="K4276" s="3"/>
      <c r="O4276" s="3"/>
    </row>
    <row r="4277" spans="1:15">
      <c r="A4277" s="3">
        <v>40801</v>
      </c>
      <c r="B4277" s="3">
        <v>40801</v>
      </c>
      <c r="C4277">
        <v>147.16999999999999</v>
      </c>
      <c r="D4277">
        <v>1.3876999999999999</v>
      </c>
      <c r="E4277">
        <v>115.34</v>
      </c>
      <c r="F4277">
        <v>394.5</v>
      </c>
      <c r="K4277" s="3"/>
      <c r="O4277" s="3"/>
    </row>
    <row r="4278" spans="1:15">
      <c r="A4278" s="3">
        <v>40802</v>
      </c>
      <c r="B4278" s="3">
        <v>40802</v>
      </c>
      <c r="C4278">
        <v>147.11000000000001</v>
      </c>
      <c r="D4278">
        <v>1.3795999999999999</v>
      </c>
      <c r="E4278">
        <v>112.22</v>
      </c>
      <c r="F4278">
        <v>392</v>
      </c>
      <c r="K4278" s="3"/>
      <c r="O4278" s="3"/>
    </row>
    <row r="4279" spans="1:15">
      <c r="A4279" s="3">
        <v>40803</v>
      </c>
      <c r="B4279" s="3">
        <v>40803</v>
      </c>
      <c r="C4279">
        <v>147.11000000000001</v>
      </c>
      <c r="D4279">
        <v>1.3795999999999999</v>
      </c>
      <c r="E4279">
        <v>112.22</v>
      </c>
      <c r="F4279">
        <v>392</v>
      </c>
      <c r="K4279" s="3"/>
      <c r="O4279" s="3"/>
    </row>
    <row r="4280" spans="1:15">
      <c r="A4280" s="3">
        <v>40804</v>
      </c>
      <c r="B4280" s="3">
        <v>40804</v>
      </c>
      <c r="C4280">
        <v>147.11000000000001</v>
      </c>
      <c r="D4280">
        <v>1.3795999999999999</v>
      </c>
      <c r="E4280">
        <v>112.22</v>
      </c>
      <c r="F4280">
        <v>392</v>
      </c>
      <c r="K4280" s="3"/>
      <c r="O4280" s="3"/>
    </row>
    <row r="4281" spans="1:15">
      <c r="A4281" s="3">
        <v>40805</v>
      </c>
      <c r="B4281" s="3">
        <v>40805</v>
      </c>
      <c r="C4281">
        <v>147.22999999999999</v>
      </c>
      <c r="D4281">
        <v>1.3686</v>
      </c>
      <c r="E4281">
        <v>109.14</v>
      </c>
      <c r="F4281">
        <v>377.15</v>
      </c>
      <c r="K4281" s="3"/>
      <c r="O4281" s="3"/>
    </row>
    <row r="4282" spans="1:15">
      <c r="A4282" s="3">
        <v>40806</v>
      </c>
      <c r="B4282" s="3">
        <v>40806</v>
      </c>
      <c r="C4282">
        <v>147.36000000000001</v>
      </c>
      <c r="D4282">
        <v>1.3702000000000001</v>
      </c>
      <c r="E4282">
        <v>110.54</v>
      </c>
      <c r="F4282">
        <v>371.65</v>
      </c>
      <c r="K4282" s="3"/>
      <c r="O4282" s="3"/>
    </row>
    <row r="4283" spans="1:15">
      <c r="A4283" s="3">
        <v>40807</v>
      </c>
      <c r="B4283" s="3">
        <v>40807</v>
      </c>
      <c r="C4283">
        <v>147.46</v>
      </c>
      <c r="D4283">
        <v>1.3573</v>
      </c>
      <c r="E4283">
        <v>110.36</v>
      </c>
      <c r="F4283">
        <v>375.35</v>
      </c>
      <c r="K4283" s="3"/>
      <c r="O4283" s="3"/>
    </row>
    <row r="4284" spans="1:15">
      <c r="A4284" s="3">
        <v>40808</v>
      </c>
      <c r="B4284" s="3">
        <v>40808</v>
      </c>
      <c r="C4284">
        <v>147.6</v>
      </c>
      <c r="D4284">
        <v>1.3465</v>
      </c>
      <c r="E4284">
        <v>105.49</v>
      </c>
      <c r="F4284">
        <v>348.05</v>
      </c>
      <c r="K4284" s="3"/>
      <c r="O4284" s="3"/>
    </row>
    <row r="4285" spans="1:15">
      <c r="A4285" s="3">
        <v>40809</v>
      </c>
      <c r="B4285" s="3">
        <v>40809</v>
      </c>
      <c r="C4285">
        <v>147.75</v>
      </c>
      <c r="D4285">
        <v>1.35</v>
      </c>
      <c r="E4285">
        <v>103.97</v>
      </c>
      <c r="F4285">
        <v>327.2</v>
      </c>
      <c r="K4285" s="3"/>
      <c r="O4285" s="3"/>
    </row>
    <row r="4286" spans="1:15">
      <c r="A4286" s="3">
        <v>40810</v>
      </c>
      <c r="B4286" s="3">
        <v>40810</v>
      </c>
      <c r="C4286">
        <v>147.75</v>
      </c>
      <c r="D4286">
        <v>1.35</v>
      </c>
      <c r="E4286">
        <v>103.97</v>
      </c>
      <c r="F4286">
        <v>327.2</v>
      </c>
      <c r="K4286" s="3"/>
      <c r="O4286" s="3"/>
    </row>
    <row r="4287" spans="1:15">
      <c r="A4287" s="3">
        <v>40811</v>
      </c>
      <c r="B4287" s="3">
        <v>40811</v>
      </c>
      <c r="C4287">
        <v>147.75</v>
      </c>
      <c r="D4287">
        <v>1.35</v>
      </c>
      <c r="E4287">
        <v>103.97</v>
      </c>
      <c r="F4287">
        <v>327.2</v>
      </c>
      <c r="K4287" s="3"/>
      <c r="O4287" s="3"/>
    </row>
    <row r="4288" spans="1:15">
      <c r="A4288" s="3">
        <v>40812</v>
      </c>
      <c r="B4288" s="3">
        <v>40812</v>
      </c>
      <c r="C4288">
        <v>147.80000000000001</v>
      </c>
      <c r="D4288">
        <v>1.3532999999999999</v>
      </c>
      <c r="E4288">
        <v>103.94</v>
      </c>
      <c r="F4288">
        <v>327.5</v>
      </c>
      <c r="K4288" s="3"/>
      <c r="O4288" s="3"/>
    </row>
    <row r="4289" spans="1:15">
      <c r="A4289" s="3">
        <v>40813</v>
      </c>
      <c r="B4289" s="3">
        <v>40813</v>
      </c>
      <c r="C4289">
        <v>147.71</v>
      </c>
      <c r="D4289">
        <v>1.3585</v>
      </c>
      <c r="E4289">
        <v>107.14</v>
      </c>
      <c r="F4289">
        <v>342.95</v>
      </c>
      <c r="K4289" s="3"/>
      <c r="O4289" s="3"/>
    </row>
    <row r="4290" spans="1:15">
      <c r="A4290" s="3">
        <v>40814</v>
      </c>
      <c r="B4290" s="3">
        <v>40814</v>
      </c>
      <c r="C4290">
        <v>147.86000000000001</v>
      </c>
      <c r="D4290">
        <v>1.3543000000000001</v>
      </c>
      <c r="E4290">
        <v>103.81</v>
      </c>
      <c r="F4290">
        <v>323.60000000000002</v>
      </c>
      <c r="K4290" s="3"/>
      <c r="O4290" s="3"/>
    </row>
    <row r="4291" spans="1:15">
      <c r="A4291" s="3">
        <v>40815</v>
      </c>
      <c r="B4291" s="3">
        <v>40815</v>
      </c>
      <c r="C4291">
        <v>147.91999999999999</v>
      </c>
      <c r="D4291">
        <v>1.3596999999999999</v>
      </c>
      <c r="E4291">
        <v>103.95</v>
      </c>
      <c r="F4291">
        <v>324.60000000000002</v>
      </c>
      <c r="K4291" s="3"/>
      <c r="O4291" s="3"/>
    </row>
    <row r="4292" spans="1:15">
      <c r="A4292" s="3">
        <v>40816</v>
      </c>
      <c r="B4292" s="3">
        <v>40816</v>
      </c>
      <c r="C4292">
        <v>148.15</v>
      </c>
      <c r="D4292">
        <v>1.3387</v>
      </c>
      <c r="E4292">
        <v>102.76</v>
      </c>
      <c r="F4292">
        <v>315.2</v>
      </c>
      <c r="K4292" s="3"/>
      <c r="O4292" s="3"/>
    </row>
    <row r="4293" spans="1:15">
      <c r="A4293" s="3">
        <v>40817</v>
      </c>
      <c r="B4293" s="3">
        <v>40817</v>
      </c>
      <c r="C4293">
        <v>148.15</v>
      </c>
      <c r="D4293">
        <v>1.3387</v>
      </c>
      <c r="E4293">
        <v>102.76</v>
      </c>
      <c r="F4293">
        <v>315.2</v>
      </c>
      <c r="K4293" s="3"/>
      <c r="O4293" s="3"/>
    </row>
    <row r="4294" spans="1:15">
      <c r="A4294" s="3">
        <v>40818</v>
      </c>
      <c r="B4294" s="3">
        <v>40818</v>
      </c>
      <c r="C4294">
        <v>148.15</v>
      </c>
      <c r="D4294">
        <v>1.3387</v>
      </c>
      <c r="E4294">
        <v>102.76</v>
      </c>
      <c r="F4294">
        <v>315.2</v>
      </c>
      <c r="K4294" s="3"/>
      <c r="O4294" s="3"/>
    </row>
    <row r="4295" spans="1:15">
      <c r="A4295" s="3">
        <v>40819</v>
      </c>
      <c r="B4295" s="3">
        <v>40819</v>
      </c>
      <c r="C4295">
        <v>147.91</v>
      </c>
      <c r="D4295">
        <v>1.3176000000000001</v>
      </c>
      <c r="E4295">
        <v>101.71</v>
      </c>
      <c r="F4295">
        <v>315.05</v>
      </c>
      <c r="K4295" s="3"/>
      <c r="O4295" s="3"/>
    </row>
    <row r="4296" spans="1:15">
      <c r="A4296" s="3">
        <v>40820</v>
      </c>
      <c r="B4296" s="3">
        <v>40820</v>
      </c>
      <c r="C4296">
        <v>148.21</v>
      </c>
      <c r="D4296">
        <v>1.3349</v>
      </c>
      <c r="E4296">
        <v>99.79</v>
      </c>
      <c r="F4296">
        <v>310.35000000000002</v>
      </c>
      <c r="K4296" s="3"/>
      <c r="O4296" s="3"/>
    </row>
    <row r="4297" spans="1:15">
      <c r="A4297" s="3">
        <v>40821</v>
      </c>
      <c r="B4297" s="3">
        <v>40821</v>
      </c>
      <c r="C4297">
        <v>148.31</v>
      </c>
      <c r="D4297">
        <v>1.3348</v>
      </c>
      <c r="E4297">
        <v>102.73</v>
      </c>
      <c r="F4297">
        <v>310.60000000000002</v>
      </c>
      <c r="K4297" s="3"/>
      <c r="O4297" s="3"/>
    </row>
    <row r="4298" spans="1:15">
      <c r="A4298" s="3">
        <v>40822</v>
      </c>
      <c r="B4298" s="3">
        <v>40822</v>
      </c>
      <c r="C4298">
        <v>148.4</v>
      </c>
      <c r="D4298">
        <v>1.3436999999999999</v>
      </c>
      <c r="E4298">
        <v>105.73</v>
      </c>
      <c r="F4298">
        <v>324.64999999999998</v>
      </c>
      <c r="K4298" s="3"/>
      <c r="O4298" s="3"/>
    </row>
    <row r="4299" spans="1:15">
      <c r="A4299" s="3">
        <v>40823</v>
      </c>
      <c r="B4299" s="3">
        <v>40823</v>
      </c>
      <c r="C4299">
        <v>148.36000000000001</v>
      </c>
      <c r="D4299">
        <v>1.3378000000000001</v>
      </c>
      <c r="E4299">
        <v>105.88</v>
      </c>
      <c r="F4299">
        <v>327.35000000000002</v>
      </c>
      <c r="K4299" s="3"/>
      <c r="O4299" s="3"/>
    </row>
    <row r="4300" spans="1:15">
      <c r="A4300" s="3">
        <v>40824</v>
      </c>
      <c r="B4300" s="3">
        <v>40824</v>
      </c>
      <c r="C4300">
        <v>148.36000000000001</v>
      </c>
      <c r="D4300">
        <v>1.3378000000000001</v>
      </c>
      <c r="E4300">
        <v>105.88</v>
      </c>
      <c r="F4300">
        <v>327.35000000000002</v>
      </c>
      <c r="K4300" s="3"/>
      <c r="O4300" s="3"/>
    </row>
    <row r="4301" spans="1:15">
      <c r="A4301" s="3">
        <v>40825</v>
      </c>
      <c r="B4301" s="3">
        <v>40825</v>
      </c>
      <c r="C4301">
        <v>148.36000000000001</v>
      </c>
      <c r="D4301">
        <v>1.3378000000000001</v>
      </c>
      <c r="E4301">
        <v>105.88</v>
      </c>
      <c r="F4301">
        <v>327.35000000000002</v>
      </c>
      <c r="K4301" s="3"/>
      <c r="O4301" s="3"/>
    </row>
    <row r="4302" spans="1:15">
      <c r="A4302" s="3">
        <v>40826</v>
      </c>
      <c r="B4302" s="3">
        <v>40826</v>
      </c>
      <c r="C4302">
        <v>148.18</v>
      </c>
      <c r="D4302">
        <v>1.3642000000000001</v>
      </c>
      <c r="E4302">
        <v>108.95</v>
      </c>
      <c r="F4302">
        <v>336.8</v>
      </c>
      <c r="K4302" s="3"/>
      <c r="O4302" s="3"/>
    </row>
    <row r="4303" spans="1:15">
      <c r="A4303" s="3">
        <v>40827</v>
      </c>
      <c r="B4303" s="3">
        <v>40827</v>
      </c>
      <c r="C4303">
        <v>147.93</v>
      </c>
      <c r="D4303">
        <v>1.3640000000000001</v>
      </c>
      <c r="E4303">
        <v>110.73</v>
      </c>
      <c r="F4303">
        <v>329.05</v>
      </c>
      <c r="K4303" s="3"/>
      <c r="O4303" s="3"/>
    </row>
    <row r="4304" spans="1:15">
      <c r="A4304" s="3">
        <v>40828</v>
      </c>
      <c r="B4304" s="3">
        <v>40828</v>
      </c>
      <c r="C4304">
        <v>147.96</v>
      </c>
      <c r="D4304">
        <v>1.3791</v>
      </c>
      <c r="E4304">
        <v>111.36</v>
      </c>
      <c r="F4304">
        <v>339.35</v>
      </c>
      <c r="K4304" s="3"/>
      <c r="O4304" s="3"/>
    </row>
    <row r="4305" spans="1:15">
      <c r="A4305" s="3">
        <v>40829</v>
      </c>
      <c r="B4305" s="3">
        <v>40829</v>
      </c>
      <c r="C4305">
        <v>147.68</v>
      </c>
      <c r="D4305">
        <v>1.3776999999999999</v>
      </c>
      <c r="E4305">
        <v>111.11</v>
      </c>
      <c r="F4305">
        <v>330.7</v>
      </c>
      <c r="K4305" s="3"/>
      <c r="O4305" s="3"/>
    </row>
    <row r="4306" spans="1:15">
      <c r="A4306" s="3">
        <v>40830</v>
      </c>
      <c r="B4306" s="3">
        <v>40830</v>
      </c>
      <c r="C4306">
        <v>147.84</v>
      </c>
      <c r="D4306">
        <v>1.3882000000000001</v>
      </c>
      <c r="E4306">
        <v>114.68</v>
      </c>
      <c r="F4306">
        <v>340.85</v>
      </c>
      <c r="K4306" s="3"/>
      <c r="O4306" s="3"/>
    </row>
    <row r="4307" spans="1:15">
      <c r="A4307" s="3">
        <v>40831</v>
      </c>
      <c r="B4307" s="3">
        <v>40831</v>
      </c>
      <c r="C4307">
        <v>147.84</v>
      </c>
      <c r="D4307">
        <v>1.3882000000000001</v>
      </c>
      <c r="E4307">
        <v>114.68</v>
      </c>
      <c r="F4307">
        <v>340.85</v>
      </c>
      <c r="K4307" s="3"/>
      <c r="O4307" s="3"/>
    </row>
    <row r="4308" spans="1:15">
      <c r="A4308" s="3">
        <v>40832</v>
      </c>
      <c r="B4308" s="3">
        <v>40832</v>
      </c>
      <c r="C4308">
        <v>147.84</v>
      </c>
      <c r="D4308">
        <v>1.3882000000000001</v>
      </c>
      <c r="E4308">
        <v>114.68</v>
      </c>
      <c r="F4308">
        <v>340.85</v>
      </c>
      <c r="K4308" s="3"/>
      <c r="O4308" s="3"/>
    </row>
    <row r="4309" spans="1:15">
      <c r="A4309" s="3">
        <v>40833</v>
      </c>
      <c r="B4309" s="3">
        <v>40833</v>
      </c>
      <c r="C4309">
        <v>147.94</v>
      </c>
      <c r="D4309">
        <v>1.3736999999999999</v>
      </c>
      <c r="E4309">
        <v>110.16</v>
      </c>
      <c r="F4309">
        <v>337.8</v>
      </c>
      <c r="K4309" s="3"/>
      <c r="O4309" s="3"/>
    </row>
    <row r="4310" spans="1:15">
      <c r="A4310" s="3">
        <v>40834</v>
      </c>
      <c r="B4310" s="3">
        <v>40834</v>
      </c>
      <c r="C4310">
        <v>147.94999999999999</v>
      </c>
      <c r="D4310">
        <v>1.3752</v>
      </c>
      <c r="E4310">
        <v>111.15</v>
      </c>
      <c r="F4310">
        <v>336</v>
      </c>
      <c r="K4310" s="3"/>
      <c r="O4310" s="3"/>
    </row>
    <row r="4311" spans="1:15">
      <c r="A4311" s="3">
        <v>40835</v>
      </c>
      <c r="B4311" s="3">
        <v>40835</v>
      </c>
      <c r="C4311">
        <v>147.85</v>
      </c>
      <c r="D4311">
        <v>1.3759999999999999</v>
      </c>
      <c r="E4311">
        <v>108.39</v>
      </c>
      <c r="F4311">
        <v>325.8</v>
      </c>
      <c r="K4311" s="3"/>
      <c r="O4311" s="3"/>
    </row>
    <row r="4312" spans="1:15">
      <c r="A4312" s="3">
        <v>40836</v>
      </c>
      <c r="B4312" s="3">
        <v>40836</v>
      </c>
      <c r="C4312">
        <v>147.96</v>
      </c>
      <c r="D4312">
        <v>1.3779999999999999</v>
      </c>
      <c r="E4312">
        <v>109.76</v>
      </c>
      <c r="F4312">
        <v>305.75</v>
      </c>
      <c r="K4312" s="3"/>
      <c r="O4312" s="3"/>
    </row>
    <row r="4313" spans="1:15">
      <c r="A4313" s="3">
        <v>40837</v>
      </c>
      <c r="B4313" s="3">
        <v>40837</v>
      </c>
      <c r="C4313">
        <v>148.03</v>
      </c>
      <c r="D4313">
        <v>1.3895999999999999</v>
      </c>
      <c r="E4313">
        <v>109.56</v>
      </c>
      <c r="F4313">
        <v>322.3</v>
      </c>
      <c r="K4313" s="3"/>
      <c r="O4313" s="3"/>
    </row>
    <row r="4314" spans="1:15">
      <c r="A4314" s="3">
        <v>40838</v>
      </c>
      <c r="B4314" s="3">
        <v>40838</v>
      </c>
      <c r="C4314">
        <v>148.03</v>
      </c>
      <c r="D4314">
        <v>1.3895999999999999</v>
      </c>
      <c r="E4314">
        <v>109.56</v>
      </c>
      <c r="F4314">
        <v>322.3</v>
      </c>
      <c r="K4314" s="3"/>
      <c r="O4314" s="3"/>
    </row>
    <row r="4315" spans="1:15">
      <c r="A4315" s="3">
        <v>40839</v>
      </c>
      <c r="B4315" s="3">
        <v>40839</v>
      </c>
      <c r="C4315">
        <v>148.03</v>
      </c>
      <c r="D4315">
        <v>1.3895999999999999</v>
      </c>
      <c r="E4315">
        <v>109.56</v>
      </c>
      <c r="F4315">
        <v>322.3</v>
      </c>
      <c r="K4315" s="3"/>
      <c r="O4315" s="3"/>
    </row>
    <row r="4316" spans="1:15">
      <c r="A4316" s="3">
        <v>40840</v>
      </c>
      <c r="B4316" s="3">
        <v>40840</v>
      </c>
      <c r="C4316">
        <v>148.05000000000001</v>
      </c>
      <c r="D4316">
        <v>1.3929</v>
      </c>
      <c r="E4316">
        <v>111.45</v>
      </c>
      <c r="F4316">
        <v>344.9</v>
      </c>
      <c r="K4316" s="3"/>
      <c r="O4316" s="3"/>
    </row>
    <row r="4317" spans="1:15">
      <c r="A4317" s="3">
        <v>40841</v>
      </c>
      <c r="B4317" s="3">
        <v>40841</v>
      </c>
      <c r="C4317">
        <v>147.94999999999999</v>
      </c>
      <c r="D4317">
        <v>1.3908</v>
      </c>
      <c r="E4317">
        <v>110.92</v>
      </c>
      <c r="F4317">
        <v>342.05</v>
      </c>
      <c r="K4317" s="3"/>
      <c r="O4317" s="3"/>
    </row>
    <row r="4318" spans="1:15">
      <c r="A4318" s="3">
        <v>40842</v>
      </c>
      <c r="B4318" s="3">
        <v>40842</v>
      </c>
      <c r="C4318">
        <v>147.94</v>
      </c>
      <c r="D4318">
        <v>1.3906000000000001</v>
      </c>
      <c r="E4318">
        <v>108.91</v>
      </c>
      <c r="F4318">
        <v>349</v>
      </c>
      <c r="K4318" s="3"/>
      <c r="O4318" s="3"/>
    </row>
    <row r="4319" spans="1:15">
      <c r="A4319" s="3">
        <v>40843</v>
      </c>
      <c r="B4319" s="3">
        <v>40843</v>
      </c>
      <c r="C4319">
        <v>147.80000000000001</v>
      </c>
      <c r="D4319">
        <v>1.4189000000000001</v>
      </c>
      <c r="E4319">
        <v>112.08</v>
      </c>
      <c r="F4319">
        <v>369.2</v>
      </c>
      <c r="K4319" s="3"/>
      <c r="O4319" s="3"/>
    </row>
    <row r="4320" spans="1:15">
      <c r="A4320" s="3">
        <v>40844</v>
      </c>
      <c r="B4320" s="3">
        <v>40844</v>
      </c>
      <c r="C4320">
        <v>147.58000000000001</v>
      </c>
      <c r="D4320">
        <v>1.4147000000000001</v>
      </c>
      <c r="E4320">
        <v>109.91</v>
      </c>
      <c r="F4320">
        <v>370.6</v>
      </c>
      <c r="K4320" s="3"/>
      <c r="O4320" s="3"/>
    </row>
    <row r="4321" spans="1:15">
      <c r="A4321" s="3">
        <v>40845</v>
      </c>
      <c r="B4321" s="3">
        <v>40845</v>
      </c>
      <c r="C4321">
        <v>147.58000000000001</v>
      </c>
      <c r="D4321">
        <v>1.4147000000000001</v>
      </c>
      <c r="E4321">
        <v>109.91</v>
      </c>
      <c r="F4321">
        <v>370.6</v>
      </c>
      <c r="K4321" s="3"/>
      <c r="O4321" s="3"/>
    </row>
    <row r="4322" spans="1:15">
      <c r="A4322" s="3">
        <v>40846</v>
      </c>
      <c r="B4322" s="3">
        <v>40846</v>
      </c>
      <c r="C4322">
        <v>147.58000000000001</v>
      </c>
      <c r="D4322">
        <v>1.4147000000000001</v>
      </c>
      <c r="E4322">
        <v>109.91</v>
      </c>
      <c r="F4322">
        <v>370.6</v>
      </c>
      <c r="K4322" s="3"/>
      <c r="O4322" s="3"/>
    </row>
    <row r="4323" spans="1:15">
      <c r="A4323" s="3">
        <v>40847</v>
      </c>
      <c r="B4323" s="3">
        <v>40847</v>
      </c>
      <c r="C4323">
        <v>147.97</v>
      </c>
      <c r="D4323">
        <v>1.3857999999999999</v>
      </c>
      <c r="E4323">
        <v>109.56</v>
      </c>
      <c r="F4323">
        <v>363.2</v>
      </c>
      <c r="K4323" s="3"/>
      <c r="O4323" s="3"/>
    </row>
    <row r="4324" spans="1:15">
      <c r="A4324" s="3">
        <v>40848</v>
      </c>
      <c r="B4324" s="3">
        <v>40848</v>
      </c>
      <c r="C4324">
        <v>148.02000000000001</v>
      </c>
      <c r="D4324">
        <v>1.3703000000000001</v>
      </c>
      <c r="E4324">
        <v>109.54</v>
      </c>
      <c r="F4324">
        <v>350.25</v>
      </c>
      <c r="K4324" s="3"/>
      <c r="O4324" s="3"/>
    </row>
    <row r="4325" spans="1:15">
      <c r="A4325" s="3">
        <v>40849</v>
      </c>
      <c r="B4325" s="3">
        <v>40849</v>
      </c>
      <c r="C4325">
        <v>148.06</v>
      </c>
      <c r="D4325">
        <v>1.3747</v>
      </c>
      <c r="E4325">
        <v>109.34</v>
      </c>
      <c r="F4325">
        <v>358.1</v>
      </c>
      <c r="K4325" s="3"/>
      <c r="O4325" s="3"/>
    </row>
    <row r="4326" spans="1:15">
      <c r="A4326" s="3">
        <v>40850</v>
      </c>
      <c r="B4326" s="3">
        <v>40850</v>
      </c>
      <c r="C4326">
        <v>147.9</v>
      </c>
      <c r="D4326">
        <v>1.3823000000000001</v>
      </c>
      <c r="E4326">
        <v>110.83</v>
      </c>
      <c r="F4326">
        <v>358.85</v>
      </c>
      <c r="K4326" s="3"/>
      <c r="O4326" s="3"/>
    </row>
    <row r="4327" spans="1:15">
      <c r="A4327" s="3">
        <v>40851</v>
      </c>
      <c r="B4327" s="3">
        <v>40851</v>
      </c>
      <c r="C4327">
        <v>147.99</v>
      </c>
      <c r="D4327">
        <v>1.3792</v>
      </c>
      <c r="E4327">
        <v>111.97</v>
      </c>
      <c r="F4327">
        <v>356.45</v>
      </c>
      <c r="K4327" s="3"/>
      <c r="O4327" s="3"/>
    </row>
    <row r="4328" spans="1:15">
      <c r="A4328" s="3">
        <v>40852</v>
      </c>
      <c r="B4328" s="3">
        <v>40852</v>
      </c>
      <c r="C4328">
        <v>147.99</v>
      </c>
      <c r="D4328">
        <v>1.3792</v>
      </c>
      <c r="E4328">
        <v>111.97</v>
      </c>
      <c r="F4328">
        <v>356.45</v>
      </c>
      <c r="K4328" s="3"/>
      <c r="O4328" s="3"/>
    </row>
    <row r="4329" spans="1:15">
      <c r="A4329" s="3">
        <v>40853</v>
      </c>
      <c r="B4329" s="3">
        <v>40853</v>
      </c>
      <c r="C4329">
        <v>147.99</v>
      </c>
      <c r="D4329">
        <v>1.3792</v>
      </c>
      <c r="E4329">
        <v>111.97</v>
      </c>
      <c r="F4329">
        <v>356.45</v>
      </c>
      <c r="K4329" s="3"/>
      <c r="O4329" s="3"/>
    </row>
    <row r="4330" spans="1:15">
      <c r="A4330" s="3">
        <v>40854</v>
      </c>
      <c r="B4330" s="3">
        <v>40854</v>
      </c>
      <c r="C4330">
        <v>148.04</v>
      </c>
      <c r="D4330">
        <v>1.3775999999999999</v>
      </c>
      <c r="E4330">
        <v>114.56</v>
      </c>
      <c r="F4330">
        <v>353.55</v>
      </c>
      <c r="K4330" s="3"/>
      <c r="O4330" s="3"/>
    </row>
    <row r="4331" spans="1:15">
      <c r="A4331" s="3">
        <v>40855</v>
      </c>
      <c r="B4331" s="3">
        <v>40855</v>
      </c>
      <c r="C4331">
        <v>148.01</v>
      </c>
      <c r="D4331">
        <v>1.3834</v>
      </c>
      <c r="E4331">
        <v>115</v>
      </c>
      <c r="F4331">
        <v>353.3</v>
      </c>
      <c r="K4331" s="3"/>
      <c r="O4331" s="3"/>
    </row>
    <row r="4332" spans="1:15">
      <c r="A4332" s="3">
        <v>40856</v>
      </c>
      <c r="B4332" s="3">
        <v>40856</v>
      </c>
      <c r="C4332">
        <v>148.02000000000001</v>
      </c>
      <c r="D4332">
        <v>1.3542000000000001</v>
      </c>
      <c r="E4332">
        <v>112.31</v>
      </c>
      <c r="F4332">
        <v>344.1</v>
      </c>
      <c r="K4332" s="3"/>
      <c r="O4332" s="3"/>
    </row>
    <row r="4333" spans="1:15">
      <c r="A4333" s="3">
        <v>40857</v>
      </c>
      <c r="B4333" s="3">
        <v>40857</v>
      </c>
      <c r="C4333">
        <v>148.15</v>
      </c>
      <c r="D4333">
        <v>1.3606</v>
      </c>
      <c r="E4333">
        <v>113.71</v>
      </c>
      <c r="F4333">
        <v>337.4</v>
      </c>
      <c r="K4333" s="3"/>
      <c r="O4333" s="3"/>
    </row>
    <row r="4334" spans="1:15">
      <c r="A4334" s="3">
        <v>40858</v>
      </c>
      <c r="B4334" s="3">
        <v>40858</v>
      </c>
      <c r="C4334">
        <v>148.15</v>
      </c>
      <c r="D4334">
        <v>1.375</v>
      </c>
      <c r="E4334">
        <v>114.16</v>
      </c>
      <c r="F4334">
        <v>346.35</v>
      </c>
      <c r="K4334" s="3"/>
      <c r="O4334" s="3"/>
    </row>
    <row r="4335" spans="1:15">
      <c r="A4335" s="3">
        <v>40859</v>
      </c>
      <c r="B4335" s="3">
        <v>40859</v>
      </c>
      <c r="C4335">
        <v>148.15</v>
      </c>
      <c r="D4335">
        <v>1.375</v>
      </c>
      <c r="E4335">
        <v>114.16</v>
      </c>
      <c r="F4335">
        <v>346.35</v>
      </c>
      <c r="K4335" s="3"/>
      <c r="O4335" s="3"/>
    </row>
    <row r="4336" spans="1:15">
      <c r="A4336" s="3">
        <v>40860</v>
      </c>
      <c r="B4336" s="3">
        <v>40860</v>
      </c>
      <c r="C4336">
        <v>148.15</v>
      </c>
      <c r="D4336">
        <v>1.375</v>
      </c>
      <c r="E4336">
        <v>114.16</v>
      </c>
      <c r="F4336">
        <v>346.35</v>
      </c>
      <c r="K4336" s="3"/>
      <c r="O4336" s="3"/>
    </row>
    <row r="4337" spans="1:15">
      <c r="A4337" s="3">
        <v>40861</v>
      </c>
      <c r="B4337" s="3">
        <v>40861</v>
      </c>
      <c r="C4337">
        <v>148.19999999999999</v>
      </c>
      <c r="D4337">
        <v>1.3633</v>
      </c>
      <c r="E4337">
        <v>111.89</v>
      </c>
      <c r="F4337">
        <v>348.8</v>
      </c>
      <c r="K4337" s="3"/>
      <c r="O4337" s="3"/>
    </row>
    <row r="4338" spans="1:15">
      <c r="A4338" s="3">
        <v>40862</v>
      </c>
      <c r="B4338" s="3">
        <v>40862</v>
      </c>
      <c r="C4338">
        <v>148.24</v>
      </c>
      <c r="D4338">
        <v>1.3539000000000001</v>
      </c>
      <c r="E4338">
        <v>112.39</v>
      </c>
      <c r="F4338">
        <v>350.15</v>
      </c>
      <c r="K4338" s="3"/>
      <c r="O4338" s="3"/>
    </row>
    <row r="4339" spans="1:15">
      <c r="A4339" s="3">
        <v>40863</v>
      </c>
      <c r="B4339" s="3">
        <v>40863</v>
      </c>
      <c r="C4339">
        <v>147.94999999999999</v>
      </c>
      <c r="D4339">
        <v>1.3463000000000001</v>
      </c>
      <c r="E4339">
        <v>111.88</v>
      </c>
      <c r="F4339">
        <v>348.45</v>
      </c>
      <c r="K4339" s="3"/>
      <c r="O4339" s="3"/>
    </row>
    <row r="4340" spans="1:15">
      <c r="A4340" s="3">
        <v>40864</v>
      </c>
      <c r="B4340" s="3">
        <v>40864</v>
      </c>
      <c r="C4340">
        <v>148.1</v>
      </c>
      <c r="D4340">
        <v>1.3458000000000001</v>
      </c>
      <c r="E4340">
        <v>108.22</v>
      </c>
      <c r="F4340">
        <v>338.25</v>
      </c>
      <c r="K4340" s="3"/>
      <c r="O4340" s="3"/>
    </row>
    <row r="4341" spans="1:15">
      <c r="A4341" s="3">
        <v>40865</v>
      </c>
      <c r="B4341" s="3">
        <v>40865</v>
      </c>
      <c r="C4341">
        <v>148.02000000000001</v>
      </c>
      <c r="D4341">
        <v>1.3525</v>
      </c>
      <c r="E4341">
        <v>107.56</v>
      </c>
      <c r="F4341">
        <v>340.2</v>
      </c>
      <c r="K4341" s="3"/>
      <c r="O4341" s="3"/>
    </row>
    <row r="4342" spans="1:15">
      <c r="A4342" s="3">
        <v>40866</v>
      </c>
      <c r="B4342" s="3">
        <v>40866</v>
      </c>
      <c r="C4342">
        <v>148.02000000000001</v>
      </c>
      <c r="D4342">
        <v>1.3525</v>
      </c>
      <c r="E4342">
        <v>107.56</v>
      </c>
      <c r="F4342">
        <v>340.2</v>
      </c>
      <c r="K4342" s="3"/>
      <c r="O4342" s="3"/>
    </row>
    <row r="4343" spans="1:15">
      <c r="A4343" s="3">
        <v>40867</v>
      </c>
      <c r="B4343" s="3">
        <v>40867</v>
      </c>
      <c r="C4343">
        <v>148.02000000000001</v>
      </c>
      <c r="D4343">
        <v>1.3525</v>
      </c>
      <c r="E4343">
        <v>107.56</v>
      </c>
      <c r="F4343">
        <v>340.2</v>
      </c>
      <c r="K4343" s="3"/>
      <c r="O4343" s="3"/>
    </row>
    <row r="4344" spans="1:15">
      <c r="A4344" s="3">
        <v>40868</v>
      </c>
      <c r="B4344" s="3">
        <v>40868</v>
      </c>
      <c r="C4344">
        <v>147.87</v>
      </c>
      <c r="D4344">
        <v>1.3489</v>
      </c>
      <c r="E4344">
        <v>106.88</v>
      </c>
      <c r="F4344">
        <v>330.3</v>
      </c>
      <c r="K4344" s="3"/>
      <c r="O4344" s="3"/>
    </row>
    <row r="4345" spans="1:15">
      <c r="A4345" s="3">
        <v>40869</v>
      </c>
      <c r="B4345" s="3">
        <v>40869</v>
      </c>
      <c r="C4345">
        <v>147.54</v>
      </c>
      <c r="D4345">
        <v>1.3505</v>
      </c>
      <c r="E4345">
        <v>109.03</v>
      </c>
      <c r="F4345">
        <v>333.3</v>
      </c>
      <c r="K4345" s="3"/>
      <c r="O4345" s="3"/>
    </row>
    <row r="4346" spans="1:15">
      <c r="A4346" s="3">
        <v>40870</v>
      </c>
      <c r="B4346" s="3">
        <v>40870</v>
      </c>
      <c r="C4346">
        <v>147.29</v>
      </c>
      <c r="D4346">
        <v>1.3342000000000001</v>
      </c>
      <c r="E4346">
        <v>107.02</v>
      </c>
      <c r="F4346">
        <v>327.9</v>
      </c>
      <c r="K4346" s="3"/>
      <c r="O4346" s="3"/>
    </row>
    <row r="4347" spans="1:15">
      <c r="A4347" s="3">
        <v>40871</v>
      </c>
      <c r="B4347" s="3">
        <v>40871</v>
      </c>
      <c r="C4347">
        <v>147.26</v>
      </c>
      <c r="D4347">
        <v>1.3347</v>
      </c>
      <c r="E4347">
        <v>107.78</v>
      </c>
      <c r="F4347">
        <v>327.9</v>
      </c>
      <c r="K4347" s="3"/>
      <c r="O4347" s="3"/>
    </row>
    <row r="4348" spans="1:15">
      <c r="A4348" s="3">
        <v>40872</v>
      </c>
      <c r="B4348" s="3">
        <v>40872</v>
      </c>
      <c r="C4348">
        <v>147.30000000000001</v>
      </c>
      <c r="D4348">
        <v>1.3239000000000001</v>
      </c>
      <c r="E4348">
        <v>106.4</v>
      </c>
      <c r="F4348">
        <v>327</v>
      </c>
      <c r="K4348" s="3"/>
      <c r="O4348" s="3"/>
    </row>
    <row r="4349" spans="1:15">
      <c r="A4349" s="3">
        <v>40873</v>
      </c>
      <c r="B4349" s="3">
        <v>40873</v>
      </c>
      <c r="C4349">
        <v>147.30000000000001</v>
      </c>
      <c r="D4349">
        <v>1.3239000000000001</v>
      </c>
      <c r="E4349">
        <v>106.4</v>
      </c>
      <c r="F4349">
        <v>327</v>
      </c>
      <c r="K4349" s="3"/>
      <c r="O4349" s="3"/>
    </row>
    <row r="4350" spans="1:15">
      <c r="A4350" s="3">
        <v>40874</v>
      </c>
      <c r="B4350" s="3">
        <v>40874</v>
      </c>
      <c r="C4350">
        <v>147.30000000000001</v>
      </c>
      <c r="D4350">
        <v>1.3239000000000001</v>
      </c>
      <c r="E4350">
        <v>106.4</v>
      </c>
      <c r="F4350">
        <v>327</v>
      </c>
      <c r="K4350" s="3"/>
      <c r="O4350" s="3"/>
    </row>
    <row r="4351" spans="1:15">
      <c r="A4351" s="3">
        <v>40875</v>
      </c>
      <c r="B4351" s="3">
        <v>40875</v>
      </c>
      <c r="C4351">
        <v>147.63</v>
      </c>
      <c r="D4351">
        <v>1.3320000000000001</v>
      </c>
      <c r="E4351">
        <v>109</v>
      </c>
      <c r="F4351">
        <v>336.05</v>
      </c>
      <c r="K4351" s="3"/>
      <c r="O4351" s="3"/>
    </row>
    <row r="4352" spans="1:15">
      <c r="A4352" s="3">
        <v>40876</v>
      </c>
      <c r="B4352" s="3">
        <v>40876</v>
      </c>
      <c r="C4352">
        <v>147.72999999999999</v>
      </c>
      <c r="D4352">
        <v>1.3317000000000001</v>
      </c>
      <c r="E4352">
        <v>110.82</v>
      </c>
      <c r="F4352">
        <v>337.6</v>
      </c>
      <c r="K4352" s="3"/>
      <c r="O4352" s="3"/>
    </row>
    <row r="4353" spans="1:15">
      <c r="A4353" s="3">
        <v>40877</v>
      </c>
      <c r="B4353" s="3">
        <v>40877</v>
      </c>
      <c r="C4353">
        <v>147.74</v>
      </c>
      <c r="D4353">
        <v>1.3446</v>
      </c>
      <c r="E4353">
        <v>110.52</v>
      </c>
      <c r="F4353">
        <v>356.3</v>
      </c>
      <c r="K4353" s="3"/>
      <c r="O4353" s="3"/>
    </row>
    <row r="4354" spans="1:15">
      <c r="A4354" s="3">
        <v>40878</v>
      </c>
      <c r="B4354" s="3">
        <v>40878</v>
      </c>
      <c r="C4354">
        <v>147.6</v>
      </c>
      <c r="D4354">
        <v>1.3461000000000001</v>
      </c>
      <c r="E4354">
        <v>108.99</v>
      </c>
      <c r="F4354">
        <v>352.2</v>
      </c>
      <c r="K4354" s="3"/>
      <c r="O4354" s="3"/>
    </row>
    <row r="4355" spans="1:15">
      <c r="A4355" s="3">
        <v>40879</v>
      </c>
      <c r="B4355" s="3">
        <v>40879</v>
      </c>
      <c r="C4355">
        <v>147.69999999999999</v>
      </c>
      <c r="D4355">
        <v>1.3391</v>
      </c>
      <c r="E4355">
        <v>109.94</v>
      </c>
      <c r="F4355">
        <v>357.25</v>
      </c>
      <c r="K4355" s="3"/>
      <c r="O4355" s="3"/>
    </row>
    <row r="4356" spans="1:15">
      <c r="A4356" s="3">
        <v>40880</v>
      </c>
      <c r="B4356" s="3">
        <v>40880</v>
      </c>
      <c r="C4356">
        <v>147.69999999999999</v>
      </c>
      <c r="D4356">
        <v>1.3391</v>
      </c>
      <c r="E4356">
        <v>109.94</v>
      </c>
      <c r="F4356">
        <v>357.25</v>
      </c>
      <c r="K4356" s="3"/>
      <c r="O4356" s="3"/>
    </row>
    <row r="4357" spans="1:15">
      <c r="A4357" s="3">
        <v>40881</v>
      </c>
      <c r="B4357" s="3">
        <v>40881</v>
      </c>
      <c r="C4357">
        <v>147.69999999999999</v>
      </c>
      <c r="D4357">
        <v>1.3391</v>
      </c>
      <c r="E4357">
        <v>109.94</v>
      </c>
      <c r="F4357">
        <v>357.25</v>
      </c>
      <c r="K4357" s="3"/>
      <c r="O4357" s="3"/>
    </row>
    <row r="4358" spans="1:15">
      <c r="A4358" s="3">
        <v>40882</v>
      </c>
      <c r="B4358" s="3">
        <v>40882</v>
      </c>
      <c r="C4358">
        <v>147.69999999999999</v>
      </c>
      <c r="D4358">
        <v>1.3401000000000001</v>
      </c>
      <c r="E4358">
        <v>109.81</v>
      </c>
      <c r="F4358">
        <v>360.4</v>
      </c>
      <c r="K4358" s="3"/>
      <c r="O4358" s="3"/>
    </row>
    <row r="4359" spans="1:15">
      <c r="A4359" s="3">
        <v>40883</v>
      </c>
      <c r="B4359" s="3">
        <v>40883</v>
      </c>
      <c r="C4359">
        <v>147.65</v>
      </c>
      <c r="D4359">
        <v>1.3402000000000001</v>
      </c>
      <c r="E4359">
        <v>110.81</v>
      </c>
      <c r="F4359">
        <v>356.55</v>
      </c>
      <c r="K4359" s="3"/>
      <c r="O4359" s="3"/>
    </row>
    <row r="4360" spans="1:15">
      <c r="A4360" s="3">
        <v>40884</v>
      </c>
      <c r="B4360" s="3">
        <v>40884</v>
      </c>
      <c r="C4360">
        <v>147.62</v>
      </c>
      <c r="D4360">
        <v>1.3411999999999999</v>
      </c>
      <c r="E4360">
        <v>109.53</v>
      </c>
      <c r="F4360">
        <v>354.5</v>
      </c>
      <c r="K4360" s="3"/>
      <c r="O4360" s="3"/>
    </row>
    <row r="4361" spans="1:15">
      <c r="A4361" s="3">
        <v>40885</v>
      </c>
      <c r="B4361" s="3">
        <v>40885</v>
      </c>
      <c r="C4361">
        <v>147.72999999999999</v>
      </c>
      <c r="D4361">
        <v>1.3341000000000001</v>
      </c>
      <c r="E4361">
        <v>108.11</v>
      </c>
      <c r="F4361">
        <v>348.95</v>
      </c>
      <c r="K4361" s="3"/>
      <c r="O4361" s="3"/>
    </row>
    <row r="4362" spans="1:15">
      <c r="A4362" s="3">
        <v>40886</v>
      </c>
      <c r="B4362" s="3">
        <v>40886</v>
      </c>
      <c r="C4362">
        <v>147.82</v>
      </c>
      <c r="D4362">
        <v>1.3386</v>
      </c>
      <c r="E4362">
        <v>108.62</v>
      </c>
      <c r="F4362">
        <v>354.7</v>
      </c>
      <c r="K4362" s="3"/>
      <c r="O4362" s="3"/>
    </row>
    <row r="4363" spans="1:15">
      <c r="A4363" s="3">
        <v>40887</v>
      </c>
      <c r="B4363" s="3">
        <v>40887</v>
      </c>
      <c r="C4363">
        <v>147.82</v>
      </c>
      <c r="D4363">
        <v>1.3386</v>
      </c>
      <c r="E4363">
        <v>108.62</v>
      </c>
      <c r="F4363">
        <v>354.7</v>
      </c>
      <c r="K4363" s="3"/>
      <c r="O4363" s="3"/>
    </row>
    <row r="4364" spans="1:15">
      <c r="A4364" s="3">
        <v>40888</v>
      </c>
      <c r="B4364" s="3">
        <v>40888</v>
      </c>
      <c r="C4364">
        <v>147.82</v>
      </c>
      <c r="D4364">
        <v>1.3386</v>
      </c>
      <c r="E4364">
        <v>108.62</v>
      </c>
      <c r="F4364">
        <v>354.7</v>
      </c>
      <c r="K4364" s="3"/>
      <c r="O4364" s="3"/>
    </row>
    <row r="4365" spans="1:15">
      <c r="A4365" s="3">
        <v>40889</v>
      </c>
      <c r="B4365" s="3">
        <v>40889</v>
      </c>
      <c r="C4365">
        <v>147.9</v>
      </c>
      <c r="D4365">
        <v>1.3187</v>
      </c>
      <c r="E4365">
        <v>107.26</v>
      </c>
      <c r="F4365">
        <v>345.45</v>
      </c>
      <c r="K4365" s="3"/>
      <c r="O4365" s="3"/>
    </row>
    <row r="4366" spans="1:15">
      <c r="A4366" s="3">
        <v>40890</v>
      </c>
      <c r="B4366" s="3">
        <v>40890</v>
      </c>
      <c r="C4366">
        <v>147.96</v>
      </c>
      <c r="D4366">
        <v>1.3037000000000001</v>
      </c>
      <c r="E4366">
        <v>109.5</v>
      </c>
      <c r="F4366">
        <v>343.25</v>
      </c>
      <c r="K4366" s="3"/>
      <c r="O4366" s="3"/>
    </row>
    <row r="4367" spans="1:15">
      <c r="A4367" s="3">
        <v>40891</v>
      </c>
      <c r="B4367" s="3">
        <v>40891</v>
      </c>
      <c r="C4367">
        <v>147.99</v>
      </c>
      <c r="D4367">
        <v>1.2983</v>
      </c>
      <c r="E4367">
        <v>105.02</v>
      </c>
      <c r="F4367">
        <v>327.10000000000002</v>
      </c>
      <c r="K4367" s="3"/>
      <c r="O4367" s="3"/>
    </row>
    <row r="4368" spans="1:15">
      <c r="A4368" s="3">
        <v>40892</v>
      </c>
      <c r="B4368" s="3">
        <v>40892</v>
      </c>
      <c r="C4368">
        <v>148.22999999999999</v>
      </c>
      <c r="D4368">
        <v>1.3016000000000001</v>
      </c>
      <c r="E4368">
        <v>105.09</v>
      </c>
      <c r="F4368">
        <v>325.95</v>
      </c>
      <c r="K4368" s="3"/>
      <c r="O4368" s="3"/>
    </row>
    <row r="4369" spans="1:15">
      <c r="A4369" s="3">
        <v>40893</v>
      </c>
      <c r="B4369" s="3">
        <v>40893</v>
      </c>
      <c r="C4369">
        <v>148.22999999999999</v>
      </c>
      <c r="D4369">
        <v>1.3046</v>
      </c>
      <c r="E4369">
        <v>103.35</v>
      </c>
      <c r="F4369">
        <v>332.4</v>
      </c>
      <c r="K4369" s="3"/>
      <c r="O4369" s="3"/>
    </row>
    <row r="4370" spans="1:15">
      <c r="A4370" s="3">
        <v>40894</v>
      </c>
      <c r="B4370" s="3">
        <v>40894</v>
      </c>
      <c r="C4370">
        <v>148.22999999999999</v>
      </c>
      <c r="D4370">
        <v>1.3046</v>
      </c>
      <c r="E4370">
        <v>103.35</v>
      </c>
      <c r="F4370">
        <v>332.4</v>
      </c>
      <c r="K4370" s="3"/>
      <c r="O4370" s="3"/>
    </row>
    <row r="4371" spans="1:15">
      <c r="A4371" s="3">
        <v>40895</v>
      </c>
      <c r="B4371" s="3">
        <v>40895</v>
      </c>
      <c r="C4371">
        <v>148.22999999999999</v>
      </c>
      <c r="D4371">
        <v>1.3046</v>
      </c>
      <c r="E4371">
        <v>103.35</v>
      </c>
      <c r="F4371">
        <v>332.4</v>
      </c>
      <c r="K4371" s="3"/>
      <c r="O4371" s="3"/>
    </row>
    <row r="4372" spans="1:15">
      <c r="A4372" s="3">
        <v>40896</v>
      </c>
      <c r="B4372" s="3">
        <v>40896</v>
      </c>
      <c r="C4372">
        <v>148.22999999999999</v>
      </c>
      <c r="D4372">
        <v>1.2998000000000001</v>
      </c>
      <c r="E4372">
        <v>103.64</v>
      </c>
      <c r="F4372">
        <v>330.1</v>
      </c>
      <c r="K4372" s="3"/>
      <c r="O4372" s="3"/>
    </row>
    <row r="4373" spans="1:15">
      <c r="A4373" s="3">
        <v>40897</v>
      </c>
      <c r="B4373" s="3">
        <v>40897</v>
      </c>
      <c r="C4373">
        <v>148.15</v>
      </c>
      <c r="D4373">
        <v>1.3082</v>
      </c>
      <c r="E4373">
        <v>106.73</v>
      </c>
      <c r="F4373">
        <v>336.3</v>
      </c>
      <c r="K4373" s="3"/>
      <c r="O4373" s="3"/>
    </row>
    <row r="4374" spans="1:15">
      <c r="A4374" s="3">
        <v>40898</v>
      </c>
      <c r="B4374" s="3">
        <v>40898</v>
      </c>
      <c r="C4374">
        <v>147.91999999999999</v>
      </c>
      <c r="D4374">
        <v>1.3047</v>
      </c>
      <c r="E4374">
        <v>107.71</v>
      </c>
      <c r="F4374">
        <v>338.9</v>
      </c>
      <c r="K4374" s="3"/>
      <c r="O4374" s="3"/>
    </row>
    <row r="4375" spans="1:15">
      <c r="A4375" s="3">
        <v>40899</v>
      </c>
      <c r="B4375" s="3">
        <v>40899</v>
      </c>
      <c r="C4375">
        <v>148.21</v>
      </c>
      <c r="D4375">
        <v>1.3049999999999999</v>
      </c>
      <c r="E4375">
        <v>107.89</v>
      </c>
      <c r="F4375">
        <v>340.9</v>
      </c>
      <c r="K4375" s="3"/>
      <c r="O4375" s="3"/>
    </row>
    <row r="4376" spans="1:15">
      <c r="A4376" s="3">
        <v>40900</v>
      </c>
      <c r="B4376" s="3">
        <v>40900</v>
      </c>
      <c r="C4376">
        <v>148.15</v>
      </c>
      <c r="D4376">
        <v>1.3044</v>
      </c>
      <c r="E4376">
        <v>107.96</v>
      </c>
      <c r="F4376">
        <v>346.35</v>
      </c>
      <c r="K4376" s="3"/>
      <c r="O4376" s="3"/>
    </row>
    <row r="4377" spans="1:15">
      <c r="A4377" s="3">
        <v>40901</v>
      </c>
      <c r="B4377" s="3">
        <v>40901</v>
      </c>
      <c r="C4377">
        <v>148.15</v>
      </c>
      <c r="D4377">
        <v>1.3044</v>
      </c>
      <c r="E4377">
        <v>107.96</v>
      </c>
      <c r="F4377">
        <v>346.35</v>
      </c>
      <c r="K4377" s="3"/>
      <c r="O4377" s="3"/>
    </row>
    <row r="4378" spans="1:15">
      <c r="A4378" s="3">
        <v>40902</v>
      </c>
      <c r="B4378" s="3">
        <v>40902</v>
      </c>
      <c r="C4378">
        <v>148.15</v>
      </c>
      <c r="D4378">
        <v>1.3044</v>
      </c>
      <c r="E4378">
        <v>107.96</v>
      </c>
      <c r="F4378">
        <v>346.35</v>
      </c>
      <c r="K4378" s="3"/>
      <c r="O4378" s="3"/>
    </row>
    <row r="4379" spans="1:15">
      <c r="A4379" s="3">
        <v>40903</v>
      </c>
      <c r="B4379" s="3">
        <v>40903</v>
      </c>
      <c r="C4379">
        <v>148.07</v>
      </c>
      <c r="D4379">
        <v>1.3061</v>
      </c>
      <c r="E4379">
        <v>107.96</v>
      </c>
      <c r="F4379">
        <v>346.35</v>
      </c>
      <c r="K4379" s="3"/>
      <c r="O4379" s="3"/>
    </row>
    <row r="4380" spans="1:15">
      <c r="A4380" s="3">
        <v>40904</v>
      </c>
      <c r="B4380" s="3">
        <v>40904</v>
      </c>
      <c r="C4380">
        <v>148.35</v>
      </c>
      <c r="D4380">
        <v>1.3070999999999999</v>
      </c>
      <c r="E4380">
        <v>109.27</v>
      </c>
      <c r="F4380">
        <v>340.4</v>
      </c>
      <c r="K4380" s="3"/>
      <c r="O4380" s="3"/>
    </row>
    <row r="4381" spans="1:15">
      <c r="A4381" s="3">
        <v>40905</v>
      </c>
      <c r="B4381" s="3">
        <v>40905</v>
      </c>
      <c r="C4381">
        <v>148.37</v>
      </c>
      <c r="D4381">
        <v>1.2941</v>
      </c>
      <c r="E4381">
        <v>107.56</v>
      </c>
      <c r="F4381">
        <v>336</v>
      </c>
      <c r="K4381" s="3"/>
      <c r="O4381" s="3"/>
    </row>
    <row r="4382" spans="1:15">
      <c r="A4382" s="3">
        <v>40906</v>
      </c>
      <c r="B4382" s="3">
        <v>40906</v>
      </c>
      <c r="C4382">
        <v>148.15</v>
      </c>
      <c r="D4382">
        <v>1.2961</v>
      </c>
      <c r="E4382">
        <v>108.01</v>
      </c>
      <c r="F4382">
        <v>337</v>
      </c>
      <c r="K4382" s="3"/>
      <c r="O4382" s="3"/>
    </row>
    <row r="4383" spans="1:15">
      <c r="A4383" s="3">
        <v>40907</v>
      </c>
      <c r="B4383" s="3">
        <v>40907</v>
      </c>
      <c r="C4383">
        <v>148.49</v>
      </c>
      <c r="D4383">
        <v>1.2961</v>
      </c>
      <c r="E4383">
        <v>107.38</v>
      </c>
      <c r="F4383">
        <v>343.6</v>
      </c>
      <c r="K4383" s="3"/>
      <c r="O4383" s="3"/>
    </row>
    <row r="4384" spans="1:15">
      <c r="A4384" s="3">
        <v>40908</v>
      </c>
      <c r="B4384" s="3">
        <v>40908</v>
      </c>
      <c r="C4384">
        <v>148.49</v>
      </c>
      <c r="D4384">
        <v>1.2961</v>
      </c>
      <c r="E4384">
        <v>107.38</v>
      </c>
      <c r="F4384">
        <v>343.6</v>
      </c>
      <c r="K4384" s="3"/>
      <c r="O4384" s="3"/>
    </row>
    <row r="4385" spans="1:15">
      <c r="A4385" s="3">
        <v>40909</v>
      </c>
      <c r="B4385" s="3">
        <v>40909</v>
      </c>
      <c r="C4385">
        <v>148.49</v>
      </c>
      <c r="D4385">
        <v>1.2961</v>
      </c>
      <c r="E4385">
        <v>107.38</v>
      </c>
      <c r="F4385">
        <v>343.6</v>
      </c>
      <c r="K4385" s="3"/>
      <c r="O4385" s="3"/>
    </row>
    <row r="4386" spans="1:15">
      <c r="A4386" s="3">
        <v>40910</v>
      </c>
      <c r="B4386" s="3">
        <v>40910</v>
      </c>
      <c r="C4386">
        <v>148.49</v>
      </c>
      <c r="D4386">
        <v>1.2934000000000001</v>
      </c>
      <c r="E4386">
        <v>107.38</v>
      </c>
      <c r="F4386">
        <v>343.6</v>
      </c>
      <c r="K4386" s="3"/>
      <c r="O4386" s="3"/>
    </row>
    <row r="4387" spans="1:15">
      <c r="A4387" s="3">
        <v>40911</v>
      </c>
      <c r="B4387" s="3">
        <v>40911</v>
      </c>
      <c r="C4387">
        <v>148.49</v>
      </c>
      <c r="D4387">
        <v>1.3049999999999999</v>
      </c>
      <c r="E4387">
        <v>112.13</v>
      </c>
      <c r="F4387">
        <v>352.85</v>
      </c>
      <c r="K4387" s="3"/>
      <c r="O4387" s="3"/>
    </row>
    <row r="4388" spans="1:15">
      <c r="A4388" s="3">
        <v>40912</v>
      </c>
      <c r="B4388" s="3">
        <v>40912</v>
      </c>
      <c r="C4388">
        <v>148.16</v>
      </c>
      <c r="D4388">
        <v>1.2943</v>
      </c>
      <c r="E4388">
        <v>113.7</v>
      </c>
      <c r="F4388">
        <v>343.45</v>
      </c>
      <c r="K4388" s="3"/>
      <c r="O4388" s="3"/>
    </row>
    <row r="4389" spans="1:15">
      <c r="A4389" s="3">
        <v>40913</v>
      </c>
      <c r="B4389" s="3">
        <v>40913</v>
      </c>
      <c r="C4389">
        <v>148.22</v>
      </c>
      <c r="D4389">
        <v>1.2788999999999999</v>
      </c>
      <c r="E4389">
        <v>112.74</v>
      </c>
      <c r="F4389">
        <v>342.65</v>
      </c>
      <c r="K4389" s="3"/>
      <c r="O4389" s="3"/>
    </row>
    <row r="4390" spans="1:15">
      <c r="A4390" s="3">
        <v>40914</v>
      </c>
      <c r="B4390" s="3">
        <v>40914</v>
      </c>
      <c r="C4390">
        <v>148.33000000000001</v>
      </c>
      <c r="D4390">
        <v>1.2717000000000001</v>
      </c>
      <c r="E4390">
        <v>113.06</v>
      </c>
      <c r="F4390">
        <v>343.5</v>
      </c>
      <c r="K4390" s="3"/>
      <c r="O4390" s="3"/>
    </row>
    <row r="4391" spans="1:15">
      <c r="A4391" s="3">
        <v>40915</v>
      </c>
      <c r="B4391" s="3">
        <v>40915</v>
      </c>
      <c r="C4391">
        <v>148.33000000000001</v>
      </c>
      <c r="D4391">
        <v>1.2717000000000001</v>
      </c>
      <c r="E4391">
        <v>113.06</v>
      </c>
      <c r="F4391">
        <v>343.5</v>
      </c>
      <c r="K4391" s="3"/>
      <c r="O4391" s="3"/>
    </row>
    <row r="4392" spans="1:15">
      <c r="A4392" s="3">
        <v>40916</v>
      </c>
      <c r="B4392" s="3">
        <v>40916</v>
      </c>
      <c r="C4392">
        <v>148.33000000000001</v>
      </c>
      <c r="D4392">
        <v>1.2717000000000001</v>
      </c>
      <c r="E4392">
        <v>113.06</v>
      </c>
      <c r="F4392">
        <v>343.5</v>
      </c>
      <c r="K4392" s="3"/>
      <c r="O4392" s="3"/>
    </row>
    <row r="4393" spans="1:15">
      <c r="A4393" s="3">
        <v>40917</v>
      </c>
      <c r="B4393" s="3">
        <v>40917</v>
      </c>
      <c r="C4393">
        <v>148.58000000000001</v>
      </c>
      <c r="D4393">
        <v>1.2765</v>
      </c>
      <c r="E4393">
        <v>112.45</v>
      </c>
      <c r="F4393">
        <v>341.6</v>
      </c>
      <c r="K4393" s="3"/>
      <c r="O4393" s="3"/>
    </row>
    <row r="4394" spans="1:15">
      <c r="A4394" s="3">
        <v>40918</v>
      </c>
      <c r="B4394" s="3">
        <v>40918</v>
      </c>
      <c r="C4394">
        <v>148.57</v>
      </c>
      <c r="D4394">
        <v>1.2778</v>
      </c>
      <c r="E4394">
        <v>113.28</v>
      </c>
      <c r="F4394">
        <v>351.3</v>
      </c>
      <c r="K4394" s="3"/>
      <c r="O4394" s="3"/>
    </row>
    <row r="4395" spans="1:15">
      <c r="A4395" s="3">
        <v>40919</v>
      </c>
      <c r="B4395" s="3">
        <v>40919</v>
      </c>
      <c r="C4395">
        <v>148.41999999999999</v>
      </c>
      <c r="D4395">
        <v>1.2706999999999999</v>
      </c>
      <c r="E4395">
        <v>112.24</v>
      </c>
      <c r="F4395">
        <v>354.6</v>
      </c>
      <c r="K4395" s="3"/>
      <c r="O4395" s="3"/>
    </row>
    <row r="4396" spans="1:15">
      <c r="A4396" s="3">
        <v>40920</v>
      </c>
      <c r="B4396" s="3">
        <v>40920</v>
      </c>
      <c r="C4396">
        <v>148.26</v>
      </c>
      <c r="D4396">
        <v>1.2814000000000001</v>
      </c>
      <c r="E4396">
        <v>111.26</v>
      </c>
      <c r="F4396">
        <v>364.9</v>
      </c>
      <c r="K4396" s="3"/>
      <c r="O4396" s="3"/>
    </row>
    <row r="4397" spans="1:15">
      <c r="A4397" s="3">
        <v>40921</v>
      </c>
      <c r="B4397" s="3">
        <v>40921</v>
      </c>
      <c r="C4397">
        <v>148.19999999999999</v>
      </c>
      <c r="D4397">
        <v>1.268</v>
      </c>
      <c r="E4397">
        <v>110.44</v>
      </c>
      <c r="F4397">
        <v>363.7</v>
      </c>
      <c r="K4397" s="3"/>
      <c r="O4397" s="3"/>
    </row>
    <row r="4398" spans="1:15">
      <c r="A4398" s="3">
        <v>40922</v>
      </c>
      <c r="B4398" s="3">
        <v>40922</v>
      </c>
      <c r="C4398">
        <v>148.19999999999999</v>
      </c>
      <c r="D4398">
        <v>1.268</v>
      </c>
      <c r="E4398">
        <v>110.44</v>
      </c>
      <c r="F4398">
        <v>363.7</v>
      </c>
      <c r="K4398" s="3"/>
      <c r="O4398" s="3"/>
    </row>
    <row r="4399" spans="1:15">
      <c r="A4399" s="3">
        <v>40923</v>
      </c>
      <c r="B4399" s="3">
        <v>40923</v>
      </c>
      <c r="C4399">
        <v>148.19999999999999</v>
      </c>
      <c r="D4399">
        <v>1.268</v>
      </c>
      <c r="E4399">
        <v>110.44</v>
      </c>
      <c r="F4399">
        <v>363.7</v>
      </c>
      <c r="K4399" s="3"/>
      <c r="O4399" s="3"/>
    </row>
    <row r="4400" spans="1:15">
      <c r="A4400" s="3">
        <v>40924</v>
      </c>
      <c r="B4400" s="3">
        <v>40924</v>
      </c>
      <c r="C4400">
        <v>148.38</v>
      </c>
      <c r="D4400">
        <v>1.2666999999999999</v>
      </c>
      <c r="E4400">
        <v>111.2</v>
      </c>
      <c r="F4400">
        <v>363.7</v>
      </c>
      <c r="K4400" s="3"/>
      <c r="O4400" s="3"/>
    </row>
    <row r="4401" spans="1:15">
      <c r="A4401" s="3">
        <v>40925</v>
      </c>
      <c r="B4401" s="3">
        <v>40925</v>
      </c>
      <c r="C4401">
        <v>148.33000000000001</v>
      </c>
      <c r="D4401">
        <v>1.2736000000000001</v>
      </c>
      <c r="E4401">
        <v>111.53</v>
      </c>
      <c r="F4401">
        <v>372.95</v>
      </c>
      <c r="K4401" s="3"/>
      <c r="O4401" s="3"/>
    </row>
    <row r="4402" spans="1:15">
      <c r="A4402" s="3">
        <v>40926</v>
      </c>
      <c r="B4402" s="3">
        <v>40926</v>
      </c>
      <c r="C4402">
        <v>148.19999999999999</v>
      </c>
      <c r="D4402">
        <v>1.2863</v>
      </c>
      <c r="E4402">
        <v>110.66</v>
      </c>
      <c r="F4402">
        <v>375.25</v>
      </c>
      <c r="K4402" s="3"/>
      <c r="O4402" s="3"/>
    </row>
    <row r="4403" spans="1:15">
      <c r="A4403" s="3">
        <v>40927</v>
      </c>
      <c r="B4403" s="3">
        <v>40927</v>
      </c>
      <c r="C4403">
        <v>148.36000000000001</v>
      </c>
      <c r="D4403">
        <v>1.2968</v>
      </c>
      <c r="E4403">
        <v>111.55</v>
      </c>
      <c r="F4403">
        <v>380.05</v>
      </c>
      <c r="K4403" s="3"/>
      <c r="O4403" s="3"/>
    </row>
    <row r="4404" spans="1:15">
      <c r="A4404" s="3">
        <v>40928</v>
      </c>
      <c r="B4404" s="3">
        <v>40928</v>
      </c>
      <c r="C4404">
        <v>148.33000000000001</v>
      </c>
      <c r="D4404">
        <v>1.2930999999999999</v>
      </c>
      <c r="E4404">
        <v>109.86</v>
      </c>
      <c r="F4404">
        <v>374.5</v>
      </c>
      <c r="K4404" s="3"/>
      <c r="O4404" s="3"/>
    </row>
    <row r="4405" spans="1:15">
      <c r="A4405" s="3">
        <v>40929</v>
      </c>
      <c r="B4405" s="3">
        <v>40929</v>
      </c>
      <c r="C4405">
        <v>148.33000000000001</v>
      </c>
      <c r="D4405">
        <v>1.2930999999999999</v>
      </c>
      <c r="E4405">
        <v>109.86</v>
      </c>
      <c r="F4405">
        <v>374.5</v>
      </c>
      <c r="K4405" s="3"/>
      <c r="O4405" s="3"/>
    </row>
    <row r="4406" spans="1:15">
      <c r="A4406" s="3">
        <v>40930</v>
      </c>
      <c r="B4406" s="3">
        <v>40930</v>
      </c>
      <c r="C4406">
        <v>148.33000000000001</v>
      </c>
      <c r="D4406">
        <v>1.2930999999999999</v>
      </c>
      <c r="E4406">
        <v>109.86</v>
      </c>
      <c r="F4406">
        <v>374.5</v>
      </c>
      <c r="K4406" s="3"/>
      <c r="O4406" s="3"/>
    </row>
    <row r="4407" spans="1:15">
      <c r="A4407" s="3">
        <v>40931</v>
      </c>
      <c r="B4407" s="3">
        <v>40931</v>
      </c>
      <c r="C4407">
        <v>148.35</v>
      </c>
      <c r="D4407">
        <v>1.3012999999999999</v>
      </c>
      <c r="E4407">
        <v>110.58</v>
      </c>
      <c r="F4407">
        <v>379.85</v>
      </c>
      <c r="K4407" s="3"/>
      <c r="O4407" s="3"/>
    </row>
    <row r="4408" spans="1:15">
      <c r="A4408" s="3">
        <v>40932</v>
      </c>
      <c r="B4408" s="3">
        <v>40932</v>
      </c>
      <c r="C4408">
        <v>148.6</v>
      </c>
      <c r="D4408">
        <v>1.3036000000000001</v>
      </c>
      <c r="E4408">
        <v>110.03</v>
      </c>
      <c r="F4408">
        <v>380.75</v>
      </c>
      <c r="K4408" s="3"/>
      <c r="O4408" s="3"/>
    </row>
    <row r="4409" spans="1:15">
      <c r="A4409" s="3">
        <v>40933</v>
      </c>
      <c r="B4409" s="3">
        <v>40933</v>
      </c>
      <c r="C4409">
        <v>148.58000000000001</v>
      </c>
      <c r="D4409">
        <v>1.3106</v>
      </c>
      <c r="E4409">
        <v>109.81</v>
      </c>
      <c r="F4409">
        <v>382.95</v>
      </c>
      <c r="K4409" s="3"/>
      <c r="O4409" s="3"/>
    </row>
    <row r="4410" spans="1:15">
      <c r="A4410" s="3">
        <v>40934</v>
      </c>
      <c r="B4410" s="3">
        <v>40934</v>
      </c>
      <c r="C4410">
        <v>148.38</v>
      </c>
      <c r="D4410">
        <v>1.3109</v>
      </c>
      <c r="E4410">
        <v>110.79</v>
      </c>
      <c r="F4410">
        <v>390.15</v>
      </c>
      <c r="K4410" s="3"/>
      <c r="O4410" s="3"/>
    </row>
    <row r="4411" spans="1:15">
      <c r="A4411" s="3">
        <v>40935</v>
      </c>
      <c r="B4411" s="3">
        <v>40935</v>
      </c>
      <c r="C4411">
        <v>148.41999999999999</v>
      </c>
      <c r="D4411">
        <v>1.3220000000000001</v>
      </c>
      <c r="E4411">
        <v>111.46</v>
      </c>
      <c r="F4411">
        <v>388.9</v>
      </c>
      <c r="K4411" s="3"/>
      <c r="O4411" s="3"/>
    </row>
    <row r="4412" spans="1:15">
      <c r="A4412" s="3">
        <v>40936</v>
      </c>
      <c r="B4412" s="3">
        <v>40936</v>
      </c>
      <c r="C4412">
        <v>148.41999999999999</v>
      </c>
      <c r="D4412">
        <v>1.3220000000000001</v>
      </c>
      <c r="E4412">
        <v>111.46</v>
      </c>
      <c r="F4412">
        <v>388.9</v>
      </c>
      <c r="K4412" s="3"/>
      <c r="O4412" s="3"/>
    </row>
    <row r="4413" spans="1:15">
      <c r="A4413" s="3">
        <v>40937</v>
      </c>
      <c r="B4413" s="3">
        <v>40937</v>
      </c>
      <c r="C4413">
        <v>148.41999999999999</v>
      </c>
      <c r="D4413">
        <v>1.3220000000000001</v>
      </c>
      <c r="E4413">
        <v>111.46</v>
      </c>
      <c r="F4413">
        <v>388.9</v>
      </c>
      <c r="K4413" s="3"/>
      <c r="O4413" s="3"/>
    </row>
    <row r="4414" spans="1:15">
      <c r="A4414" s="3">
        <v>40938</v>
      </c>
      <c r="B4414" s="3">
        <v>40938</v>
      </c>
      <c r="C4414">
        <v>148.41999999999999</v>
      </c>
      <c r="D4414">
        <v>1.3144</v>
      </c>
      <c r="E4414">
        <v>110.75</v>
      </c>
      <c r="F4414">
        <v>382.65</v>
      </c>
      <c r="K4414" s="3"/>
      <c r="O4414" s="3"/>
    </row>
    <row r="4415" spans="1:15">
      <c r="A4415" s="3">
        <v>40939</v>
      </c>
      <c r="B4415" s="3">
        <v>40939</v>
      </c>
      <c r="C4415">
        <v>148.68</v>
      </c>
      <c r="D4415">
        <v>1.3084</v>
      </c>
      <c r="E4415">
        <v>110.98</v>
      </c>
      <c r="F4415">
        <v>379</v>
      </c>
      <c r="K4415" s="3"/>
      <c r="O4415" s="3"/>
    </row>
    <row r="4416" spans="1:15">
      <c r="A4416" s="3">
        <v>40940</v>
      </c>
      <c r="B4416" s="3">
        <v>40940</v>
      </c>
      <c r="C4416">
        <v>148.65</v>
      </c>
      <c r="D4416">
        <v>1.3161</v>
      </c>
      <c r="E4416">
        <v>111.56</v>
      </c>
      <c r="F4416">
        <v>384.2</v>
      </c>
      <c r="K4416" s="3"/>
      <c r="O4416" s="3"/>
    </row>
    <row r="4417" spans="1:15">
      <c r="A4417" s="3">
        <v>40941</v>
      </c>
      <c r="B4417" s="3">
        <v>40941</v>
      </c>
      <c r="C4417">
        <v>148.72999999999999</v>
      </c>
      <c r="D4417">
        <v>1.3144</v>
      </c>
      <c r="E4417">
        <v>112.07</v>
      </c>
      <c r="F4417">
        <v>378.1</v>
      </c>
      <c r="K4417" s="3"/>
      <c r="O4417" s="3"/>
    </row>
    <row r="4418" spans="1:15">
      <c r="A4418" s="3">
        <v>40942</v>
      </c>
      <c r="B4418" s="3">
        <v>40942</v>
      </c>
      <c r="C4418">
        <v>148.72</v>
      </c>
      <c r="D4418">
        <v>1.3158000000000001</v>
      </c>
      <c r="E4418">
        <v>114.58</v>
      </c>
      <c r="F4418">
        <v>390.15</v>
      </c>
      <c r="K4418" s="3"/>
      <c r="O4418" s="3"/>
    </row>
    <row r="4419" spans="1:15">
      <c r="A4419" s="3">
        <v>40943</v>
      </c>
      <c r="B4419" s="3">
        <v>40943</v>
      </c>
      <c r="C4419">
        <v>148.72</v>
      </c>
      <c r="D4419">
        <v>1.3158000000000001</v>
      </c>
      <c r="E4419">
        <v>114.58</v>
      </c>
      <c r="F4419">
        <v>390.15</v>
      </c>
      <c r="K4419" s="3"/>
      <c r="O4419" s="3"/>
    </row>
    <row r="4420" spans="1:15">
      <c r="A4420" s="3">
        <v>40944</v>
      </c>
      <c r="B4420" s="3">
        <v>40944</v>
      </c>
      <c r="C4420">
        <v>148.72</v>
      </c>
      <c r="D4420">
        <v>1.3158000000000001</v>
      </c>
      <c r="E4420">
        <v>114.58</v>
      </c>
      <c r="F4420">
        <v>390.15</v>
      </c>
      <c r="K4420" s="3"/>
      <c r="O4420" s="3"/>
    </row>
    <row r="4421" spans="1:15">
      <c r="A4421" s="3">
        <v>40945</v>
      </c>
      <c r="B4421" s="3">
        <v>40945</v>
      </c>
      <c r="C4421">
        <v>148.69</v>
      </c>
      <c r="D4421">
        <v>1.3129999999999999</v>
      </c>
      <c r="E4421">
        <v>115.93</v>
      </c>
      <c r="F4421">
        <v>386.45</v>
      </c>
      <c r="K4421" s="3"/>
      <c r="O4421" s="3"/>
    </row>
    <row r="4422" spans="1:15">
      <c r="A4422" s="3">
        <v>40946</v>
      </c>
      <c r="B4422" s="3">
        <v>40946</v>
      </c>
      <c r="C4422">
        <v>148.69999999999999</v>
      </c>
      <c r="D4422">
        <v>1.3261000000000001</v>
      </c>
      <c r="E4422">
        <v>116.23</v>
      </c>
      <c r="F4422">
        <v>387.6</v>
      </c>
      <c r="K4422" s="3"/>
      <c r="O4422" s="3"/>
    </row>
    <row r="4423" spans="1:15">
      <c r="A4423" s="3">
        <v>40947</v>
      </c>
      <c r="B4423" s="3">
        <v>40947</v>
      </c>
      <c r="C4423">
        <v>148.54</v>
      </c>
      <c r="D4423">
        <v>1.3260000000000001</v>
      </c>
      <c r="E4423">
        <v>117.2</v>
      </c>
      <c r="F4423">
        <v>390.95</v>
      </c>
      <c r="K4423" s="3"/>
      <c r="O4423" s="3"/>
    </row>
    <row r="4424" spans="1:15">
      <c r="A4424" s="3">
        <v>40948</v>
      </c>
      <c r="B4424" s="3">
        <v>40948</v>
      </c>
      <c r="C4424">
        <v>148.44999999999999</v>
      </c>
      <c r="D4424">
        <v>1.3286</v>
      </c>
      <c r="E4424">
        <v>118.59</v>
      </c>
      <c r="F4424">
        <v>397.85</v>
      </c>
      <c r="K4424" s="3"/>
      <c r="O4424" s="3"/>
    </row>
    <row r="4425" spans="1:15">
      <c r="A4425" s="3">
        <v>40949</v>
      </c>
      <c r="B4425" s="3">
        <v>40949</v>
      </c>
      <c r="C4425">
        <v>148.36000000000001</v>
      </c>
      <c r="D4425">
        <v>1.3197000000000001</v>
      </c>
      <c r="E4425">
        <v>117.31</v>
      </c>
      <c r="F4425">
        <v>386.2</v>
      </c>
      <c r="K4425" s="3"/>
      <c r="O4425" s="3"/>
    </row>
    <row r="4426" spans="1:15">
      <c r="A4426" s="3">
        <v>40950</v>
      </c>
      <c r="B4426" s="3">
        <v>40950</v>
      </c>
      <c r="C4426">
        <v>148.36000000000001</v>
      </c>
      <c r="D4426">
        <v>1.3197000000000001</v>
      </c>
      <c r="E4426">
        <v>117.31</v>
      </c>
      <c r="F4426">
        <v>386.2</v>
      </c>
      <c r="K4426" s="3"/>
      <c r="O4426" s="3"/>
    </row>
    <row r="4427" spans="1:15">
      <c r="A4427" s="3">
        <v>40951</v>
      </c>
      <c r="B4427" s="3">
        <v>40951</v>
      </c>
      <c r="C4427">
        <v>148.36000000000001</v>
      </c>
      <c r="D4427">
        <v>1.3197000000000001</v>
      </c>
      <c r="E4427">
        <v>117.31</v>
      </c>
      <c r="F4427">
        <v>386.2</v>
      </c>
      <c r="K4427" s="3"/>
      <c r="O4427" s="3"/>
    </row>
    <row r="4428" spans="1:15">
      <c r="A4428" s="3">
        <v>40952</v>
      </c>
      <c r="B4428" s="3">
        <v>40952</v>
      </c>
      <c r="C4428">
        <v>148.33000000000001</v>
      </c>
      <c r="D4428">
        <v>1.3186</v>
      </c>
      <c r="E4428">
        <v>117.93</v>
      </c>
      <c r="F4428">
        <v>383.95</v>
      </c>
      <c r="K4428" s="3"/>
      <c r="O4428" s="3"/>
    </row>
    <row r="4429" spans="1:15">
      <c r="A4429" s="3">
        <v>40953</v>
      </c>
      <c r="B4429" s="3">
        <v>40953</v>
      </c>
      <c r="C4429">
        <v>148.35</v>
      </c>
      <c r="D4429">
        <v>1.3133999999999999</v>
      </c>
      <c r="E4429">
        <v>118.16</v>
      </c>
      <c r="F4429">
        <v>381.45</v>
      </c>
      <c r="K4429" s="3"/>
      <c r="O4429" s="3"/>
    </row>
    <row r="4430" spans="1:15">
      <c r="A4430" s="3">
        <v>40954</v>
      </c>
      <c r="B4430" s="3">
        <v>40954</v>
      </c>
      <c r="C4430">
        <v>148.18</v>
      </c>
      <c r="D4430">
        <v>1.3066</v>
      </c>
      <c r="E4430">
        <v>118.93</v>
      </c>
      <c r="F4430">
        <v>380.15</v>
      </c>
      <c r="K4430" s="3"/>
      <c r="O4430" s="3"/>
    </row>
    <row r="4431" spans="1:15">
      <c r="A4431" s="3">
        <v>40955</v>
      </c>
      <c r="B4431" s="3">
        <v>40955</v>
      </c>
      <c r="C4431">
        <v>148.19999999999999</v>
      </c>
      <c r="D4431">
        <v>1.3129999999999999</v>
      </c>
      <c r="E4431">
        <v>120.11</v>
      </c>
      <c r="F4431">
        <v>379.1</v>
      </c>
      <c r="K4431" s="3"/>
      <c r="O4431" s="3"/>
    </row>
    <row r="4432" spans="1:15">
      <c r="A4432" s="3">
        <v>40956</v>
      </c>
      <c r="B4432" s="3">
        <v>40956</v>
      </c>
      <c r="C4432">
        <v>148.08000000000001</v>
      </c>
      <c r="D4432">
        <v>1.3140000000000001</v>
      </c>
      <c r="E4432">
        <v>119.58</v>
      </c>
      <c r="F4432">
        <v>370.8</v>
      </c>
      <c r="K4432" s="3"/>
      <c r="O4432" s="3"/>
    </row>
    <row r="4433" spans="1:15">
      <c r="A4433" s="3">
        <v>40957</v>
      </c>
      <c r="B4433" s="3">
        <v>40957</v>
      </c>
      <c r="C4433">
        <v>148.08000000000001</v>
      </c>
      <c r="D4433">
        <v>1.3140000000000001</v>
      </c>
      <c r="E4433">
        <v>119.58</v>
      </c>
      <c r="F4433">
        <v>370.8</v>
      </c>
      <c r="K4433" s="3"/>
      <c r="O4433" s="3"/>
    </row>
    <row r="4434" spans="1:15">
      <c r="A4434" s="3">
        <v>40958</v>
      </c>
      <c r="B4434" s="3">
        <v>40958</v>
      </c>
      <c r="C4434">
        <v>148.08000000000001</v>
      </c>
      <c r="D4434">
        <v>1.3140000000000001</v>
      </c>
      <c r="E4434">
        <v>119.58</v>
      </c>
      <c r="F4434">
        <v>370.8</v>
      </c>
      <c r="K4434" s="3"/>
      <c r="O4434" s="3"/>
    </row>
    <row r="4435" spans="1:15">
      <c r="A4435" s="3">
        <v>40959</v>
      </c>
      <c r="B4435" s="3">
        <v>40959</v>
      </c>
      <c r="C4435">
        <v>148.05000000000001</v>
      </c>
      <c r="D4435">
        <v>1.3243</v>
      </c>
      <c r="E4435">
        <v>120.05</v>
      </c>
      <c r="F4435">
        <v>370.8</v>
      </c>
      <c r="K4435" s="3"/>
      <c r="O4435" s="3"/>
    </row>
    <row r="4436" spans="1:15">
      <c r="A4436" s="3">
        <v>40960</v>
      </c>
      <c r="B4436" s="3">
        <v>40960</v>
      </c>
      <c r="C4436">
        <v>148.01</v>
      </c>
      <c r="D4436">
        <v>1.3233999999999999</v>
      </c>
      <c r="E4436">
        <v>121.66</v>
      </c>
      <c r="F4436">
        <v>383.65</v>
      </c>
      <c r="K4436" s="3"/>
      <c r="O4436" s="3"/>
    </row>
    <row r="4437" spans="1:15">
      <c r="A4437" s="3">
        <v>40961</v>
      </c>
      <c r="B4437" s="3">
        <v>40961</v>
      </c>
      <c r="C4437">
        <v>147.91</v>
      </c>
      <c r="D4437">
        <v>1.3249</v>
      </c>
      <c r="E4437">
        <v>122.9</v>
      </c>
      <c r="F4437">
        <v>383.35</v>
      </c>
      <c r="K4437" s="3"/>
      <c r="O4437" s="3"/>
    </row>
    <row r="4438" spans="1:15">
      <c r="A4438" s="3">
        <v>40962</v>
      </c>
      <c r="B4438" s="3">
        <v>40962</v>
      </c>
      <c r="C4438">
        <v>147.79</v>
      </c>
      <c r="D4438">
        <v>1.3372999999999999</v>
      </c>
      <c r="E4438">
        <v>123.62</v>
      </c>
      <c r="F4438">
        <v>380.6</v>
      </c>
      <c r="K4438" s="3"/>
      <c r="O4438" s="3"/>
    </row>
    <row r="4439" spans="1:15">
      <c r="A4439" s="3">
        <v>40963</v>
      </c>
      <c r="B4439" s="3">
        <v>40963</v>
      </c>
      <c r="C4439">
        <v>147.62</v>
      </c>
      <c r="D4439">
        <v>1.3448</v>
      </c>
      <c r="E4439">
        <v>125.47</v>
      </c>
      <c r="F4439">
        <v>386.3</v>
      </c>
      <c r="K4439" s="3"/>
      <c r="O4439" s="3"/>
    </row>
    <row r="4440" spans="1:15">
      <c r="A4440" s="3">
        <v>40964</v>
      </c>
      <c r="B4440" s="3">
        <v>40964</v>
      </c>
      <c r="C4440">
        <v>147.62</v>
      </c>
      <c r="D4440">
        <v>1.3448</v>
      </c>
      <c r="E4440">
        <v>125.47</v>
      </c>
      <c r="F4440">
        <v>386.3</v>
      </c>
      <c r="K4440" s="3"/>
      <c r="O4440" s="3"/>
    </row>
    <row r="4441" spans="1:15">
      <c r="A4441" s="3">
        <v>40965</v>
      </c>
      <c r="B4441" s="3">
        <v>40965</v>
      </c>
      <c r="C4441">
        <v>147.62</v>
      </c>
      <c r="D4441">
        <v>1.3448</v>
      </c>
      <c r="E4441">
        <v>125.47</v>
      </c>
      <c r="F4441">
        <v>386.3</v>
      </c>
      <c r="K4441" s="3"/>
      <c r="O4441" s="3"/>
    </row>
    <row r="4442" spans="1:15">
      <c r="A4442" s="3">
        <v>40966</v>
      </c>
      <c r="B4442" s="3">
        <v>40966</v>
      </c>
      <c r="C4442">
        <v>147.63999999999999</v>
      </c>
      <c r="D4442">
        <v>1.3398000000000001</v>
      </c>
      <c r="E4442">
        <v>124.17</v>
      </c>
      <c r="F4442">
        <v>388.05</v>
      </c>
      <c r="K4442" s="3"/>
      <c r="O4442" s="3"/>
    </row>
    <row r="4443" spans="1:15">
      <c r="A4443" s="3">
        <v>40967</v>
      </c>
      <c r="B4443" s="3">
        <v>40967</v>
      </c>
      <c r="C4443">
        <v>147.71</v>
      </c>
      <c r="D4443">
        <v>1.3458000000000001</v>
      </c>
      <c r="E4443">
        <v>121.55</v>
      </c>
      <c r="F4443">
        <v>391.2</v>
      </c>
      <c r="K4443" s="3"/>
      <c r="O4443" s="3"/>
    </row>
    <row r="4444" spans="1:15">
      <c r="A4444" s="3">
        <v>40968</v>
      </c>
      <c r="B4444" s="3">
        <v>40968</v>
      </c>
      <c r="C4444">
        <v>147.71</v>
      </c>
      <c r="D4444">
        <v>1.3325</v>
      </c>
      <c r="E4444">
        <v>122.66</v>
      </c>
      <c r="F4444">
        <v>387.05</v>
      </c>
      <c r="K4444" s="3"/>
      <c r="O4444" s="3"/>
    </row>
    <row r="4445" spans="1:15">
      <c r="A4445" s="3">
        <v>40969</v>
      </c>
      <c r="B4445" s="3">
        <v>40969</v>
      </c>
      <c r="C4445">
        <v>147.88</v>
      </c>
      <c r="D4445">
        <v>1.3310999999999999</v>
      </c>
      <c r="E4445">
        <v>126.2</v>
      </c>
      <c r="F4445">
        <v>392.45</v>
      </c>
      <c r="K4445" s="3"/>
      <c r="O4445" s="3"/>
    </row>
    <row r="4446" spans="1:15">
      <c r="A4446" s="3">
        <v>40970</v>
      </c>
      <c r="B4446" s="3">
        <v>40970</v>
      </c>
      <c r="C4446">
        <v>147.88999999999999</v>
      </c>
      <c r="D4446">
        <v>1.3198000000000001</v>
      </c>
      <c r="E4446">
        <v>123.65</v>
      </c>
      <c r="F4446">
        <v>389.55</v>
      </c>
      <c r="K4446" s="3"/>
      <c r="O4446" s="3"/>
    </row>
    <row r="4447" spans="1:15">
      <c r="A4447" s="3">
        <v>40971</v>
      </c>
      <c r="B4447" s="3">
        <v>40971</v>
      </c>
      <c r="C4447">
        <v>147.88999999999999</v>
      </c>
      <c r="D4447">
        <v>1.3198000000000001</v>
      </c>
      <c r="E4447">
        <v>123.65</v>
      </c>
      <c r="F4447">
        <v>389.55</v>
      </c>
      <c r="K4447" s="3"/>
      <c r="O4447" s="3"/>
    </row>
    <row r="4448" spans="1:15">
      <c r="A4448" s="3">
        <v>40972</v>
      </c>
      <c r="B4448" s="3">
        <v>40972</v>
      </c>
      <c r="C4448">
        <v>147.88999999999999</v>
      </c>
      <c r="D4448">
        <v>1.3198000000000001</v>
      </c>
      <c r="E4448">
        <v>123.65</v>
      </c>
      <c r="F4448">
        <v>389.55</v>
      </c>
      <c r="K4448" s="3"/>
      <c r="O4448" s="3"/>
    </row>
    <row r="4449" spans="1:15">
      <c r="A4449" s="3">
        <v>40973</v>
      </c>
      <c r="B4449" s="3">
        <v>40973</v>
      </c>
      <c r="C4449">
        <v>147.93</v>
      </c>
      <c r="D4449">
        <v>1.3217000000000001</v>
      </c>
      <c r="E4449">
        <v>123.8</v>
      </c>
      <c r="F4449">
        <v>385.25</v>
      </c>
      <c r="K4449" s="3"/>
      <c r="O4449" s="3"/>
    </row>
    <row r="4450" spans="1:15">
      <c r="A4450" s="3">
        <v>40974</v>
      </c>
      <c r="B4450" s="3">
        <v>40974</v>
      </c>
      <c r="C4450">
        <v>147.96</v>
      </c>
      <c r="D4450">
        <v>1.3111999999999999</v>
      </c>
      <c r="E4450">
        <v>121.98</v>
      </c>
      <c r="F4450">
        <v>373.1</v>
      </c>
      <c r="K4450" s="3"/>
      <c r="O4450" s="3"/>
    </row>
    <row r="4451" spans="1:15">
      <c r="A4451" s="3">
        <v>40975</v>
      </c>
      <c r="B4451" s="3">
        <v>40975</v>
      </c>
      <c r="C4451">
        <v>148.01</v>
      </c>
      <c r="D4451">
        <v>1.3149</v>
      </c>
      <c r="E4451">
        <v>124.12</v>
      </c>
      <c r="F4451">
        <v>376.05</v>
      </c>
      <c r="K4451" s="3"/>
      <c r="O4451" s="3"/>
    </row>
    <row r="4452" spans="1:15">
      <c r="A4452" s="3">
        <v>40976</v>
      </c>
      <c r="B4452" s="3">
        <v>40976</v>
      </c>
      <c r="C4452">
        <v>148.01</v>
      </c>
      <c r="D4452">
        <v>1.3274999999999999</v>
      </c>
      <c r="E4452">
        <v>125.44</v>
      </c>
      <c r="F4452">
        <v>378.6</v>
      </c>
      <c r="K4452" s="3"/>
      <c r="O4452" s="3"/>
    </row>
    <row r="4453" spans="1:15">
      <c r="A4453" s="3">
        <v>40977</v>
      </c>
      <c r="B4453" s="3">
        <v>40977</v>
      </c>
      <c r="C4453">
        <v>148.01</v>
      </c>
      <c r="D4453">
        <v>1.3123</v>
      </c>
      <c r="E4453">
        <v>125.98</v>
      </c>
      <c r="F4453">
        <v>385.25</v>
      </c>
      <c r="K4453" s="3"/>
      <c r="O4453" s="3"/>
    </row>
    <row r="4454" spans="1:15">
      <c r="A4454" s="3">
        <v>40978</v>
      </c>
      <c r="B4454" s="3">
        <v>40978</v>
      </c>
      <c r="C4454">
        <v>148.01</v>
      </c>
      <c r="D4454">
        <v>1.3123</v>
      </c>
      <c r="E4454">
        <v>125.98</v>
      </c>
      <c r="F4454">
        <v>385.25</v>
      </c>
      <c r="K4454" s="3"/>
      <c r="O4454" s="3"/>
    </row>
    <row r="4455" spans="1:15">
      <c r="A4455" s="3">
        <v>40979</v>
      </c>
      <c r="B4455" s="3">
        <v>40979</v>
      </c>
      <c r="C4455">
        <v>148.01</v>
      </c>
      <c r="D4455">
        <v>1.3123</v>
      </c>
      <c r="E4455">
        <v>125.98</v>
      </c>
      <c r="F4455">
        <v>385.25</v>
      </c>
      <c r="K4455" s="3"/>
      <c r="O4455" s="3"/>
    </row>
    <row r="4456" spans="1:15">
      <c r="A4456" s="3">
        <v>40980</v>
      </c>
      <c r="B4456" s="3">
        <v>40980</v>
      </c>
      <c r="C4456">
        <v>147.93</v>
      </c>
      <c r="D4456">
        <v>1.3154999999999999</v>
      </c>
      <c r="E4456">
        <v>125.34</v>
      </c>
      <c r="F4456">
        <v>383.15</v>
      </c>
      <c r="K4456" s="3"/>
      <c r="O4456" s="3"/>
    </row>
    <row r="4457" spans="1:15">
      <c r="A4457" s="3">
        <v>40981</v>
      </c>
      <c r="B4457" s="3">
        <v>40981</v>
      </c>
      <c r="C4457">
        <v>147.96</v>
      </c>
      <c r="D4457">
        <v>1.3084</v>
      </c>
      <c r="E4457">
        <v>126.22</v>
      </c>
      <c r="F4457">
        <v>389.65</v>
      </c>
      <c r="K4457" s="3"/>
      <c r="O4457" s="3"/>
    </row>
    <row r="4458" spans="1:15">
      <c r="A4458" s="3">
        <v>40982</v>
      </c>
      <c r="B4458" s="3">
        <v>40982</v>
      </c>
      <c r="C4458">
        <v>147.66999999999999</v>
      </c>
      <c r="D4458">
        <v>1.3031999999999999</v>
      </c>
      <c r="E4458">
        <v>124.97</v>
      </c>
      <c r="F4458">
        <v>384.2</v>
      </c>
      <c r="K4458" s="3"/>
      <c r="O4458" s="3"/>
    </row>
    <row r="4459" spans="1:15">
      <c r="A4459" s="3">
        <v>40983</v>
      </c>
      <c r="B4459" s="3">
        <v>40983</v>
      </c>
      <c r="C4459">
        <v>147.58000000000001</v>
      </c>
      <c r="D4459">
        <v>1.3080000000000001</v>
      </c>
      <c r="E4459">
        <v>123.55</v>
      </c>
      <c r="F4459">
        <v>389.2</v>
      </c>
      <c r="K4459" s="3"/>
      <c r="O4459" s="3"/>
    </row>
    <row r="4460" spans="1:15">
      <c r="A4460" s="3">
        <v>40984</v>
      </c>
      <c r="B4460" s="3">
        <v>40984</v>
      </c>
      <c r="C4460">
        <v>147.69</v>
      </c>
      <c r="D4460">
        <v>1.3174999999999999</v>
      </c>
      <c r="E4460">
        <v>125.81</v>
      </c>
      <c r="F4460">
        <v>387.4</v>
      </c>
      <c r="K4460" s="3"/>
      <c r="O4460" s="3"/>
    </row>
    <row r="4461" spans="1:15">
      <c r="A4461" s="3">
        <v>40985</v>
      </c>
      <c r="B4461" s="3">
        <v>40985</v>
      </c>
      <c r="C4461">
        <v>147.69</v>
      </c>
      <c r="D4461">
        <v>1.3174999999999999</v>
      </c>
      <c r="E4461">
        <v>125.81</v>
      </c>
      <c r="F4461">
        <v>387.4</v>
      </c>
      <c r="K4461" s="3"/>
      <c r="O4461" s="3"/>
    </row>
    <row r="4462" spans="1:15">
      <c r="A4462" s="3">
        <v>40986</v>
      </c>
      <c r="B4462" s="3">
        <v>40986</v>
      </c>
      <c r="C4462">
        <v>147.69</v>
      </c>
      <c r="D4462">
        <v>1.3174999999999999</v>
      </c>
      <c r="E4462">
        <v>125.81</v>
      </c>
      <c r="F4462">
        <v>387.4</v>
      </c>
      <c r="K4462" s="3"/>
      <c r="O4462" s="3"/>
    </row>
    <row r="4463" spans="1:15">
      <c r="A4463" s="3">
        <v>40987</v>
      </c>
      <c r="B4463" s="3">
        <v>40987</v>
      </c>
      <c r="C4463">
        <v>147.79</v>
      </c>
      <c r="D4463">
        <v>1.3238000000000001</v>
      </c>
      <c r="E4463">
        <v>125.71</v>
      </c>
      <c r="F4463">
        <v>390.6</v>
      </c>
      <c r="K4463" s="3"/>
      <c r="O4463" s="3"/>
    </row>
    <row r="4464" spans="1:15">
      <c r="A4464" s="3">
        <v>40988</v>
      </c>
      <c r="B4464" s="3">
        <v>40988</v>
      </c>
      <c r="C4464">
        <v>147.77000000000001</v>
      </c>
      <c r="D4464">
        <v>1.3225</v>
      </c>
      <c r="E4464">
        <v>124.12</v>
      </c>
      <c r="F4464">
        <v>382.8</v>
      </c>
      <c r="K4464" s="3"/>
      <c r="O4464" s="3"/>
    </row>
    <row r="4465" spans="1:15">
      <c r="A4465" s="3">
        <v>40989</v>
      </c>
      <c r="B4465" s="3">
        <v>40989</v>
      </c>
      <c r="C4465">
        <v>147.77000000000001</v>
      </c>
      <c r="D4465">
        <v>1.3216000000000001</v>
      </c>
      <c r="E4465">
        <v>124.2</v>
      </c>
      <c r="F4465">
        <v>384.95</v>
      </c>
      <c r="K4465" s="3"/>
      <c r="O4465" s="3"/>
    </row>
    <row r="4466" spans="1:15">
      <c r="A4466" s="3">
        <v>40990</v>
      </c>
      <c r="B4466" s="3">
        <v>40990</v>
      </c>
      <c r="C4466">
        <v>147.77000000000001</v>
      </c>
      <c r="D4466">
        <v>1.3201000000000001</v>
      </c>
      <c r="E4466">
        <v>123.14</v>
      </c>
      <c r="F4466">
        <v>376.75</v>
      </c>
      <c r="K4466" s="3"/>
      <c r="O4466" s="3"/>
    </row>
    <row r="4467" spans="1:15">
      <c r="A4467" s="3">
        <v>40991</v>
      </c>
      <c r="B4467" s="3">
        <v>40991</v>
      </c>
      <c r="C4467">
        <v>147.77000000000001</v>
      </c>
      <c r="D4467">
        <v>1.327</v>
      </c>
      <c r="E4467">
        <v>125.13</v>
      </c>
      <c r="F4467">
        <v>380.95</v>
      </c>
      <c r="K4467" s="3"/>
      <c r="O4467" s="3"/>
    </row>
    <row r="4468" spans="1:15">
      <c r="A4468" s="3">
        <v>40992</v>
      </c>
      <c r="B4468" s="3">
        <v>40992</v>
      </c>
      <c r="C4468">
        <v>147.77000000000001</v>
      </c>
      <c r="D4468">
        <v>1.327</v>
      </c>
      <c r="E4468">
        <v>125.13</v>
      </c>
      <c r="F4468">
        <v>380.95</v>
      </c>
      <c r="K4468" s="3"/>
      <c r="O4468" s="3"/>
    </row>
    <row r="4469" spans="1:15">
      <c r="A4469" s="3">
        <v>40993</v>
      </c>
      <c r="B4469" s="3">
        <v>40993</v>
      </c>
      <c r="C4469">
        <v>147.77000000000001</v>
      </c>
      <c r="D4469">
        <v>1.327</v>
      </c>
      <c r="E4469">
        <v>125.13</v>
      </c>
      <c r="F4469">
        <v>380.95</v>
      </c>
      <c r="K4469" s="3"/>
      <c r="O4469" s="3"/>
    </row>
    <row r="4470" spans="1:15">
      <c r="A4470" s="3">
        <v>40994</v>
      </c>
      <c r="B4470" s="3">
        <v>40994</v>
      </c>
      <c r="C4470">
        <v>147.71</v>
      </c>
      <c r="D4470">
        <v>1.3359000000000001</v>
      </c>
      <c r="E4470">
        <v>125.65</v>
      </c>
      <c r="F4470">
        <v>388.55</v>
      </c>
      <c r="K4470" s="3"/>
      <c r="O4470" s="3"/>
    </row>
    <row r="4471" spans="1:15">
      <c r="A4471" s="3">
        <v>40995</v>
      </c>
      <c r="B4471" s="3">
        <v>40995</v>
      </c>
      <c r="C4471">
        <v>147.65</v>
      </c>
      <c r="D4471">
        <v>1.3312999999999999</v>
      </c>
      <c r="E4471">
        <v>125.54</v>
      </c>
      <c r="F4471">
        <v>387.9</v>
      </c>
      <c r="K4471" s="3"/>
      <c r="O4471" s="3"/>
    </row>
    <row r="4472" spans="1:15">
      <c r="A4472" s="3">
        <v>40996</v>
      </c>
      <c r="B4472" s="3">
        <v>40996</v>
      </c>
      <c r="C4472">
        <v>147.71</v>
      </c>
      <c r="D4472">
        <v>1.3317000000000001</v>
      </c>
      <c r="E4472">
        <v>124.16</v>
      </c>
      <c r="F4472">
        <v>378.7</v>
      </c>
      <c r="K4472" s="3"/>
      <c r="O4472" s="3"/>
    </row>
    <row r="4473" spans="1:15">
      <c r="A4473" s="3">
        <v>40997</v>
      </c>
      <c r="B4473" s="3">
        <v>40997</v>
      </c>
      <c r="C4473">
        <v>147.76</v>
      </c>
      <c r="D4473">
        <v>1.3302</v>
      </c>
      <c r="E4473">
        <v>122.39</v>
      </c>
      <c r="F4473">
        <v>379.65</v>
      </c>
      <c r="K4473" s="3"/>
      <c r="O4473" s="3"/>
    </row>
    <row r="4474" spans="1:15">
      <c r="A4474" s="3">
        <v>40998</v>
      </c>
      <c r="B4474" s="3">
        <v>40998</v>
      </c>
      <c r="C4474">
        <v>147.94999999999999</v>
      </c>
      <c r="D4474">
        <v>1.3343</v>
      </c>
      <c r="E4474">
        <v>122.88</v>
      </c>
      <c r="F4474">
        <v>382.5</v>
      </c>
      <c r="K4474" s="3"/>
      <c r="O4474" s="3"/>
    </row>
    <row r="4475" spans="1:15">
      <c r="A4475" s="3">
        <v>40999</v>
      </c>
      <c r="B4475" s="3">
        <v>40999</v>
      </c>
      <c r="C4475">
        <v>147.94999999999999</v>
      </c>
      <c r="D4475">
        <v>1.3343</v>
      </c>
      <c r="E4475">
        <v>122.88</v>
      </c>
      <c r="F4475">
        <v>382.5</v>
      </c>
      <c r="K4475" s="3"/>
      <c r="O4475" s="3"/>
    </row>
    <row r="4476" spans="1:15">
      <c r="A4476" s="3">
        <v>41000</v>
      </c>
      <c r="B4476" s="3">
        <v>41000</v>
      </c>
      <c r="C4476">
        <v>147.94999999999999</v>
      </c>
      <c r="D4476">
        <v>1.3343</v>
      </c>
      <c r="E4476">
        <v>122.88</v>
      </c>
      <c r="F4476">
        <v>382.5</v>
      </c>
      <c r="K4476" s="3"/>
      <c r="O4476" s="3"/>
    </row>
    <row r="4477" spans="1:15">
      <c r="A4477" s="3">
        <v>41001</v>
      </c>
      <c r="B4477" s="3">
        <v>41001</v>
      </c>
      <c r="C4477">
        <v>148.07</v>
      </c>
      <c r="D4477">
        <v>1.3321000000000001</v>
      </c>
      <c r="E4477">
        <v>125.43</v>
      </c>
      <c r="F4477">
        <v>392.1</v>
      </c>
      <c r="K4477" s="3"/>
      <c r="O4477" s="3"/>
    </row>
    <row r="4478" spans="1:15">
      <c r="A4478" s="3">
        <v>41002</v>
      </c>
      <c r="B4478" s="3">
        <v>41002</v>
      </c>
      <c r="C4478">
        <v>148.03</v>
      </c>
      <c r="D4478">
        <v>1.3232999999999999</v>
      </c>
      <c r="E4478">
        <v>124.86</v>
      </c>
      <c r="F4478">
        <v>391.9</v>
      </c>
      <c r="K4478" s="3"/>
      <c r="O4478" s="3"/>
    </row>
    <row r="4479" spans="1:15">
      <c r="A4479" s="3">
        <v>41003</v>
      </c>
      <c r="B4479" s="3">
        <v>41003</v>
      </c>
      <c r="C4479">
        <v>148.24</v>
      </c>
      <c r="D4479">
        <v>1.3142</v>
      </c>
      <c r="E4479">
        <v>122.34</v>
      </c>
      <c r="F4479">
        <v>379.05</v>
      </c>
      <c r="K4479" s="3"/>
      <c r="O4479" s="3"/>
    </row>
    <row r="4480" spans="1:15">
      <c r="A4480" s="3">
        <v>41004</v>
      </c>
      <c r="B4480" s="3">
        <v>41004</v>
      </c>
      <c r="C4480">
        <v>148.25</v>
      </c>
      <c r="D4480">
        <v>1.3066</v>
      </c>
      <c r="E4480">
        <v>123.43</v>
      </c>
      <c r="F4480">
        <v>379.55</v>
      </c>
      <c r="K4480" s="3"/>
      <c r="O4480" s="3"/>
    </row>
    <row r="4481" spans="1:15">
      <c r="A4481" s="3">
        <v>41005</v>
      </c>
      <c r="B4481" s="3">
        <v>41005</v>
      </c>
      <c r="C4481">
        <v>147.62</v>
      </c>
      <c r="D4481">
        <v>1.3096000000000001</v>
      </c>
      <c r="E4481">
        <v>123.43</v>
      </c>
      <c r="F4481">
        <v>379.55</v>
      </c>
      <c r="K4481" s="3"/>
      <c r="O4481" s="3"/>
    </row>
    <row r="4482" spans="1:15">
      <c r="A4482" s="3">
        <v>41006</v>
      </c>
      <c r="B4482" s="3">
        <v>41006</v>
      </c>
      <c r="C4482">
        <v>147.62</v>
      </c>
      <c r="D4482">
        <v>1.3096000000000001</v>
      </c>
      <c r="E4482">
        <v>123.43</v>
      </c>
      <c r="F4482">
        <v>379.55</v>
      </c>
      <c r="K4482" s="3"/>
      <c r="O4482" s="3"/>
    </row>
    <row r="4483" spans="1:15">
      <c r="A4483" s="3">
        <v>41007</v>
      </c>
      <c r="B4483" s="3">
        <v>41007</v>
      </c>
      <c r="C4483">
        <v>147.62</v>
      </c>
      <c r="D4483">
        <v>1.3096000000000001</v>
      </c>
      <c r="E4483">
        <v>123.43</v>
      </c>
      <c r="F4483">
        <v>379.55</v>
      </c>
      <c r="K4483" s="3"/>
      <c r="O4483" s="3"/>
    </row>
    <row r="4484" spans="1:15">
      <c r="A4484" s="3">
        <v>41008</v>
      </c>
      <c r="B4484" s="3">
        <v>41008</v>
      </c>
      <c r="C4484">
        <v>147.68</v>
      </c>
      <c r="D4484">
        <v>1.3106</v>
      </c>
      <c r="E4484">
        <v>122.67</v>
      </c>
      <c r="F4484">
        <v>372</v>
      </c>
      <c r="K4484" s="3"/>
      <c r="O4484" s="3"/>
    </row>
    <row r="4485" spans="1:15">
      <c r="A4485" s="3">
        <v>41009</v>
      </c>
      <c r="B4485" s="3">
        <v>41009</v>
      </c>
      <c r="C4485">
        <v>147.6</v>
      </c>
      <c r="D4485">
        <v>1.3082</v>
      </c>
      <c r="E4485">
        <v>119.88</v>
      </c>
      <c r="F4485">
        <v>365</v>
      </c>
      <c r="K4485" s="3"/>
      <c r="O4485" s="3"/>
    </row>
    <row r="4486" spans="1:15">
      <c r="A4486" s="3">
        <v>41010</v>
      </c>
      <c r="B4486" s="3">
        <v>41010</v>
      </c>
      <c r="C4486">
        <v>147.74</v>
      </c>
      <c r="D4486">
        <v>1.3109999999999999</v>
      </c>
      <c r="E4486">
        <v>120.18</v>
      </c>
      <c r="F4486">
        <v>363.95</v>
      </c>
      <c r="K4486" s="3"/>
      <c r="O4486" s="3"/>
    </row>
    <row r="4487" spans="1:15">
      <c r="A4487" s="3">
        <v>41011</v>
      </c>
      <c r="B4487" s="3">
        <v>41011</v>
      </c>
      <c r="C4487">
        <v>147.65</v>
      </c>
      <c r="D4487">
        <v>1.3188</v>
      </c>
      <c r="E4487">
        <v>121.71</v>
      </c>
      <c r="F4487">
        <v>372.05</v>
      </c>
      <c r="K4487" s="3"/>
      <c r="O4487" s="3"/>
    </row>
    <row r="4488" spans="1:15">
      <c r="A4488" s="3">
        <v>41012</v>
      </c>
      <c r="B4488" s="3">
        <v>41012</v>
      </c>
      <c r="C4488">
        <v>147.63</v>
      </c>
      <c r="D4488">
        <v>1.3078000000000001</v>
      </c>
      <c r="E4488">
        <v>121.83</v>
      </c>
      <c r="F4488">
        <v>362.7</v>
      </c>
      <c r="K4488" s="3"/>
      <c r="O4488" s="3"/>
    </row>
    <row r="4489" spans="1:15">
      <c r="A4489" s="3">
        <v>41013</v>
      </c>
      <c r="B4489" s="3">
        <v>41013</v>
      </c>
      <c r="C4489">
        <v>147.63</v>
      </c>
      <c r="D4489">
        <v>1.3078000000000001</v>
      </c>
      <c r="E4489">
        <v>121.83</v>
      </c>
      <c r="F4489">
        <v>362.7</v>
      </c>
      <c r="K4489" s="3"/>
      <c r="O4489" s="3"/>
    </row>
    <row r="4490" spans="1:15">
      <c r="A4490" s="3">
        <v>41014</v>
      </c>
      <c r="B4490" s="3">
        <v>41014</v>
      </c>
      <c r="C4490">
        <v>147.63</v>
      </c>
      <c r="D4490">
        <v>1.3078000000000001</v>
      </c>
      <c r="E4490">
        <v>121.83</v>
      </c>
      <c r="F4490">
        <v>362.7</v>
      </c>
      <c r="K4490" s="3"/>
      <c r="O4490" s="3"/>
    </row>
    <row r="4491" spans="1:15">
      <c r="A4491" s="3">
        <v>41015</v>
      </c>
      <c r="B4491" s="3">
        <v>41015</v>
      </c>
      <c r="C4491">
        <v>147.55000000000001</v>
      </c>
      <c r="D4491">
        <v>1.3142</v>
      </c>
      <c r="E4491">
        <v>118.68</v>
      </c>
      <c r="F4491">
        <v>362.8</v>
      </c>
      <c r="K4491" s="3"/>
      <c r="O4491" s="3"/>
    </row>
    <row r="4492" spans="1:15">
      <c r="A4492" s="3">
        <v>41016</v>
      </c>
      <c r="B4492" s="3">
        <v>41016</v>
      </c>
      <c r="C4492">
        <v>147.66</v>
      </c>
      <c r="D4492">
        <v>1.3127</v>
      </c>
      <c r="E4492">
        <v>118.78</v>
      </c>
      <c r="F4492">
        <v>364.7</v>
      </c>
      <c r="K4492" s="3"/>
      <c r="O4492" s="3"/>
    </row>
    <row r="4493" spans="1:15">
      <c r="A4493" s="3">
        <v>41017</v>
      </c>
      <c r="B4493" s="3">
        <v>41017</v>
      </c>
      <c r="C4493">
        <v>147.69</v>
      </c>
      <c r="D4493">
        <v>1.3123</v>
      </c>
      <c r="E4493">
        <v>117.97</v>
      </c>
      <c r="F4493">
        <v>363.1</v>
      </c>
      <c r="K4493" s="3"/>
      <c r="O4493" s="3"/>
    </row>
    <row r="4494" spans="1:15">
      <c r="A4494" s="3">
        <v>41018</v>
      </c>
      <c r="B4494" s="3">
        <v>41018</v>
      </c>
      <c r="C4494">
        <v>147.85</v>
      </c>
      <c r="D4494">
        <v>1.3138000000000001</v>
      </c>
      <c r="E4494">
        <v>118</v>
      </c>
      <c r="F4494">
        <v>362.75</v>
      </c>
      <c r="K4494" s="3"/>
      <c r="O4494" s="3"/>
    </row>
    <row r="4495" spans="1:15">
      <c r="A4495" s="3">
        <v>41019</v>
      </c>
      <c r="B4495" s="3">
        <v>41019</v>
      </c>
      <c r="C4495">
        <v>147.88</v>
      </c>
      <c r="D4495">
        <v>1.3219000000000001</v>
      </c>
      <c r="E4495">
        <v>118.76</v>
      </c>
      <c r="F4495">
        <v>369.8</v>
      </c>
      <c r="K4495" s="3"/>
      <c r="O4495" s="3"/>
    </row>
    <row r="4496" spans="1:15">
      <c r="A4496" s="3">
        <v>41020</v>
      </c>
      <c r="B4496" s="3">
        <v>41020</v>
      </c>
      <c r="C4496">
        <v>147.88</v>
      </c>
      <c r="D4496">
        <v>1.3219000000000001</v>
      </c>
      <c r="E4496">
        <v>118.76</v>
      </c>
      <c r="F4496">
        <v>369.8</v>
      </c>
      <c r="K4496" s="3"/>
      <c r="O4496" s="3"/>
    </row>
    <row r="4497" spans="1:15">
      <c r="A4497" s="3">
        <v>41021</v>
      </c>
      <c r="B4497" s="3">
        <v>41021</v>
      </c>
      <c r="C4497">
        <v>147.88</v>
      </c>
      <c r="D4497">
        <v>1.3219000000000001</v>
      </c>
      <c r="E4497">
        <v>118.76</v>
      </c>
      <c r="F4497">
        <v>369.8</v>
      </c>
      <c r="K4497" s="3"/>
      <c r="O4497" s="3"/>
    </row>
    <row r="4498" spans="1:15">
      <c r="A4498" s="3">
        <v>41022</v>
      </c>
      <c r="B4498" s="3">
        <v>41022</v>
      </c>
      <c r="C4498">
        <v>147.76</v>
      </c>
      <c r="D4498">
        <v>1.3156000000000001</v>
      </c>
      <c r="E4498">
        <v>118.71</v>
      </c>
      <c r="F4498">
        <v>362.6</v>
      </c>
      <c r="K4498" s="3"/>
      <c r="O4498" s="3"/>
    </row>
    <row r="4499" spans="1:15">
      <c r="A4499" s="3">
        <v>41023</v>
      </c>
      <c r="B4499" s="3">
        <v>41023</v>
      </c>
      <c r="C4499">
        <v>147.69999999999999</v>
      </c>
      <c r="D4499">
        <v>1.3197000000000001</v>
      </c>
      <c r="E4499">
        <v>118.16</v>
      </c>
      <c r="F4499">
        <v>367.25</v>
      </c>
      <c r="K4499" s="3"/>
      <c r="O4499" s="3"/>
    </row>
    <row r="4500" spans="1:15">
      <c r="A4500" s="3">
        <v>41024</v>
      </c>
      <c r="B4500" s="3">
        <v>41024</v>
      </c>
      <c r="C4500">
        <v>147.79</v>
      </c>
      <c r="D4500">
        <v>1.3217000000000001</v>
      </c>
      <c r="E4500">
        <v>119.12</v>
      </c>
      <c r="F4500">
        <v>370</v>
      </c>
      <c r="K4500" s="3"/>
      <c r="O4500" s="3"/>
    </row>
    <row r="4501" spans="1:15">
      <c r="A4501" s="3">
        <v>41025</v>
      </c>
      <c r="B4501" s="3">
        <v>41025</v>
      </c>
      <c r="C4501">
        <v>147.9</v>
      </c>
      <c r="D4501">
        <v>1.3219000000000001</v>
      </c>
      <c r="E4501">
        <v>119.92</v>
      </c>
      <c r="F4501">
        <v>376.7</v>
      </c>
      <c r="K4501" s="3"/>
      <c r="O4501" s="3"/>
    </row>
    <row r="4502" spans="1:15">
      <c r="A4502" s="3">
        <v>41026</v>
      </c>
      <c r="B4502" s="3">
        <v>41026</v>
      </c>
      <c r="C4502">
        <v>147.76</v>
      </c>
      <c r="D4502">
        <v>1.3254999999999999</v>
      </c>
      <c r="E4502">
        <v>119.83</v>
      </c>
      <c r="F4502">
        <v>382</v>
      </c>
      <c r="K4502" s="3"/>
      <c r="O4502" s="3"/>
    </row>
    <row r="4503" spans="1:15">
      <c r="A4503" s="3">
        <v>41027</v>
      </c>
      <c r="B4503" s="3">
        <v>41027</v>
      </c>
      <c r="C4503">
        <v>147.76</v>
      </c>
      <c r="D4503">
        <v>1.3254999999999999</v>
      </c>
      <c r="E4503">
        <v>119.83</v>
      </c>
      <c r="F4503">
        <v>382</v>
      </c>
      <c r="K4503" s="3"/>
      <c r="O4503" s="3"/>
    </row>
    <row r="4504" spans="1:15">
      <c r="A4504" s="3">
        <v>41028</v>
      </c>
      <c r="B4504" s="3">
        <v>41028</v>
      </c>
      <c r="C4504">
        <v>147.76</v>
      </c>
      <c r="D4504">
        <v>1.3254999999999999</v>
      </c>
      <c r="E4504">
        <v>119.83</v>
      </c>
      <c r="F4504">
        <v>382</v>
      </c>
      <c r="K4504" s="3"/>
      <c r="O4504" s="3"/>
    </row>
    <row r="4505" spans="1:15">
      <c r="A4505" s="3">
        <v>41029</v>
      </c>
      <c r="B4505" s="3">
        <v>41029</v>
      </c>
      <c r="C4505">
        <v>147.76</v>
      </c>
      <c r="D4505">
        <v>1.3239000000000001</v>
      </c>
      <c r="E4505">
        <v>119.47</v>
      </c>
      <c r="F4505">
        <v>383.35</v>
      </c>
      <c r="K4505" s="3"/>
      <c r="O4505" s="3"/>
    </row>
    <row r="4506" spans="1:15">
      <c r="A4506" s="3">
        <v>41030</v>
      </c>
      <c r="B4506" s="3">
        <v>41030</v>
      </c>
      <c r="C4506">
        <v>147.76</v>
      </c>
      <c r="D4506">
        <v>1.3237000000000001</v>
      </c>
      <c r="E4506">
        <v>119.66</v>
      </c>
      <c r="F4506">
        <v>384</v>
      </c>
      <c r="K4506" s="3"/>
      <c r="O4506" s="3"/>
    </row>
    <row r="4507" spans="1:15">
      <c r="A4507" s="3">
        <v>41031</v>
      </c>
      <c r="B4507" s="3">
        <v>41031</v>
      </c>
      <c r="C4507">
        <v>147.99</v>
      </c>
      <c r="D4507">
        <v>1.3158000000000001</v>
      </c>
      <c r="E4507">
        <v>118.2</v>
      </c>
      <c r="F4507">
        <v>378.55</v>
      </c>
      <c r="K4507" s="3"/>
      <c r="O4507" s="3"/>
    </row>
    <row r="4508" spans="1:15">
      <c r="A4508" s="3">
        <v>41032</v>
      </c>
      <c r="B4508" s="3">
        <v>41032</v>
      </c>
      <c r="C4508">
        <v>147.94999999999999</v>
      </c>
      <c r="D4508">
        <v>1.3151999999999999</v>
      </c>
      <c r="E4508">
        <v>116.08</v>
      </c>
      <c r="F4508">
        <v>373.35</v>
      </c>
      <c r="K4508" s="3"/>
      <c r="O4508" s="3"/>
    </row>
    <row r="4509" spans="1:15">
      <c r="A4509" s="3">
        <v>41033</v>
      </c>
      <c r="B4509" s="3">
        <v>41033</v>
      </c>
      <c r="C4509">
        <v>147.87</v>
      </c>
      <c r="D4509">
        <v>1.3084</v>
      </c>
      <c r="E4509">
        <v>113.18</v>
      </c>
      <c r="F4509">
        <v>372.4</v>
      </c>
      <c r="K4509" s="3"/>
      <c r="O4509" s="3"/>
    </row>
    <row r="4510" spans="1:15">
      <c r="A4510" s="3">
        <v>41034</v>
      </c>
      <c r="B4510" s="3">
        <v>41034</v>
      </c>
      <c r="C4510">
        <v>147.87</v>
      </c>
      <c r="D4510">
        <v>1.3084</v>
      </c>
      <c r="E4510">
        <v>113.18</v>
      </c>
      <c r="F4510">
        <v>372.4</v>
      </c>
      <c r="K4510" s="3"/>
      <c r="O4510" s="3"/>
    </row>
    <row r="4511" spans="1:15">
      <c r="A4511" s="3">
        <v>41035</v>
      </c>
      <c r="B4511" s="3">
        <v>41035</v>
      </c>
      <c r="C4511">
        <v>147.87</v>
      </c>
      <c r="D4511">
        <v>1.3084</v>
      </c>
      <c r="E4511">
        <v>113.18</v>
      </c>
      <c r="F4511">
        <v>372.4</v>
      </c>
      <c r="K4511" s="3"/>
      <c r="O4511" s="3"/>
    </row>
    <row r="4512" spans="1:15">
      <c r="A4512" s="3">
        <v>41036</v>
      </c>
      <c r="B4512" s="3">
        <v>41036</v>
      </c>
      <c r="C4512">
        <v>147.88</v>
      </c>
      <c r="D4512">
        <v>1.3050999999999999</v>
      </c>
      <c r="E4512">
        <v>113.16</v>
      </c>
      <c r="F4512">
        <v>377.75</v>
      </c>
      <c r="K4512" s="3"/>
      <c r="O4512" s="3"/>
    </row>
    <row r="4513" spans="1:15">
      <c r="A4513" s="3">
        <v>41037</v>
      </c>
      <c r="B4513" s="3">
        <v>41037</v>
      </c>
      <c r="C4513">
        <v>147.87</v>
      </c>
      <c r="D4513">
        <v>1.3005</v>
      </c>
      <c r="E4513">
        <v>112.73</v>
      </c>
      <c r="F4513">
        <v>368.55</v>
      </c>
      <c r="K4513" s="3"/>
      <c r="O4513" s="3"/>
    </row>
    <row r="4514" spans="1:15">
      <c r="A4514" s="3">
        <v>41038</v>
      </c>
      <c r="B4514" s="3">
        <v>41038</v>
      </c>
      <c r="C4514">
        <v>147.87</v>
      </c>
      <c r="D4514">
        <v>1.2928999999999999</v>
      </c>
      <c r="E4514">
        <v>113.2</v>
      </c>
      <c r="F4514">
        <v>366.95</v>
      </c>
      <c r="K4514" s="3"/>
      <c r="O4514" s="3"/>
    </row>
    <row r="4515" spans="1:15">
      <c r="A4515" s="3">
        <v>41039</v>
      </c>
      <c r="B4515" s="3">
        <v>41039</v>
      </c>
      <c r="C4515">
        <v>147.85</v>
      </c>
      <c r="D4515">
        <v>1.2936000000000001</v>
      </c>
      <c r="E4515">
        <v>112.73</v>
      </c>
      <c r="F4515">
        <v>369.15</v>
      </c>
      <c r="K4515" s="3"/>
      <c r="O4515" s="3"/>
    </row>
    <row r="4516" spans="1:15">
      <c r="A4516" s="3">
        <v>41040</v>
      </c>
      <c r="B4516" s="3">
        <v>41040</v>
      </c>
      <c r="C4516">
        <v>147.94999999999999</v>
      </c>
      <c r="D4516">
        <v>1.2917000000000001</v>
      </c>
      <c r="E4516">
        <v>112.26</v>
      </c>
      <c r="F4516">
        <v>364.85</v>
      </c>
      <c r="K4516" s="3"/>
      <c r="O4516" s="3"/>
    </row>
    <row r="4517" spans="1:15">
      <c r="A4517" s="3">
        <v>41041</v>
      </c>
      <c r="B4517" s="3">
        <v>41041</v>
      </c>
      <c r="C4517">
        <v>147.94999999999999</v>
      </c>
      <c r="D4517">
        <v>1.2917000000000001</v>
      </c>
      <c r="E4517">
        <v>112.26</v>
      </c>
      <c r="F4517">
        <v>364.85</v>
      </c>
      <c r="K4517" s="3"/>
      <c r="O4517" s="3"/>
    </row>
    <row r="4518" spans="1:15">
      <c r="A4518" s="3">
        <v>41042</v>
      </c>
      <c r="B4518" s="3">
        <v>41042</v>
      </c>
      <c r="C4518">
        <v>147.94999999999999</v>
      </c>
      <c r="D4518">
        <v>1.2917000000000001</v>
      </c>
      <c r="E4518">
        <v>112.26</v>
      </c>
      <c r="F4518">
        <v>364.85</v>
      </c>
      <c r="K4518" s="3"/>
      <c r="O4518" s="3"/>
    </row>
    <row r="4519" spans="1:15">
      <c r="A4519" s="3">
        <v>41043</v>
      </c>
      <c r="B4519" s="3">
        <v>41043</v>
      </c>
      <c r="C4519">
        <v>148.12</v>
      </c>
      <c r="D4519">
        <v>1.2823</v>
      </c>
      <c r="E4519">
        <v>111.57</v>
      </c>
      <c r="F4519">
        <v>355.7</v>
      </c>
      <c r="K4519" s="3"/>
      <c r="O4519" s="3"/>
    </row>
    <row r="4520" spans="1:15">
      <c r="A4520" s="3">
        <v>41044</v>
      </c>
      <c r="B4520" s="3">
        <v>41044</v>
      </c>
      <c r="C4520">
        <v>147.97999999999999</v>
      </c>
      <c r="D4520">
        <v>1.2728999999999999</v>
      </c>
      <c r="E4520">
        <v>112.24</v>
      </c>
      <c r="F4520">
        <v>352.2</v>
      </c>
      <c r="K4520" s="3"/>
      <c r="O4520" s="3"/>
    </row>
    <row r="4521" spans="1:15">
      <c r="A4521" s="3">
        <v>41045</v>
      </c>
      <c r="B4521" s="3">
        <v>41045</v>
      </c>
      <c r="C4521">
        <v>148.02000000000001</v>
      </c>
      <c r="D4521">
        <v>1.2716000000000001</v>
      </c>
      <c r="E4521">
        <v>111.71</v>
      </c>
      <c r="F4521">
        <v>348.5</v>
      </c>
      <c r="K4521" s="3"/>
      <c r="O4521" s="3"/>
    </row>
    <row r="4522" spans="1:15">
      <c r="A4522" s="3">
        <v>41046</v>
      </c>
      <c r="B4522" s="3">
        <v>41046</v>
      </c>
      <c r="C4522">
        <v>147.93</v>
      </c>
      <c r="D4522">
        <v>1.2698</v>
      </c>
      <c r="E4522">
        <v>107.49</v>
      </c>
      <c r="F4522">
        <v>347.95</v>
      </c>
      <c r="K4522" s="3"/>
      <c r="O4522" s="3"/>
    </row>
    <row r="4523" spans="1:15">
      <c r="A4523" s="3">
        <v>41047</v>
      </c>
      <c r="B4523" s="3">
        <v>41047</v>
      </c>
      <c r="C4523">
        <v>148.02000000000001</v>
      </c>
      <c r="D4523">
        <v>1.278</v>
      </c>
      <c r="E4523">
        <v>107.14</v>
      </c>
      <c r="F4523">
        <v>346.95</v>
      </c>
      <c r="K4523" s="3"/>
      <c r="O4523" s="3"/>
    </row>
    <row r="4524" spans="1:15">
      <c r="A4524" s="3">
        <v>41048</v>
      </c>
      <c r="B4524" s="3">
        <v>41048</v>
      </c>
      <c r="C4524">
        <v>148.02000000000001</v>
      </c>
      <c r="D4524">
        <v>1.278</v>
      </c>
      <c r="E4524">
        <v>107.14</v>
      </c>
      <c r="F4524">
        <v>346.95</v>
      </c>
      <c r="K4524" s="3"/>
      <c r="O4524" s="3"/>
    </row>
    <row r="4525" spans="1:15">
      <c r="A4525" s="3">
        <v>41049</v>
      </c>
      <c r="B4525" s="3">
        <v>41049</v>
      </c>
      <c r="C4525">
        <v>148.02000000000001</v>
      </c>
      <c r="D4525">
        <v>1.278</v>
      </c>
      <c r="E4525">
        <v>107.14</v>
      </c>
      <c r="F4525">
        <v>346.95</v>
      </c>
      <c r="K4525" s="3"/>
      <c r="O4525" s="3"/>
    </row>
    <row r="4526" spans="1:15">
      <c r="A4526" s="3">
        <v>41050</v>
      </c>
      <c r="B4526" s="3">
        <v>41050</v>
      </c>
      <c r="C4526">
        <v>148.03</v>
      </c>
      <c r="D4526">
        <v>1.2818000000000001</v>
      </c>
      <c r="E4526">
        <v>108.81</v>
      </c>
      <c r="F4526">
        <v>350.4</v>
      </c>
      <c r="K4526" s="3"/>
      <c r="O4526" s="3"/>
    </row>
    <row r="4527" spans="1:15">
      <c r="A4527" s="3">
        <v>41051</v>
      </c>
      <c r="B4527" s="3">
        <v>41051</v>
      </c>
      <c r="C4527">
        <v>147.76</v>
      </c>
      <c r="D4527">
        <v>1.2684</v>
      </c>
      <c r="E4527">
        <v>108.41</v>
      </c>
      <c r="F4527">
        <v>348.75</v>
      </c>
      <c r="K4527" s="3"/>
      <c r="O4527" s="3"/>
    </row>
    <row r="4528" spans="1:15">
      <c r="A4528" s="3">
        <v>41052</v>
      </c>
      <c r="B4528" s="3">
        <v>41052</v>
      </c>
      <c r="C4528">
        <v>147.75</v>
      </c>
      <c r="D4528">
        <v>1.2582</v>
      </c>
      <c r="E4528">
        <v>105.56</v>
      </c>
      <c r="F4528">
        <v>339.8</v>
      </c>
      <c r="K4528" s="3"/>
      <c r="O4528" s="3"/>
    </row>
    <row r="4529" spans="1:15">
      <c r="A4529" s="3">
        <v>41053</v>
      </c>
      <c r="B4529" s="3">
        <v>41053</v>
      </c>
      <c r="C4529">
        <v>147.72</v>
      </c>
      <c r="D4529">
        <v>1.2532000000000001</v>
      </c>
      <c r="E4529">
        <v>106.55</v>
      </c>
      <c r="F4529">
        <v>342.9</v>
      </c>
      <c r="K4529" s="3"/>
      <c r="O4529" s="3"/>
    </row>
    <row r="4530" spans="1:15">
      <c r="A4530" s="3">
        <v>41054</v>
      </c>
      <c r="B4530" s="3">
        <v>41054</v>
      </c>
      <c r="C4530">
        <v>147.9</v>
      </c>
      <c r="D4530">
        <v>1.2517</v>
      </c>
      <c r="E4530">
        <v>106.83</v>
      </c>
      <c r="F4530">
        <v>344.8</v>
      </c>
      <c r="K4530" s="3"/>
      <c r="O4530" s="3"/>
    </row>
    <row r="4531" spans="1:15">
      <c r="A4531" s="3">
        <v>41055</v>
      </c>
      <c r="B4531" s="3">
        <v>41055</v>
      </c>
      <c r="C4531">
        <v>147.9</v>
      </c>
      <c r="D4531">
        <v>1.2517</v>
      </c>
      <c r="E4531">
        <v>106.83</v>
      </c>
      <c r="F4531">
        <v>344.8</v>
      </c>
      <c r="K4531" s="3"/>
      <c r="O4531" s="3"/>
    </row>
    <row r="4532" spans="1:15">
      <c r="A4532" s="3">
        <v>41056</v>
      </c>
      <c r="B4532" s="3">
        <v>41056</v>
      </c>
      <c r="C4532">
        <v>147.9</v>
      </c>
      <c r="D4532">
        <v>1.2517</v>
      </c>
      <c r="E4532">
        <v>106.83</v>
      </c>
      <c r="F4532">
        <v>344.8</v>
      </c>
      <c r="K4532" s="3"/>
      <c r="O4532" s="3"/>
    </row>
    <row r="4533" spans="1:15">
      <c r="A4533" s="3">
        <v>41057</v>
      </c>
      <c r="B4533" s="3">
        <v>41057</v>
      </c>
      <c r="C4533">
        <v>147.94999999999999</v>
      </c>
      <c r="D4533">
        <v>1.2541</v>
      </c>
      <c r="E4533">
        <v>107.11</v>
      </c>
      <c r="F4533">
        <v>344.8</v>
      </c>
      <c r="K4533" s="3"/>
      <c r="O4533" s="3"/>
    </row>
    <row r="4534" spans="1:15">
      <c r="A4534" s="3">
        <v>41058</v>
      </c>
      <c r="B4534" s="3">
        <v>41058</v>
      </c>
      <c r="C4534">
        <v>147.9</v>
      </c>
      <c r="D4534">
        <v>1.2503</v>
      </c>
      <c r="E4534">
        <v>106.68</v>
      </c>
      <c r="F4534">
        <v>346.35</v>
      </c>
      <c r="K4534" s="3"/>
      <c r="O4534" s="3"/>
    </row>
    <row r="4535" spans="1:15">
      <c r="A4535" s="3">
        <v>41059</v>
      </c>
      <c r="B4535" s="3">
        <v>41059</v>
      </c>
      <c r="C4535">
        <v>147.88999999999999</v>
      </c>
      <c r="D4535">
        <v>1.2366999999999999</v>
      </c>
      <c r="E4535">
        <v>103.47</v>
      </c>
      <c r="F4535">
        <v>339</v>
      </c>
      <c r="K4535" s="3"/>
      <c r="O4535" s="3"/>
    </row>
    <row r="4536" spans="1:15">
      <c r="A4536" s="3">
        <v>41060</v>
      </c>
      <c r="B4536" s="3">
        <v>41060</v>
      </c>
      <c r="C4536">
        <v>147.97999999999999</v>
      </c>
      <c r="D4536">
        <v>1.2364999999999999</v>
      </c>
      <c r="E4536">
        <v>101.87</v>
      </c>
      <c r="F4536">
        <v>336.55</v>
      </c>
      <c r="K4536" s="3"/>
      <c r="O4536" s="3"/>
    </row>
    <row r="4537" spans="1:15">
      <c r="A4537" s="3">
        <v>41061</v>
      </c>
      <c r="B4537" s="3">
        <v>41061</v>
      </c>
      <c r="C4537">
        <v>148.38</v>
      </c>
      <c r="D4537">
        <v>1.2434000000000001</v>
      </c>
      <c r="E4537">
        <v>98.43</v>
      </c>
      <c r="F4537">
        <v>331.35</v>
      </c>
      <c r="K4537" s="3"/>
      <c r="O4537" s="3"/>
    </row>
    <row r="4538" spans="1:15">
      <c r="A4538" s="3">
        <v>41062</v>
      </c>
      <c r="B4538" s="3">
        <v>41062</v>
      </c>
      <c r="C4538">
        <v>148.38</v>
      </c>
      <c r="D4538">
        <v>1.2434000000000001</v>
      </c>
      <c r="E4538">
        <v>98.43</v>
      </c>
      <c r="F4538">
        <v>331.35</v>
      </c>
      <c r="K4538" s="3"/>
      <c r="O4538" s="3"/>
    </row>
    <row r="4539" spans="1:15">
      <c r="A4539" s="3">
        <v>41063</v>
      </c>
      <c r="B4539" s="3">
        <v>41063</v>
      </c>
      <c r="C4539">
        <v>148.38</v>
      </c>
      <c r="D4539">
        <v>1.2434000000000001</v>
      </c>
      <c r="E4539">
        <v>98.43</v>
      </c>
      <c r="F4539">
        <v>331.35</v>
      </c>
      <c r="K4539" s="3"/>
      <c r="O4539" s="3"/>
    </row>
    <row r="4540" spans="1:15">
      <c r="A4540" s="3">
        <v>41064</v>
      </c>
      <c r="B4540" s="3">
        <v>41064</v>
      </c>
      <c r="C4540">
        <v>148.79</v>
      </c>
      <c r="D4540">
        <v>1.2499</v>
      </c>
      <c r="E4540">
        <v>98.85</v>
      </c>
      <c r="F4540">
        <v>330.7</v>
      </c>
      <c r="K4540" s="3"/>
      <c r="O4540" s="3"/>
    </row>
    <row r="4541" spans="1:15">
      <c r="A4541" s="3">
        <v>41065</v>
      </c>
      <c r="B4541" s="3">
        <v>41065</v>
      </c>
      <c r="C4541">
        <v>148.87</v>
      </c>
      <c r="D4541">
        <v>1.2452000000000001</v>
      </c>
      <c r="E4541">
        <v>98.84</v>
      </c>
      <c r="F4541">
        <v>328.9</v>
      </c>
      <c r="K4541" s="3"/>
      <c r="O4541" s="3"/>
    </row>
    <row r="4542" spans="1:15">
      <c r="A4542" s="3">
        <v>41066</v>
      </c>
      <c r="B4542" s="3">
        <v>41066</v>
      </c>
      <c r="C4542">
        <v>148.85</v>
      </c>
      <c r="D4542">
        <v>1.2582</v>
      </c>
      <c r="E4542">
        <v>100.64</v>
      </c>
      <c r="F4542">
        <v>337.9</v>
      </c>
      <c r="K4542" s="3"/>
      <c r="O4542" s="3"/>
    </row>
    <row r="4543" spans="1:15">
      <c r="A4543" s="3">
        <v>41067</v>
      </c>
      <c r="B4543" s="3">
        <v>41067</v>
      </c>
      <c r="C4543">
        <v>148.65</v>
      </c>
      <c r="D4543">
        <v>1.2561</v>
      </c>
      <c r="E4543">
        <v>99.93</v>
      </c>
      <c r="F4543">
        <v>337.05</v>
      </c>
      <c r="K4543" s="3"/>
      <c r="O4543" s="3"/>
    </row>
    <row r="4544" spans="1:15">
      <c r="A4544" s="3">
        <v>41068</v>
      </c>
      <c r="B4544" s="3">
        <v>41068</v>
      </c>
      <c r="C4544">
        <v>148.72999999999999</v>
      </c>
      <c r="D4544">
        <v>1.2517</v>
      </c>
      <c r="E4544">
        <v>99.47</v>
      </c>
      <c r="F4544">
        <v>328.5</v>
      </c>
      <c r="K4544" s="3"/>
      <c r="O4544" s="3"/>
    </row>
    <row r="4545" spans="1:15">
      <c r="A4545" s="3">
        <v>41069</v>
      </c>
      <c r="B4545" s="3">
        <v>41069</v>
      </c>
      <c r="C4545">
        <v>148.72999999999999</v>
      </c>
      <c r="D4545">
        <v>1.2517</v>
      </c>
      <c r="E4545">
        <v>99.47</v>
      </c>
      <c r="F4545">
        <v>328.5</v>
      </c>
      <c r="K4545" s="3"/>
      <c r="O4545" s="3"/>
    </row>
    <row r="4546" spans="1:15">
      <c r="A4546" s="3">
        <v>41070</v>
      </c>
      <c r="B4546" s="3">
        <v>41070</v>
      </c>
      <c r="C4546">
        <v>148.72999999999999</v>
      </c>
      <c r="D4546">
        <v>1.2517</v>
      </c>
      <c r="E4546">
        <v>99.47</v>
      </c>
      <c r="F4546">
        <v>328.5</v>
      </c>
      <c r="K4546" s="3"/>
      <c r="O4546" s="3"/>
    </row>
    <row r="4547" spans="1:15">
      <c r="A4547" s="3">
        <v>41071</v>
      </c>
      <c r="B4547" s="3">
        <v>41071</v>
      </c>
      <c r="C4547">
        <v>148.72999999999999</v>
      </c>
      <c r="D4547">
        <v>1.2482</v>
      </c>
      <c r="E4547">
        <v>98</v>
      </c>
      <c r="F4547">
        <v>334.3</v>
      </c>
      <c r="K4547" s="3"/>
      <c r="O4547" s="3"/>
    </row>
    <row r="4548" spans="1:15">
      <c r="A4548" s="3">
        <v>41072</v>
      </c>
      <c r="B4548" s="3">
        <v>41072</v>
      </c>
      <c r="C4548">
        <v>148.91</v>
      </c>
      <c r="D4548">
        <v>1.2503</v>
      </c>
      <c r="E4548">
        <v>97.14</v>
      </c>
      <c r="F4548">
        <v>333.55</v>
      </c>
      <c r="K4548" s="3"/>
      <c r="O4548" s="3"/>
    </row>
    <row r="4549" spans="1:15">
      <c r="A4549" s="3">
        <v>41073</v>
      </c>
      <c r="B4549" s="3">
        <v>41073</v>
      </c>
      <c r="C4549">
        <v>148.94999999999999</v>
      </c>
      <c r="D4549">
        <v>1.2557</v>
      </c>
      <c r="E4549">
        <v>97.13</v>
      </c>
      <c r="F4549">
        <v>333.95</v>
      </c>
      <c r="K4549" s="3"/>
      <c r="O4549" s="3"/>
    </row>
    <row r="4550" spans="1:15">
      <c r="A4550" s="3">
        <v>41074</v>
      </c>
      <c r="B4550" s="3">
        <v>41074</v>
      </c>
      <c r="C4550">
        <v>149.01</v>
      </c>
      <c r="D4550">
        <v>1.2633000000000001</v>
      </c>
      <c r="E4550">
        <v>97.03</v>
      </c>
      <c r="F4550">
        <v>335.45</v>
      </c>
      <c r="K4550" s="3"/>
      <c r="O4550" s="3"/>
    </row>
    <row r="4551" spans="1:15">
      <c r="A4551" s="3">
        <v>41075</v>
      </c>
      <c r="B4551" s="3">
        <v>41075</v>
      </c>
      <c r="C4551">
        <v>148.97999999999999</v>
      </c>
      <c r="D4551">
        <v>1.2638</v>
      </c>
      <c r="E4551">
        <v>97.61</v>
      </c>
      <c r="F4551">
        <v>338.35</v>
      </c>
      <c r="K4551" s="3"/>
      <c r="O4551" s="3"/>
    </row>
    <row r="4552" spans="1:15">
      <c r="A4552" s="3">
        <v>41076</v>
      </c>
      <c r="B4552" s="3">
        <v>41076</v>
      </c>
      <c r="C4552">
        <v>148.97999999999999</v>
      </c>
      <c r="D4552">
        <v>1.2638</v>
      </c>
      <c r="E4552">
        <v>97.61</v>
      </c>
      <c r="F4552">
        <v>338.35</v>
      </c>
      <c r="K4552" s="3"/>
      <c r="O4552" s="3"/>
    </row>
    <row r="4553" spans="1:15">
      <c r="A4553" s="3">
        <v>41077</v>
      </c>
      <c r="B4553" s="3">
        <v>41077</v>
      </c>
      <c r="C4553">
        <v>148.97999999999999</v>
      </c>
      <c r="D4553">
        <v>1.2638</v>
      </c>
      <c r="E4553">
        <v>97.61</v>
      </c>
      <c r="F4553">
        <v>338.35</v>
      </c>
      <c r="K4553" s="3"/>
      <c r="O4553" s="3"/>
    </row>
    <row r="4554" spans="1:15">
      <c r="A4554" s="3">
        <v>41078</v>
      </c>
      <c r="B4554" s="3">
        <v>41078</v>
      </c>
      <c r="C4554">
        <v>148.93</v>
      </c>
      <c r="D4554">
        <v>1.2576000000000001</v>
      </c>
      <c r="E4554">
        <v>96.05</v>
      </c>
      <c r="F4554">
        <v>339.55</v>
      </c>
      <c r="K4554" s="3"/>
      <c r="O4554" s="3"/>
    </row>
    <row r="4555" spans="1:15">
      <c r="A4555" s="3">
        <v>41079</v>
      </c>
      <c r="B4555" s="3">
        <v>41079</v>
      </c>
      <c r="C4555">
        <v>148.87</v>
      </c>
      <c r="D4555">
        <v>1.2685</v>
      </c>
      <c r="E4555">
        <v>95.76</v>
      </c>
      <c r="F4555">
        <v>343.35</v>
      </c>
      <c r="K4555" s="3"/>
      <c r="O4555" s="3"/>
    </row>
    <row r="4556" spans="1:15">
      <c r="A4556" s="3">
        <v>41080</v>
      </c>
      <c r="B4556" s="3">
        <v>41080</v>
      </c>
      <c r="C4556">
        <v>148.88</v>
      </c>
      <c r="D4556">
        <v>1.2706999999999999</v>
      </c>
      <c r="E4556">
        <v>92.69</v>
      </c>
      <c r="F4556">
        <v>338.75</v>
      </c>
      <c r="K4556" s="3"/>
      <c r="O4556" s="3"/>
    </row>
    <row r="4557" spans="1:15">
      <c r="A4557" s="3">
        <v>41081</v>
      </c>
      <c r="B4557" s="3">
        <v>41081</v>
      </c>
      <c r="C4557">
        <v>149.1</v>
      </c>
      <c r="D4557">
        <v>1.254</v>
      </c>
      <c r="E4557">
        <v>89.23</v>
      </c>
      <c r="F4557">
        <v>329.8</v>
      </c>
      <c r="K4557" s="3"/>
      <c r="O4557" s="3"/>
    </row>
    <row r="4558" spans="1:15">
      <c r="A4558" s="3">
        <v>41082</v>
      </c>
      <c r="B4558" s="3">
        <v>41082</v>
      </c>
      <c r="C4558">
        <v>149.25</v>
      </c>
      <c r="D4558">
        <v>1.2569999999999999</v>
      </c>
      <c r="E4558">
        <v>90.98</v>
      </c>
      <c r="F4558">
        <v>330.6</v>
      </c>
      <c r="K4558" s="3"/>
      <c r="O4558" s="3"/>
    </row>
    <row r="4559" spans="1:15">
      <c r="A4559" s="3">
        <v>41083</v>
      </c>
      <c r="B4559" s="3">
        <v>41083</v>
      </c>
      <c r="C4559">
        <v>149.25</v>
      </c>
      <c r="D4559">
        <v>1.2569999999999999</v>
      </c>
      <c r="E4559">
        <v>90.98</v>
      </c>
      <c r="F4559">
        <v>330.6</v>
      </c>
      <c r="K4559" s="3"/>
      <c r="O4559" s="3"/>
    </row>
    <row r="4560" spans="1:15">
      <c r="A4560" s="3">
        <v>41084</v>
      </c>
      <c r="B4560" s="3">
        <v>41084</v>
      </c>
      <c r="C4560">
        <v>149.25</v>
      </c>
      <c r="D4560">
        <v>1.2569999999999999</v>
      </c>
      <c r="E4560">
        <v>90.98</v>
      </c>
      <c r="F4560">
        <v>330.6</v>
      </c>
      <c r="K4560" s="3"/>
      <c r="O4560" s="3"/>
    </row>
    <row r="4561" spans="1:15">
      <c r="A4561" s="3">
        <v>41085</v>
      </c>
      <c r="B4561" s="3">
        <v>41085</v>
      </c>
      <c r="C4561">
        <v>149.31</v>
      </c>
      <c r="D4561">
        <v>1.2504</v>
      </c>
      <c r="E4561">
        <v>91.01</v>
      </c>
      <c r="F4561">
        <v>331.6</v>
      </c>
      <c r="K4561" s="3"/>
      <c r="O4561" s="3"/>
    </row>
    <row r="4562" spans="1:15">
      <c r="A4562" s="3">
        <v>41086</v>
      </c>
      <c r="B4562" s="3">
        <v>41086</v>
      </c>
      <c r="C4562">
        <v>149.35</v>
      </c>
      <c r="D4562">
        <v>1.2491000000000001</v>
      </c>
      <c r="E4562">
        <v>93.02</v>
      </c>
      <c r="F4562">
        <v>331.3</v>
      </c>
      <c r="K4562" s="3"/>
      <c r="O4562" s="3"/>
    </row>
    <row r="4563" spans="1:15">
      <c r="A4563" s="3">
        <v>41087</v>
      </c>
      <c r="B4563" s="3">
        <v>41087</v>
      </c>
      <c r="C4563">
        <v>149.21</v>
      </c>
      <c r="D4563">
        <v>1.2467999999999999</v>
      </c>
      <c r="E4563">
        <v>93.5</v>
      </c>
      <c r="F4563">
        <v>334.95</v>
      </c>
      <c r="K4563" s="3"/>
      <c r="O4563" s="3"/>
    </row>
    <row r="4564" spans="1:15">
      <c r="A4564" s="3">
        <v>41088</v>
      </c>
      <c r="B4564" s="3">
        <v>41088</v>
      </c>
      <c r="C4564">
        <v>149.41</v>
      </c>
      <c r="D4564">
        <v>1.2444</v>
      </c>
      <c r="E4564">
        <v>91.36</v>
      </c>
      <c r="F4564">
        <v>332.6</v>
      </c>
      <c r="K4564" s="3"/>
      <c r="O4564" s="3"/>
    </row>
    <row r="4565" spans="1:15">
      <c r="A4565" s="3">
        <v>41089</v>
      </c>
      <c r="B4565" s="3">
        <v>41089</v>
      </c>
      <c r="C4565">
        <v>149.49</v>
      </c>
      <c r="D4565">
        <v>1.2666999999999999</v>
      </c>
      <c r="E4565">
        <v>97.8</v>
      </c>
      <c r="F4565">
        <v>349</v>
      </c>
      <c r="K4565" s="3"/>
      <c r="O4565" s="3"/>
    </row>
    <row r="4566" spans="1:15">
      <c r="A4566" s="3">
        <v>41090</v>
      </c>
      <c r="B4566" s="3">
        <v>41090</v>
      </c>
      <c r="C4566">
        <v>149.49</v>
      </c>
      <c r="D4566">
        <v>1.2666999999999999</v>
      </c>
      <c r="E4566">
        <v>97.8</v>
      </c>
      <c r="F4566">
        <v>349</v>
      </c>
      <c r="K4566" s="3"/>
      <c r="O4566" s="3"/>
    </row>
    <row r="4567" spans="1:15">
      <c r="A4567" s="3">
        <v>41091</v>
      </c>
      <c r="B4567" s="3">
        <v>41091</v>
      </c>
      <c r="C4567">
        <v>149.49</v>
      </c>
      <c r="D4567">
        <v>1.2666999999999999</v>
      </c>
      <c r="E4567">
        <v>97.8</v>
      </c>
      <c r="F4567">
        <v>349</v>
      </c>
      <c r="K4567" s="3"/>
      <c r="O4567" s="3"/>
    </row>
    <row r="4568" spans="1:15">
      <c r="A4568" s="3">
        <v>41092</v>
      </c>
      <c r="B4568" s="3">
        <v>41092</v>
      </c>
      <c r="C4568">
        <v>149.51</v>
      </c>
      <c r="D4568">
        <v>1.2576000000000001</v>
      </c>
      <c r="E4568">
        <v>97.34</v>
      </c>
      <c r="F4568">
        <v>346.5</v>
      </c>
      <c r="K4568" s="3"/>
      <c r="O4568" s="3"/>
    </row>
    <row r="4569" spans="1:15">
      <c r="A4569" s="3">
        <v>41093</v>
      </c>
      <c r="B4569" s="3">
        <v>41093</v>
      </c>
      <c r="C4569">
        <v>149.52000000000001</v>
      </c>
      <c r="D4569">
        <v>1.2607999999999999</v>
      </c>
      <c r="E4569">
        <v>100.68</v>
      </c>
      <c r="F4569">
        <v>353.45</v>
      </c>
      <c r="K4569" s="3"/>
      <c r="O4569" s="3"/>
    </row>
    <row r="4570" spans="1:15">
      <c r="A4570" s="3">
        <v>41094</v>
      </c>
      <c r="B4570" s="3">
        <v>41094</v>
      </c>
      <c r="C4570">
        <v>149.54</v>
      </c>
      <c r="D4570">
        <v>1.2526999999999999</v>
      </c>
      <c r="E4570">
        <v>99.77</v>
      </c>
      <c r="F4570">
        <v>353.45</v>
      </c>
      <c r="K4570" s="3"/>
      <c r="O4570" s="3"/>
    </row>
    <row r="4571" spans="1:15">
      <c r="A4571" s="3">
        <v>41095</v>
      </c>
      <c r="B4571" s="3">
        <v>41095</v>
      </c>
      <c r="C4571">
        <v>149.65</v>
      </c>
      <c r="D4571">
        <v>1.2392000000000001</v>
      </c>
      <c r="E4571">
        <v>100.7</v>
      </c>
      <c r="F4571">
        <v>348.8</v>
      </c>
      <c r="K4571" s="3"/>
      <c r="O4571" s="3"/>
    </row>
    <row r="4572" spans="1:15">
      <c r="A4572" s="3">
        <v>41096</v>
      </c>
      <c r="B4572" s="3">
        <v>41096</v>
      </c>
      <c r="C4572">
        <v>149.65</v>
      </c>
      <c r="D4572">
        <v>1.2291000000000001</v>
      </c>
      <c r="E4572">
        <v>98.19</v>
      </c>
      <c r="F4572">
        <v>340.45</v>
      </c>
      <c r="K4572" s="3"/>
      <c r="O4572" s="3"/>
    </row>
    <row r="4573" spans="1:15">
      <c r="A4573" s="3">
        <v>41097</v>
      </c>
      <c r="B4573" s="3">
        <v>41097</v>
      </c>
      <c r="C4573">
        <v>149.65</v>
      </c>
      <c r="D4573">
        <v>1.2291000000000001</v>
      </c>
      <c r="E4573">
        <v>98.19</v>
      </c>
      <c r="F4573">
        <v>340.45</v>
      </c>
      <c r="K4573" s="3"/>
      <c r="O4573" s="3"/>
    </row>
    <row r="4574" spans="1:15">
      <c r="A4574" s="3">
        <v>41098</v>
      </c>
      <c r="B4574" s="3">
        <v>41098</v>
      </c>
      <c r="C4574">
        <v>149.65</v>
      </c>
      <c r="D4574">
        <v>1.2291000000000001</v>
      </c>
      <c r="E4574">
        <v>98.19</v>
      </c>
      <c r="F4574">
        <v>340.45</v>
      </c>
      <c r="K4574" s="3"/>
      <c r="O4574" s="3"/>
    </row>
    <row r="4575" spans="1:15">
      <c r="A4575" s="3">
        <v>41099</v>
      </c>
      <c r="B4575" s="3">
        <v>41099</v>
      </c>
      <c r="C4575">
        <v>149.80000000000001</v>
      </c>
      <c r="D4575">
        <v>1.2313000000000001</v>
      </c>
      <c r="E4575">
        <v>100.32</v>
      </c>
      <c r="F4575">
        <v>342.6</v>
      </c>
      <c r="K4575" s="3"/>
      <c r="O4575" s="3"/>
    </row>
    <row r="4576" spans="1:15">
      <c r="A4576" s="3">
        <v>41100</v>
      </c>
      <c r="B4576" s="3">
        <v>41100</v>
      </c>
      <c r="C4576">
        <v>149.87</v>
      </c>
      <c r="D4576">
        <v>1.2250000000000001</v>
      </c>
      <c r="E4576">
        <v>97.97</v>
      </c>
      <c r="F4576">
        <v>339.3</v>
      </c>
      <c r="K4576" s="3"/>
      <c r="O4576" s="3"/>
    </row>
    <row r="4577" spans="1:15">
      <c r="A4577" s="3">
        <v>41101</v>
      </c>
      <c r="B4577" s="3">
        <v>41101</v>
      </c>
      <c r="C4577">
        <v>149.88</v>
      </c>
      <c r="D4577">
        <v>1.2239</v>
      </c>
      <c r="E4577">
        <v>100.23</v>
      </c>
      <c r="F4577">
        <v>344.3</v>
      </c>
      <c r="K4577" s="3"/>
      <c r="O4577" s="3"/>
    </row>
    <row r="4578" spans="1:15">
      <c r="A4578" s="3">
        <v>41102</v>
      </c>
      <c r="B4578" s="3">
        <v>41102</v>
      </c>
      <c r="C4578">
        <v>149.91999999999999</v>
      </c>
      <c r="D4578">
        <v>1.2202999999999999</v>
      </c>
      <c r="E4578">
        <v>101.07</v>
      </c>
      <c r="F4578">
        <v>341.15</v>
      </c>
      <c r="K4578" s="3"/>
      <c r="O4578" s="3"/>
    </row>
    <row r="4579" spans="1:15">
      <c r="A4579" s="3">
        <v>41103</v>
      </c>
      <c r="B4579" s="3">
        <v>41103</v>
      </c>
      <c r="C4579">
        <v>149.83000000000001</v>
      </c>
      <c r="D4579">
        <v>1.2249000000000001</v>
      </c>
      <c r="E4579">
        <v>102.4</v>
      </c>
      <c r="F4579">
        <v>350.05</v>
      </c>
      <c r="K4579" s="3"/>
      <c r="O4579" s="3"/>
    </row>
    <row r="4580" spans="1:15">
      <c r="A4580" s="3">
        <v>41104</v>
      </c>
      <c r="B4580" s="3">
        <v>41104</v>
      </c>
      <c r="C4580">
        <v>149.83000000000001</v>
      </c>
      <c r="D4580">
        <v>1.2249000000000001</v>
      </c>
      <c r="E4580">
        <v>102.4</v>
      </c>
      <c r="F4580">
        <v>350.05</v>
      </c>
      <c r="K4580" s="3"/>
      <c r="O4580" s="3"/>
    </row>
    <row r="4581" spans="1:15">
      <c r="A4581" s="3">
        <v>41105</v>
      </c>
      <c r="B4581" s="3">
        <v>41105</v>
      </c>
      <c r="C4581">
        <v>149.83000000000001</v>
      </c>
      <c r="D4581">
        <v>1.2249000000000001</v>
      </c>
      <c r="E4581">
        <v>102.4</v>
      </c>
      <c r="F4581">
        <v>350.05</v>
      </c>
      <c r="K4581" s="3"/>
      <c r="O4581" s="3"/>
    </row>
    <row r="4582" spans="1:15">
      <c r="A4582" s="3">
        <v>41106</v>
      </c>
      <c r="B4582" s="3">
        <v>41106</v>
      </c>
      <c r="C4582">
        <v>149.91999999999999</v>
      </c>
      <c r="D4582">
        <v>1.2273000000000001</v>
      </c>
      <c r="E4582">
        <v>103.55</v>
      </c>
      <c r="F4582">
        <v>348.1</v>
      </c>
      <c r="K4582" s="3"/>
      <c r="O4582" s="3"/>
    </row>
    <row r="4583" spans="1:15">
      <c r="A4583" s="3">
        <v>41107</v>
      </c>
      <c r="B4583" s="3">
        <v>41107</v>
      </c>
      <c r="C4583">
        <v>149.82</v>
      </c>
      <c r="D4583">
        <v>1.2294</v>
      </c>
      <c r="E4583">
        <v>104</v>
      </c>
      <c r="F4583">
        <v>345.3</v>
      </c>
      <c r="K4583" s="3"/>
      <c r="O4583" s="3"/>
    </row>
    <row r="4584" spans="1:15">
      <c r="A4584" s="3">
        <v>41108</v>
      </c>
      <c r="B4584" s="3">
        <v>41108</v>
      </c>
      <c r="C4584">
        <v>149.69</v>
      </c>
      <c r="D4584">
        <v>1.2283999999999999</v>
      </c>
      <c r="E4584">
        <v>105.16</v>
      </c>
      <c r="F4584">
        <v>347.3</v>
      </c>
      <c r="K4584" s="3"/>
      <c r="O4584" s="3"/>
    </row>
    <row r="4585" spans="1:15">
      <c r="A4585" s="3">
        <v>41109</v>
      </c>
      <c r="B4585" s="3">
        <v>41109</v>
      </c>
      <c r="C4585">
        <v>149.58000000000001</v>
      </c>
      <c r="D4585">
        <v>1.2281</v>
      </c>
      <c r="E4585">
        <v>107.8</v>
      </c>
      <c r="F4585">
        <v>353.4</v>
      </c>
      <c r="K4585" s="3"/>
      <c r="O4585" s="3"/>
    </row>
    <row r="4586" spans="1:15">
      <c r="A4586" s="3">
        <v>41110</v>
      </c>
      <c r="B4586" s="3">
        <v>41110</v>
      </c>
      <c r="C4586">
        <v>149.62</v>
      </c>
      <c r="D4586">
        <v>1.2157</v>
      </c>
      <c r="E4586">
        <v>106.83</v>
      </c>
      <c r="F4586">
        <v>344.85</v>
      </c>
      <c r="K4586" s="3"/>
      <c r="O4586" s="3"/>
    </row>
    <row r="4587" spans="1:15">
      <c r="A4587" s="3">
        <v>41111</v>
      </c>
      <c r="B4587" s="3">
        <v>41111</v>
      </c>
      <c r="C4587">
        <v>149.62</v>
      </c>
      <c r="D4587">
        <v>1.2157</v>
      </c>
      <c r="E4587">
        <v>106.83</v>
      </c>
      <c r="F4587">
        <v>344.85</v>
      </c>
      <c r="K4587" s="3"/>
      <c r="O4587" s="3"/>
    </row>
    <row r="4588" spans="1:15">
      <c r="A4588" s="3">
        <v>41112</v>
      </c>
      <c r="B4588" s="3">
        <v>41112</v>
      </c>
      <c r="C4588">
        <v>149.62</v>
      </c>
      <c r="D4588">
        <v>1.2157</v>
      </c>
      <c r="E4588">
        <v>106.83</v>
      </c>
      <c r="F4588">
        <v>344.85</v>
      </c>
      <c r="K4588" s="3"/>
      <c r="O4588" s="3"/>
    </row>
    <row r="4589" spans="1:15">
      <c r="A4589" s="3">
        <v>41113</v>
      </c>
      <c r="B4589" s="3">
        <v>41113</v>
      </c>
      <c r="C4589">
        <v>149.88999999999999</v>
      </c>
      <c r="D4589">
        <v>1.2117</v>
      </c>
      <c r="E4589">
        <v>103.26</v>
      </c>
      <c r="F4589">
        <v>338.15</v>
      </c>
      <c r="K4589" s="3"/>
      <c r="O4589" s="3"/>
    </row>
    <row r="4590" spans="1:15">
      <c r="A4590" s="3">
        <v>41114</v>
      </c>
      <c r="B4590" s="3">
        <v>41114</v>
      </c>
      <c r="C4590">
        <v>150</v>
      </c>
      <c r="D4590">
        <v>1.2060999999999999</v>
      </c>
      <c r="E4590">
        <v>103.42</v>
      </c>
      <c r="F4590">
        <v>335.3</v>
      </c>
      <c r="K4590" s="3"/>
      <c r="O4590" s="3"/>
    </row>
    <row r="4591" spans="1:15">
      <c r="A4591" s="3">
        <v>41115</v>
      </c>
      <c r="B4591" s="3">
        <v>41115</v>
      </c>
      <c r="C4591">
        <v>150.05000000000001</v>
      </c>
      <c r="D4591">
        <v>1.2158</v>
      </c>
      <c r="E4591">
        <v>104.38</v>
      </c>
      <c r="F4591">
        <v>337.5</v>
      </c>
      <c r="K4591" s="3"/>
      <c r="O4591" s="3"/>
    </row>
    <row r="4592" spans="1:15">
      <c r="A4592" s="3">
        <v>41116</v>
      </c>
      <c r="B4592" s="3">
        <v>41116</v>
      </c>
      <c r="C4592">
        <v>149.97</v>
      </c>
      <c r="D4592">
        <v>1.2282999999999999</v>
      </c>
      <c r="E4592">
        <v>105.26</v>
      </c>
      <c r="F4592">
        <v>339.4</v>
      </c>
      <c r="K4592" s="3"/>
      <c r="O4592" s="3"/>
    </row>
    <row r="4593" spans="1:15">
      <c r="A4593" s="3">
        <v>41117</v>
      </c>
      <c r="B4593" s="3">
        <v>41117</v>
      </c>
      <c r="C4593">
        <v>149.96</v>
      </c>
      <c r="D4593">
        <v>1.2322</v>
      </c>
      <c r="E4593">
        <v>106.47</v>
      </c>
      <c r="F4593">
        <v>342.6</v>
      </c>
      <c r="K4593" s="3"/>
      <c r="O4593" s="3"/>
    </row>
    <row r="4594" spans="1:15">
      <c r="A4594" s="3">
        <v>41118</v>
      </c>
      <c r="B4594" s="3">
        <v>41118</v>
      </c>
      <c r="C4594">
        <v>149.96</v>
      </c>
      <c r="D4594">
        <v>1.2322</v>
      </c>
      <c r="E4594">
        <v>106.47</v>
      </c>
      <c r="F4594">
        <v>342.6</v>
      </c>
      <c r="K4594" s="3"/>
      <c r="O4594" s="3"/>
    </row>
    <row r="4595" spans="1:15">
      <c r="A4595" s="3">
        <v>41119</v>
      </c>
      <c r="B4595" s="3">
        <v>41119</v>
      </c>
      <c r="C4595">
        <v>149.96</v>
      </c>
      <c r="D4595">
        <v>1.2322</v>
      </c>
      <c r="E4595">
        <v>106.47</v>
      </c>
      <c r="F4595">
        <v>342.6</v>
      </c>
      <c r="K4595" s="3"/>
      <c r="O4595" s="3"/>
    </row>
    <row r="4596" spans="1:15">
      <c r="A4596" s="3">
        <v>41120</v>
      </c>
      <c r="B4596" s="3">
        <v>41120</v>
      </c>
      <c r="C4596">
        <v>150</v>
      </c>
      <c r="D4596">
        <v>1.226</v>
      </c>
      <c r="E4596">
        <v>106.2</v>
      </c>
      <c r="F4596">
        <v>341.6</v>
      </c>
      <c r="K4596" s="3"/>
      <c r="O4596" s="3"/>
    </row>
    <row r="4597" spans="1:15">
      <c r="A4597" s="3">
        <v>41121</v>
      </c>
      <c r="B4597" s="3">
        <v>41121</v>
      </c>
      <c r="C4597">
        <v>149.97999999999999</v>
      </c>
      <c r="D4597">
        <v>1.2303999999999999</v>
      </c>
      <c r="E4597">
        <v>104.92</v>
      </c>
      <c r="F4597">
        <v>341.75</v>
      </c>
      <c r="K4597" s="3"/>
      <c r="O4597" s="3"/>
    </row>
    <row r="4598" spans="1:15">
      <c r="A4598" s="3">
        <v>41122</v>
      </c>
      <c r="B4598" s="3">
        <v>41122</v>
      </c>
      <c r="C4598">
        <v>150.13</v>
      </c>
      <c r="D4598">
        <v>1.2224999999999999</v>
      </c>
      <c r="E4598">
        <v>105.96</v>
      </c>
      <c r="F4598">
        <v>337.5</v>
      </c>
      <c r="K4598" s="3"/>
      <c r="O4598" s="3"/>
    </row>
    <row r="4599" spans="1:15">
      <c r="A4599" s="3">
        <v>41123</v>
      </c>
      <c r="B4599" s="3">
        <v>41123</v>
      </c>
      <c r="C4599">
        <v>150.21</v>
      </c>
      <c r="D4599">
        <v>1.218</v>
      </c>
      <c r="E4599">
        <v>105.9</v>
      </c>
      <c r="F4599">
        <v>329.05</v>
      </c>
      <c r="K4599" s="3"/>
      <c r="O4599" s="3"/>
    </row>
    <row r="4600" spans="1:15">
      <c r="A4600" s="3">
        <v>41124</v>
      </c>
      <c r="B4600" s="3">
        <v>41124</v>
      </c>
      <c r="C4600">
        <v>150.25</v>
      </c>
      <c r="D4600">
        <v>1.2386999999999999</v>
      </c>
      <c r="E4600">
        <v>108.94</v>
      </c>
      <c r="F4600">
        <v>336.75</v>
      </c>
      <c r="K4600" s="3"/>
      <c r="O4600" s="3"/>
    </row>
    <row r="4601" spans="1:15">
      <c r="A4601" s="3">
        <v>41125</v>
      </c>
      <c r="B4601" s="3">
        <v>41125</v>
      </c>
      <c r="C4601">
        <v>150.25</v>
      </c>
      <c r="D4601">
        <v>1.2386999999999999</v>
      </c>
      <c r="E4601">
        <v>108.94</v>
      </c>
      <c r="F4601">
        <v>336.75</v>
      </c>
      <c r="K4601" s="3"/>
      <c r="O4601" s="3"/>
    </row>
    <row r="4602" spans="1:15">
      <c r="A4602" s="3">
        <v>41126</v>
      </c>
      <c r="B4602" s="3">
        <v>41126</v>
      </c>
      <c r="C4602">
        <v>150.25</v>
      </c>
      <c r="D4602">
        <v>1.2386999999999999</v>
      </c>
      <c r="E4602">
        <v>108.94</v>
      </c>
      <c r="F4602">
        <v>336.75</v>
      </c>
      <c r="K4602" s="3"/>
      <c r="O4602" s="3"/>
    </row>
    <row r="4603" spans="1:15">
      <c r="A4603" s="3">
        <v>41127</v>
      </c>
      <c r="B4603" s="3">
        <v>41127</v>
      </c>
      <c r="C4603">
        <v>150.1</v>
      </c>
      <c r="D4603">
        <v>1.2401</v>
      </c>
      <c r="E4603">
        <v>109.55</v>
      </c>
      <c r="F4603">
        <v>338.9</v>
      </c>
      <c r="K4603" s="3"/>
      <c r="O4603" s="3"/>
    </row>
    <row r="4604" spans="1:15">
      <c r="A4604" s="3">
        <v>41128</v>
      </c>
      <c r="B4604" s="3">
        <v>41128</v>
      </c>
      <c r="C4604">
        <v>150.09</v>
      </c>
      <c r="D4604">
        <v>1.2399</v>
      </c>
      <c r="E4604">
        <v>112</v>
      </c>
      <c r="F4604">
        <v>344.05</v>
      </c>
      <c r="K4604" s="3"/>
      <c r="O4604" s="3"/>
    </row>
    <row r="4605" spans="1:15">
      <c r="A4605" s="3">
        <v>41129</v>
      </c>
      <c r="B4605" s="3">
        <v>41129</v>
      </c>
      <c r="C4605">
        <v>150.11000000000001</v>
      </c>
      <c r="D4605">
        <v>1.2364999999999999</v>
      </c>
      <c r="E4605">
        <v>112.14</v>
      </c>
      <c r="F4605">
        <v>342.15</v>
      </c>
      <c r="K4605" s="3"/>
      <c r="O4605" s="3"/>
    </row>
    <row r="4606" spans="1:15">
      <c r="A4606" s="3">
        <v>41130</v>
      </c>
      <c r="B4606" s="3">
        <v>41130</v>
      </c>
      <c r="C4606">
        <v>149.9</v>
      </c>
      <c r="D4606">
        <v>1.2305999999999999</v>
      </c>
      <c r="E4606">
        <v>113.22</v>
      </c>
      <c r="F4606">
        <v>342.5</v>
      </c>
      <c r="K4606" s="3"/>
      <c r="O4606" s="3"/>
    </row>
    <row r="4607" spans="1:15">
      <c r="A4607" s="3">
        <v>41131</v>
      </c>
      <c r="B4607" s="3">
        <v>41131</v>
      </c>
      <c r="C4607">
        <v>149.77000000000001</v>
      </c>
      <c r="D4607">
        <v>1.2289000000000001</v>
      </c>
      <c r="E4607">
        <v>112.95</v>
      </c>
      <c r="F4607">
        <v>339.25</v>
      </c>
      <c r="K4607" s="3"/>
      <c r="O4607" s="3"/>
    </row>
    <row r="4608" spans="1:15">
      <c r="A4608" s="3">
        <v>41132</v>
      </c>
      <c r="B4608" s="3">
        <v>41132</v>
      </c>
      <c r="C4608">
        <v>149.77000000000001</v>
      </c>
      <c r="D4608">
        <v>1.2289000000000001</v>
      </c>
      <c r="E4608">
        <v>112.95</v>
      </c>
      <c r="F4608">
        <v>339.25</v>
      </c>
      <c r="K4608" s="3"/>
      <c r="O4608" s="3"/>
    </row>
    <row r="4609" spans="1:15">
      <c r="A4609" s="3">
        <v>41133</v>
      </c>
      <c r="B4609" s="3">
        <v>41133</v>
      </c>
      <c r="C4609">
        <v>149.77000000000001</v>
      </c>
      <c r="D4609">
        <v>1.2289000000000001</v>
      </c>
      <c r="E4609">
        <v>112.95</v>
      </c>
      <c r="F4609">
        <v>339.25</v>
      </c>
      <c r="K4609" s="3"/>
      <c r="O4609" s="3"/>
    </row>
    <row r="4610" spans="1:15">
      <c r="A4610" s="3">
        <v>41134</v>
      </c>
      <c r="B4610" s="3">
        <v>41134</v>
      </c>
      <c r="C4610">
        <v>149.6</v>
      </c>
      <c r="D4610">
        <v>1.2332000000000001</v>
      </c>
      <c r="E4610">
        <v>113.6</v>
      </c>
      <c r="F4610">
        <v>335.35</v>
      </c>
      <c r="K4610" s="3"/>
      <c r="O4610" s="3"/>
    </row>
    <row r="4611" spans="1:15">
      <c r="A4611" s="3">
        <v>41135</v>
      </c>
      <c r="B4611" s="3">
        <v>41135</v>
      </c>
      <c r="C4611">
        <v>149.27000000000001</v>
      </c>
      <c r="D4611">
        <v>1.2322</v>
      </c>
      <c r="E4611">
        <v>114.03</v>
      </c>
      <c r="F4611">
        <v>335.9</v>
      </c>
      <c r="K4611" s="3"/>
      <c r="O4611" s="3"/>
    </row>
    <row r="4612" spans="1:15">
      <c r="A4612" s="3">
        <v>41136</v>
      </c>
      <c r="B4612" s="3">
        <v>41136</v>
      </c>
      <c r="C4612">
        <v>149.38</v>
      </c>
      <c r="D4612">
        <v>1.2290000000000001</v>
      </c>
      <c r="E4612">
        <v>116.25</v>
      </c>
      <c r="F4612">
        <v>334.95</v>
      </c>
      <c r="K4612" s="3"/>
      <c r="O4612" s="3"/>
    </row>
    <row r="4613" spans="1:15">
      <c r="A4613" s="3">
        <v>41137</v>
      </c>
      <c r="B4613" s="3">
        <v>41137</v>
      </c>
      <c r="C4613">
        <v>149.30000000000001</v>
      </c>
      <c r="D4613">
        <v>1.2356</v>
      </c>
      <c r="E4613">
        <v>116.9</v>
      </c>
      <c r="F4613">
        <v>338.25</v>
      </c>
      <c r="K4613" s="3"/>
      <c r="O4613" s="3"/>
    </row>
    <row r="4614" spans="1:15">
      <c r="A4614" s="3">
        <v>41138</v>
      </c>
      <c r="B4614" s="3">
        <v>41138</v>
      </c>
      <c r="C4614">
        <v>149.19999999999999</v>
      </c>
      <c r="D4614">
        <v>1.2334000000000001</v>
      </c>
      <c r="E4614">
        <v>113.71</v>
      </c>
      <c r="F4614">
        <v>341.95</v>
      </c>
      <c r="K4614" s="3"/>
      <c r="O4614" s="3"/>
    </row>
    <row r="4615" spans="1:15">
      <c r="A4615" s="3">
        <v>41139</v>
      </c>
      <c r="B4615" s="3">
        <v>41139</v>
      </c>
      <c r="C4615">
        <v>149.19999999999999</v>
      </c>
      <c r="D4615">
        <v>1.2334000000000001</v>
      </c>
      <c r="E4615">
        <v>113.71</v>
      </c>
      <c r="F4615">
        <v>341.95</v>
      </c>
      <c r="K4615" s="3"/>
      <c r="O4615" s="3"/>
    </row>
    <row r="4616" spans="1:15">
      <c r="A4616" s="3">
        <v>41140</v>
      </c>
      <c r="B4616" s="3">
        <v>41140</v>
      </c>
      <c r="C4616">
        <v>149.19999999999999</v>
      </c>
      <c r="D4616">
        <v>1.2334000000000001</v>
      </c>
      <c r="E4616">
        <v>113.71</v>
      </c>
      <c r="F4616">
        <v>341.95</v>
      </c>
      <c r="K4616" s="3"/>
      <c r="O4616" s="3"/>
    </row>
    <row r="4617" spans="1:15">
      <c r="A4617" s="3">
        <v>41141</v>
      </c>
      <c r="B4617" s="3">
        <v>41141</v>
      </c>
      <c r="C4617">
        <v>149.35</v>
      </c>
      <c r="D4617">
        <v>1.2345999999999999</v>
      </c>
      <c r="E4617">
        <v>113.7</v>
      </c>
      <c r="F4617">
        <v>337.1</v>
      </c>
      <c r="K4617" s="3"/>
      <c r="O4617" s="3"/>
    </row>
    <row r="4618" spans="1:15">
      <c r="A4618" s="3">
        <v>41142</v>
      </c>
      <c r="B4618" s="3">
        <v>41142</v>
      </c>
      <c r="C4618">
        <v>149.25</v>
      </c>
      <c r="D4618">
        <v>1.2473000000000001</v>
      </c>
      <c r="E4618">
        <v>114.64</v>
      </c>
      <c r="F4618">
        <v>345.3</v>
      </c>
      <c r="K4618" s="3"/>
      <c r="O4618" s="3"/>
    </row>
    <row r="4619" spans="1:15">
      <c r="A4619" s="3">
        <v>41143</v>
      </c>
      <c r="B4619" s="3">
        <v>41143</v>
      </c>
      <c r="C4619">
        <v>149.1</v>
      </c>
      <c r="D4619">
        <v>1.2528999999999999</v>
      </c>
      <c r="E4619">
        <v>114.91</v>
      </c>
      <c r="F4619">
        <v>345.45</v>
      </c>
      <c r="K4619" s="3"/>
      <c r="O4619" s="3"/>
    </row>
    <row r="4620" spans="1:15">
      <c r="A4620" s="3">
        <v>41144</v>
      </c>
      <c r="B4620" s="3">
        <v>41144</v>
      </c>
      <c r="C4620">
        <v>148.87</v>
      </c>
      <c r="D4620">
        <v>1.2564</v>
      </c>
      <c r="E4620">
        <v>115.01</v>
      </c>
      <c r="F4620">
        <v>349.25</v>
      </c>
      <c r="K4620" s="3"/>
      <c r="O4620" s="3"/>
    </row>
    <row r="4621" spans="1:15">
      <c r="A4621" s="3">
        <v>41145</v>
      </c>
      <c r="B4621" s="3">
        <v>41145</v>
      </c>
      <c r="C4621">
        <v>148.9</v>
      </c>
      <c r="D4621">
        <v>1.2512000000000001</v>
      </c>
      <c r="E4621">
        <v>113.59</v>
      </c>
      <c r="F4621">
        <v>348.35</v>
      </c>
      <c r="K4621" s="3"/>
      <c r="O4621" s="3"/>
    </row>
    <row r="4622" spans="1:15">
      <c r="A4622" s="3">
        <v>41146</v>
      </c>
      <c r="B4622" s="3">
        <v>41146</v>
      </c>
      <c r="C4622">
        <v>148.9</v>
      </c>
      <c r="D4622">
        <v>1.2512000000000001</v>
      </c>
      <c r="E4622">
        <v>113.59</v>
      </c>
      <c r="F4622">
        <v>348.35</v>
      </c>
      <c r="K4622" s="3"/>
      <c r="O4622" s="3"/>
    </row>
    <row r="4623" spans="1:15">
      <c r="A4623" s="3">
        <v>41147</v>
      </c>
      <c r="B4623" s="3">
        <v>41147</v>
      </c>
      <c r="C4623">
        <v>148.9</v>
      </c>
      <c r="D4623">
        <v>1.2512000000000001</v>
      </c>
      <c r="E4623">
        <v>113.59</v>
      </c>
      <c r="F4623">
        <v>348.35</v>
      </c>
      <c r="K4623" s="3"/>
      <c r="O4623" s="3"/>
    </row>
    <row r="4624" spans="1:15">
      <c r="A4624" s="3">
        <v>41148</v>
      </c>
      <c r="B4624" s="3">
        <v>41148</v>
      </c>
      <c r="C4624">
        <v>148.9</v>
      </c>
      <c r="D4624">
        <v>1.2499</v>
      </c>
      <c r="E4624">
        <v>112.26</v>
      </c>
      <c r="F4624">
        <v>347.65</v>
      </c>
      <c r="K4624" s="3"/>
      <c r="O4624" s="3"/>
    </row>
    <row r="4625" spans="1:15">
      <c r="A4625" s="3">
        <v>41149</v>
      </c>
      <c r="B4625" s="3">
        <v>41149</v>
      </c>
      <c r="C4625">
        <v>149.18</v>
      </c>
      <c r="D4625">
        <v>1.2565</v>
      </c>
      <c r="E4625">
        <v>112.58</v>
      </c>
      <c r="F4625">
        <v>346.25</v>
      </c>
      <c r="K4625" s="3"/>
      <c r="O4625" s="3"/>
    </row>
    <row r="4626" spans="1:15">
      <c r="A4626" s="3">
        <v>41150</v>
      </c>
      <c r="B4626" s="3">
        <v>41150</v>
      </c>
      <c r="C4626">
        <v>149.55000000000001</v>
      </c>
      <c r="D4626">
        <v>1.2529999999999999</v>
      </c>
      <c r="E4626">
        <v>112.54</v>
      </c>
      <c r="F4626">
        <v>344.25</v>
      </c>
      <c r="K4626" s="3"/>
      <c r="O4626" s="3"/>
    </row>
    <row r="4627" spans="1:15">
      <c r="A4627" s="3">
        <v>41151</v>
      </c>
      <c r="B4627" s="3">
        <v>41151</v>
      </c>
      <c r="C4627">
        <v>149.55000000000001</v>
      </c>
      <c r="D4627">
        <v>1.2505999999999999</v>
      </c>
      <c r="E4627">
        <v>112.65</v>
      </c>
      <c r="F4627">
        <v>344.05</v>
      </c>
      <c r="K4627" s="3"/>
      <c r="O4627" s="3"/>
    </row>
    <row r="4628" spans="1:15">
      <c r="A4628" s="3">
        <v>41152</v>
      </c>
      <c r="B4628" s="3">
        <v>41152</v>
      </c>
      <c r="C4628">
        <v>149.61000000000001</v>
      </c>
      <c r="D4628">
        <v>1.2579</v>
      </c>
      <c r="E4628">
        <v>114.57</v>
      </c>
      <c r="F4628">
        <v>345.4</v>
      </c>
      <c r="K4628" s="3"/>
      <c r="O4628" s="3"/>
    </row>
    <row r="4629" spans="1:15">
      <c r="A4629" s="3">
        <v>41153</v>
      </c>
      <c r="B4629" s="3">
        <v>41153</v>
      </c>
      <c r="C4629">
        <v>149.61000000000001</v>
      </c>
      <c r="D4629">
        <v>1.2579</v>
      </c>
      <c r="E4629">
        <v>114.57</v>
      </c>
      <c r="F4629">
        <v>345.4</v>
      </c>
      <c r="K4629" s="3"/>
      <c r="O4629" s="3"/>
    </row>
    <row r="4630" spans="1:15">
      <c r="A4630" s="3">
        <v>41154</v>
      </c>
      <c r="B4630" s="3">
        <v>41154</v>
      </c>
      <c r="C4630">
        <v>149.61000000000001</v>
      </c>
      <c r="D4630">
        <v>1.2579</v>
      </c>
      <c r="E4630">
        <v>114.57</v>
      </c>
      <c r="F4630">
        <v>345.4</v>
      </c>
      <c r="K4630" s="3"/>
      <c r="O4630" s="3"/>
    </row>
    <row r="4631" spans="1:15">
      <c r="A4631" s="3">
        <v>41155</v>
      </c>
      <c r="B4631" s="3">
        <v>41155</v>
      </c>
      <c r="C4631">
        <v>149.6</v>
      </c>
      <c r="D4631">
        <v>1.2593000000000001</v>
      </c>
      <c r="E4631">
        <v>115.78</v>
      </c>
      <c r="F4631">
        <v>345.4</v>
      </c>
      <c r="K4631" s="3"/>
      <c r="O4631" s="3"/>
    </row>
    <row r="4632" spans="1:15">
      <c r="A4632" s="3">
        <v>41156</v>
      </c>
      <c r="B4632" s="3">
        <v>41156</v>
      </c>
      <c r="C4632">
        <v>149.44999999999999</v>
      </c>
      <c r="D4632">
        <v>1.2565999999999999</v>
      </c>
      <c r="E4632">
        <v>114.18</v>
      </c>
      <c r="F4632">
        <v>346.85</v>
      </c>
      <c r="K4632" s="3"/>
      <c r="O4632" s="3"/>
    </row>
    <row r="4633" spans="1:15">
      <c r="A4633" s="3">
        <v>41157</v>
      </c>
      <c r="B4633" s="3">
        <v>41157</v>
      </c>
      <c r="C4633">
        <v>149.41</v>
      </c>
      <c r="D4633">
        <v>1.2601</v>
      </c>
      <c r="E4633">
        <v>113.09</v>
      </c>
      <c r="F4633">
        <v>353.2</v>
      </c>
      <c r="K4633" s="3"/>
      <c r="O4633" s="3"/>
    </row>
    <row r="4634" spans="1:15">
      <c r="A4634" s="3">
        <v>41158</v>
      </c>
      <c r="B4634" s="3">
        <v>41158</v>
      </c>
      <c r="C4634">
        <v>149.44999999999999</v>
      </c>
      <c r="D4634">
        <v>1.2630999999999999</v>
      </c>
      <c r="E4634">
        <v>113.49</v>
      </c>
      <c r="F4634">
        <v>352.35</v>
      </c>
      <c r="K4634" s="3"/>
      <c r="O4634" s="3"/>
    </row>
    <row r="4635" spans="1:15">
      <c r="A4635" s="3">
        <v>41159</v>
      </c>
      <c r="B4635" s="3">
        <v>41159</v>
      </c>
      <c r="C4635">
        <v>149.6</v>
      </c>
      <c r="D4635">
        <v>1.2816000000000001</v>
      </c>
      <c r="E4635">
        <v>114.25</v>
      </c>
      <c r="F4635">
        <v>365.6</v>
      </c>
      <c r="K4635" s="3"/>
      <c r="O4635" s="3"/>
    </row>
    <row r="4636" spans="1:15">
      <c r="A4636" s="3">
        <v>41160</v>
      </c>
      <c r="B4636" s="3">
        <v>41160</v>
      </c>
      <c r="C4636">
        <v>149.6</v>
      </c>
      <c r="D4636">
        <v>1.2816000000000001</v>
      </c>
      <c r="E4636">
        <v>114.25</v>
      </c>
      <c r="F4636">
        <v>365.6</v>
      </c>
      <c r="K4636" s="3"/>
      <c r="O4636" s="3"/>
    </row>
    <row r="4637" spans="1:15">
      <c r="A4637" s="3">
        <v>41161</v>
      </c>
      <c r="B4637" s="3">
        <v>41161</v>
      </c>
      <c r="C4637">
        <v>149.6</v>
      </c>
      <c r="D4637">
        <v>1.2816000000000001</v>
      </c>
      <c r="E4637">
        <v>114.25</v>
      </c>
      <c r="F4637">
        <v>365.6</v>
      </c>
      <c r="K4637" s="3"/>
      <c r="O4637" s="3"/>
    </row>
    <row r="4638" spans="1:15">
      <c r="A4638" s="3">
        <v>41162</v>
      </c>
      <c r="B4638" s="3">
        <v>41162</v>
      </c>
      <c r="C4638">
        <v>149.58000000000001</v>
      </c>
      <c r="D4638">
        <v>1.2758</v>
      </c>
      <c r="E4638">
        <v>114.81</v>
      </c>
      <c r="F4638">
        <v>370</v>
      </c>
      <c r="K4638" s="3"/>
      <c r="O4638" s="3"/>
    </row>
    <row r="4639" spans="1:15">
      <c r="A4639" s="3">
        <v>41163</v>
      </c>
      <c r="B4639" s="3">
        <v>41163</v>
      </c>
      <c r="C4639">
        <v>149.72</v>
      </c>
      <c r="D4639">
        <v>1.2855000000000001</v>
      </c>
      <c r="E4639">
        <v>115.4</v>
      </c>
      <c r="F4639">
        <v>371.45</v>
      </c>
      <c r="K4639" s="3"/>
      <c r="O4639" s="3"/>
    </row>
    <row r="4640" spans="1:15">
      <c r="A4640" s="3">
        <v>41164</v>
      </c>
      <c r="B4640" s="3">
        <v>41164</v>
      </c>
      <c r="C4640">
        <v>149.80000000000001</v>
      </c>
      <c r="D4640">
        <v>1.29</v>
      </c>
      <c r="E4640">
        <v>115.96</v>
      </c>
      <c r="F4640">
        <v>371</v>
      </c>
      <c r="K4640" s="3"/>
      <c r="O4640" s="3"/>
    </row>
    <row r="4641" spans="1:15">
      <c r="A4641" s="3">
        <v>41165</v>
      </c>
      <c r="B4641" s="3">
        <v>41165</v>
      </c>
      <c r="C4641">
        <v>150</v>
      </c>
      <c r="D4641">
        <v>1.2990999999999999</v>
      </c>
      <c r="E4641">
        <v>116.9</v>
      </c>
      <c r="F4641">
        <v>372.7</v>
      </c>
      <c r="K4641" s="3"/>
      <c r="O4641" s="3"/>
    </row>
    <row r="4642" spans="1:15">
      <c r="A4642" s="3">
        <v>41166</v>
      </c>
      <c r="B4642" s="3">
        <v>41166</v>
      </c>
      <c r="C4642">
        <v>149.96</v>
      </c>
      <c r="D4642">
        <v>1.3129999999999999</v>
      </c>
      <c r="E4642">
        <v>116.66</v>
      </c>
      <c r="F4642">
        <v>385.15</v>
      </c>
      <c r="K4642" s="3"/>
      <c r="O4642" s="3"/>
    </row>
    <row r="4643" spans="1:15">
      <c r="A4643" s="3">
        <v>41167</v>
      </c>
      <c r="B4643" s="3">
        <v>41167</v>
      </c>
      <c r="C4643">
        <v>149.96</v>
      </c>
      <c r="D4643">
        <v>1.3129999999999999</v>
      </c>
      <c r="E4643">
        <v>116.66</v>
      </c>
      <c r="F4643">
        <v>385.15</v>
      </c>
      <c r="K4643" s="3"/>
      <c r="O4643" s="3"/>
    </row>
    <row r="4644" spans="1:15">
      <c r="A4644" s="3">
        <v>41168</v>
      </c>
      <c r="B4644" s="3">
        <v>41168</v>
      </c>
      <c r="C4644">
        <v>149.96</v>
      </c>
      <c r="D4644">
        <v>1.3129999999999999</v>
      </c>
      <c r="E4644">
        <v>116.66</v>
      </c>
      <c r="F4644">
        <v>385.15</v>
      </c>
      <c r="K4644" s="3"/>
      <c r="O4644" s="3"/>
    </row>
    <row r="4645" spans="1:15">
      <c r="A4645" s="3">
        <v>41169</v>
      </c>
      <c r="B4645" s="3">
        <v>41169</v>
      </c>
      <c r="C4645">
        <v>149.74</v>
      </c>
      <c r="D4645">
        <v>1.3117000000000001</v>
      </c>
      <c r="E4645">
        <v>113.79</v>
      </c>
      <c r="F4645">
        <v>381</v>
      </c>
      <c r="K4645" s="3"/>
      <c r="O4645" s="3"/>
    </row>
    <row r="4646" spans="1:15">
      <c r="A4646" s="3">
        <v>41170</v>
      </c>
      <c r="B4646" s="3">
        <v>41170</v>
      </c>
      <c r="C4646">
        <v>149.88</v>
      </c>
      <c r="D4646">
        <v>1.3048</v>
      </c>
      <c r="E4646">
        <v>112.03</v>
      </c>
      <c r="F4646">
        <v>380.25</v>
      </c>
      <c r="K4646" s="3"/>
      <c r="O4646" s="3"/>
    </row>
    <row r="4647" spans="1:15">
      <c r="A4647" s="3">
        <v>41171</v>
      </c>
      <c r="B4647" s="3">
        <v>41171</v>
      </c>
      <c r="C4647">
        <v>149.91999999999999</v>
      </c>
      <c r="D4647">
        <v>1.3048999999999999</v>
      </c>
      <c r="E4647">
        <v>108.19</v>
      </c>
      <c r="F4647">
        <v>382.9</v>
      </c>
      <c r="K4647" s="3"/>
      <c r="O4647" s="3"/>
    </row>
    <row r="4648" spans="1:15">
      <c r="A4648" s="3">
        <v>41172</v>
      </c>
      <c r="B4648" s="3">
        <v>41172</v>
      </c>
      <c r="C4648">
        <v>150.02000000000001</v>
      </c>
      <c r="D4648">
        <v>1.2968</v>
      </c>
      <c r="E4648">
        <v>110.03</v>
      </c>
      <c r="F4648">
        <v>377.25</v>
      </c>
      <c r="K4648" s="3"/>
      <c r="O4648" s="3"/>
    </row>
    <row r="4649" spans="1:15">
      <c r="A4649" s="3">
        <v>41173</v>
      </c>
      <c r="B4649" s="3">
        <v>41173</v>
      </c>
      <c r="C4649">
        <v>150.1</v>
      </c>
      <c r="D4649">
        <v>1.298</v>
      </c>
      <c r="E4649">
        <v>111.42</v>
      </c>
      <c r="F4649">
        <v>380.35</v>
      </c>
      <c r="K4649" s="3"/>
      <c r="O4649" s="3"/>
    </row>
    <row r="4650" spans="1:15">
      <c r="A4650" s="3">
        <v>41174</v>
      </c>
      <c r="B4650" s="3">
        <v>41174</v>
      </c>
      <c r="C4650">
        <v>150.1</v>
      </c>
      <c r="D4650">
        <v>1.298</v>
      </c>
      <c r="E4650">
        <v>111.42</v>
      </c>
      <c r="F4650">
        <v>380.35</v>
      </c>
      <c r="K4650" s="3"/>
      <c r="O4650" s="3"/>
    </row>
    <row r="4651" spans="1:15">
      <c r="A4651" s="3">
        <v>41175</v>
      </c>
      <c r="B4651" s="3">
        <v>41175</v>
      </c>
      <c r="C4651">
        <v>150.1</v>
      </c>
      <c r="D4651">
        <v>1.298</v>
      </c>
      <c r="E4651">
        <v>111.42</v>
      </c>
      <c r="F4651">
        <v>380.35</v>
      </c>
      <c r="K4651" s="3"/>
      <c r="O4651" s="3"/>
    </row>
    <row r="4652" spans="1:15">
      <c r="A4652" s="3">
        <v>41176</v>
      </c>
      <c r="B4652" s="3">
        <v>41176</v>
      </c>
      <c r="C4652">
        <v>150.04</v>
      </c>
      <c r="D4652">
        <v>1.2930999999999999</v>
      </c>
      <c r="E4652">
        <v>109.81</v>
      </c>
      <c r="F4652">
        <v>374.55</v>
      </c>
      <c r="K4652" s="3"/>
      <c r="O4652" s="3"/>
    </row>
    <row r="4653" spans="1:15">
      <c r="A4653" s="3">
        <v>41177</v>
      </c>
      <c r="B4653" s="3">
        <v>41177</v>
      </c>
      <c r="C4653">
        <v>150.05000000000001</v>
      </c>
      <c r="D4653">
        <v>1.2899</v>
      </c>
      <c r="E4653">
        <v>110.45</v>
      </c>
      <c r="F4653">
        <v>377.35</v>
      </c>
      <c r="K4653" s="3"/>
      <c r="O4653" s="3"/>
    </row>
    <row r="4654" spans="1:15">
      <c r="A4654" s="3">
        <v>41178</v>
      </c>
      <c r="B4654" s="3">
        <v>41178</v>
      </c>
      <c r="C4654">
        <v>150.11000000000001</v>
      </c>
      <c r="D4654">
        <v>1.2873000000000001</v>
      </c>
      <c r="E4654">
        <v>110.04</v>
      </c>
      <c r="F4654">
        <v>371.4</v>
      </c>
      <c r="K4654" s="3"/>
      <c r="O4654" s="3"/>
    </row>
    <row r="4655" spans="1:15">
      <c r="A4655" s="3">
        <v>41179</v>
      </c>
      <c r="B4655" s="3">
        <v>41179</v>
      </c>
      <c r="C4655">
        <v>150.04</v>
      </c>
      <c r="D4655">
        <v>1.2912999999999999</v>
      </c>
      <c r="E4655">
        <v>112.01</v>
      </c>
      <c r="F4655">
        <v>374.4</v>
      </c>
      <c r="K4655" s="3"/>
      <c r="O4655" s="3"/>
    </row>
    <row r="4656" spans="1:15">
      <c r="A4656" s="3">
        <v>41180</v>
      </c>
      <c r="B4656" s="3">
        <v>41180</v>
      </c>
      <c r="C4656">
        <v>149.88999999999999</v>
      </c>
      <c r="D4656">
        <v>1.286</v>
      </c>
      <c r="E4656">
        <v>112.39</v>
      </c>
      <c r="F4656">
        <v>375.8</v>
      </c>
      <c r="K4656" s="3"/>
      <c r="O4656" s="3"/>
    </row>
    <row r="4657" spans="1:15">
      <c r="A4657" s="3">
        <v>41181</v>
      </c>
      <c r="B4657" s="3">
        <v>41181</v>
      </c>
      <c r="C4657">
        <v>149.88999999999999</v>
      </c>
      <c r="D4657">
        <v>1.286</v>
      </c>
      <c r="E4657">
        <v>112.39</v>
      </c>
      <c r="F4657">
        <v>375.8</v>
      </c>
      <c r="K4657" s="3"/>
      <c r="O4657" s="3"/>
    </row>
    <row r="4658" spans="1:15">
      <c r="A4658" s="3">
        <v>41182</v>
      </c>
      <c r="B4658" s="3">
        <v>41182</v>
      </c>
      <c r="C4658">
        <v>149.88999999999999</v>
      </c>
      <c r="D4658">
        <v>1.286</v>
      </c>
      <c r="E4658">
        <v>112.39</v>
      </c>
      <c r="F4658">
        <v>375.8</v>
      </c>
      <c r="K4658" s="3"/>
      <c r="O4658" s="3"/>
    </row>
    <row r="4659" spans="1:15">
      <c r="A4659" s="3">
        <v>41183</v>
      </c>
      <c r="B4659" s="3">
        <v>41183</v>
      </c>
      <c r="C4659">
        <v>150.07</v>
      </c>
      <c r="D4659">
        <v>1.2887999999999999</v>
      </c>
      <c r="E4659">
        <v>112.19</v>
      </c>
      <c r="F4659">
        <v>378.55</v>
      </c>
      <c r="K4659" s="3"/>
      <c r="O4659" s="3"/>
    </row>
    <row r="4660" spans="1:15">
      <c r="A4660" s="3">
        <v>41184</v>
      </c>
      <c r="B4660" s="3">
        <v>41184</v>
      </c>
      <c r="C4660">
        <v>150.16999999999999</v>
      </c>
      <c r="D4660">
        <v>1.292</v>
      </c>
      <c r="E4660">
        <v>111.57</v>
      </c>
      <c r="F4660">
        <v>380.1</v>
      </c>
      <c r="K4660" s="3"/>
      <c r="O4660" s="3"/>
    </row>
    <row r="4661" spans="1:15">
      <c r="A4661" s="3">
        <v>41185</v>
      </c>
      <c r="B4661" s="3">
        <v>41185</v>
      </c>
      <c r="C4661">
        <v>150.21</v>
      </c>
      <c r="D4661">
        <v>1.2905</v>
      </c>
      <c r="E4661">
        <v>108.17</v>
      </c>
      <c r="F4661">
        <v>378.4</v>
      </c>
      <c r="K4661" s="3"/>
      <c r="O4661" s="3"/>
    </row>
    <row r="4662" spans="1:15">
      <c r="A4662" s="3">
        <v>41186</v>
      </c>
      <c r="B4662" s="3">
        <v>41186</v>
      </c>
      <c r="C4662">
        <v>150.30000000000001</v>
      </c>
      <c r="D4662">
        <v>1.3018000000000001</v>
      </c>
      <c r="E4662">
        <v>112.58</v>
      </c>
      <c r="F4662">
        <v>378.6</v>
      </c>
      <c r="K4662" s="3"/>
      <c r="O4662" s="3"/>
    </row>
    <row r="4663" spans="1:15">
      <c r="A4663" s="3">
        <v>41187</v>
      </c>
      <c r="B4663" s="3">
        <v>41187</v>
      </c>
      <c r="C4663">
        <v>150.30000000000001</v>
      </c>
      <c r="D4663">
        <v>1.3045</v>
      </c>
      <c r="E4663">
        <v>112.02</v>
      </c>
      <c r="F4663">
        <v>377.8</v>
      </c>
      <c r="K4663" s="3"/>
      <c r="O4663" s="3"/>
    </row>
    <row r="4664" spans="1:15">
      <c r="A4664" s="3">
        <v>41188</v>
      </c>
      <c r="B4664" s="3">
        <v>41188</v>
      </c>
      <c r="C4664">
        <v>150.30000000000001</v>
      </c>
      <c r="D4664">
        <v>1.3045</v>
      </c>
      <c r="E4664">
        <v>112.02</v>
      </c>
      <c r="F4664">
        <v>377.8</v>
      </c>
      <c r="K4664" s="3"/>
      <c r="O4664" s="3"/>
    </row>
    <row r="4665" spans="1:15">
      <c r="A4665" s="3">
        <v>41189</v>
      </c>
      <c r="B4665" s="3">
        <v>41189</v>
      </c>
      <c r="C4665">
        <v>150.30000000000001</v>
      </c>
      <c r="D4665">
        <v>1.3045</v>
      </c>
      <c r="E4665">
        <v>112.02</v>
      </c>
      <c r="F4665">
        <v>377.8</v>
      </c>
      <c r="K4665" s="3"/>
      <c r="O4665" s="3"/>
    </row>
    <row r="4666" spans="1:15">
      <c r="A4666" s="3">
        <v>41190</v>
      </c>
      <c r="B4666" s="3">
        <v>41190</v>
      </c>
      <c r="C4666">
        <v>150.38</v>
      </c>
      <c r="D4666">
        <v>1.2968</v>
      </c>
      <c r="E4666">
        <v>111.82</v>
      </c>
      <c r="F4666">
        <v>371.8</v>
      </c>
      <c r="K4666" s="3"/>
      <c r="O4666" s="3"/>
    </row>
    <row r="4667" spans="1:15">
      <c r="A4667" s="3">
        <v>41191</v>
      </c>
      <c r="B4667" s="3">
        <v>41191</v>
      </c>
      <c r="C4667">
        <v>150.47999999999999</v>
      </c>
      <c r="D4667">
        <v>1.2885</v>
      </c>
      <c r="E4667">
        <v>114.5</v>
      </c>
      <c r="F4667">
        <v>371.8</v>
      </c>
      <c r="K4667" s="3"/>
      <c r="O4667" s="3"/>
    </row>
    <row r="4668" spans="1:15">
      <c r="A4668" s="3">
        <v>41192</v>
      </c>
      <c r="B4668" s="3">
        <v>41192</v>
      </c>
      <c r="C4668">
        <v>150.55000000000001</v>
      </c>
      <c r="D4668">
        <v>1.2875000000000001</v>
      </c>
      <c r="E4668">
        <v>114.33</v>
      </c>
      <c r="F4668">
        <v>371.8</v>
      </c>
      <c r="K4668" s="3"/>
      <c r="O4668" s="3"/>
    </row>
    <row r="4669" spans="1:15">
      <c r="A4669" s="3">
        <v>41193</v>
      </c>
      <c r="B4669" s="3">
        <v>41193</v>
      </c>
      <c r="C4669">
        <v>150.44999999999999</v>
      </c>
      <c r="D4669">
        <v>1.2927999999999999</v>
      </c>
      <c r="E4669">
        <v>115.71</v>
      </c>
      <c r="F4669">
        <v>375.15</v>
      </c>
      <c r="K4669" s="3"/>
      <c r="O4669" s="3"/>
    </row>
    <row r="4670" spans="1:15">
      <c r="A4670" s="3">
        <v>41194</v>
      </c>
      <c r="B4670" s="3">
        <v>41194</v>
      </c>
      <c r="C4670">
        <v>150.6</v>
      </c>
      <c r="D4670">
        <v>1.2950999999999999</v>
      </c>
      <c r="E4670">
        <v>114.62</v>
      </c>
      <c r="F4670">
        <v>370.3</v>
      </c>
      <c r="K4670" s="3"/>
      <c r="O4670" s="3"/>
    </row>
    <row r="4671" spans="1:15">
      <c r="A4671" s="3">
        <v>41195</v>
      </c>
      <c r="B4671" s="3">
        <v>41195</v>
      </c>
      <c r="C4671">
        <v>150.6</v>
      </c>
      <c r="D4671">
        <v>1.2950999999999999</v>
      </c>
      <c r="E4671">
        <v>114.62</v>
      </c>
      <c r="F4671">
        <v>370.3</v>
      </c>
      <c r="K4671" s="3"/>
      <c r="O4671" s="3"/>
    </row>
    <row r="4672" spans="1:15">
      <c r="A4672" s="3">
        <v>41196</v>
      </c>
      <c r="B4672" s="3">
        <v>41196</v>
      </c>
      <c r="C4672">
        <v>150.6</v>
      </c>
      <c r="D4672">
        <v>1.2950999999999999</v>
      </c>
      <c r="E4672">
        <v>114.62</v>
      </c>
      <c r="F4672">
        <v>370.3</v>
      </c>
      <c r="K4672" s="3"/>
      <c r="O4672" s="3"/>
    </row>
    <row r="4673" spans="1:15">
      <c r="A4673" s="3">
        <v>41197</v>
      </c>
      <c r="B4673" s="3">
        <v>41197</v>
      </c>
      <c r="C4673">
        <v>150.68</v>
      </c>
      <c r="D4673">
        <v>1.2948999999999999</v>
      </c>
      <c r="E4673">
        <v>115.8</v>
      </c>
      <c r="F4673">
        <v>370.15</v>
      </c>
      <c r="K4673" s="3"/>
      <c r="O4673" s="3"/>
    </row>
    <row r="4674" spans="1:15">
      <c r="A4674" s="3">
        <v>41198</v>
      </c>
      <c r="B4674" s="3">
        <v>41198</v>
      </c>
      <c r="C4674">
        <v>150.61000000000001</v>
      </c>
      <c r="D4674">
        <v>1.3053999999999999</v>
      </c>
      <c r="E4674">
        <v>115.07</v>
      </c>
      <c r="F4674">
        <v>370</v>
      </c>
      <c r="K4674" s="3"/>
      <c r="O4674" s="3"/>
    </row>
    <row r="4675" spans="1:15">
      <c r="A4675" s="3">
        <v>41199</v>
      </c>
      <c r="B4675" s="3">
        <v>41199</v>
      </c>
      <c r="C4675">
        <v>150.43</v>
      </c>
      <c r="D4675">
        <v>1.3119000000000001</v>
      </c>
      <c r="E4675">
        <v>113.22</v>
      </c>
      <c r="F4675">
        <v>374.8</v>
      </c>
      <c r="K4675" s="3"/>
      <c r="O4675" s="3"/>
    </row>
    <row r="4676" spans="1:15">
      <c r="A4676" s="3">
        <v>41200</v>
      </c>
      <c r="B4676" s="3">
        <v>41200</v>
      </c>
      <c r="C4676">
        <v>150.08000000000001</v>
      </c>
      <c r="D4676">
        <v>1.3067</v>
      </c>
      <c r="E4676">
        <v>112.42</v>
      </c>
      <c r="F4676">
        <v>374.3</v>
      </c>
      <c r="K4676" s="3"/>
      <c r="O4676" s="3"/>
    </row>
    <row r="4677" spans="1:15">
      <c r="A4677" s="3">
        <v>41201</v>
      </c>
      <c r="B4677" s="3">
        <v>41201</v>
      </c>
      <c r="C4677">
        <v>150.16999999999999</v>
      </c>
      <c r="D4677">
        <v>1.3024</v>
      </c>
      <c r="E4677">
        <v>110.14</v>
      </c>
      <c r="F4677">
        <v>363.75</v>
      </c>
      <c r="K4677" s="3"/>
      <c r="O4677" s="3"/>
    </row>
    <row r="4678" spans="1:15">
      <c r="A4678" s="3">
        <v>41202</v>
      </c>
      <c r="B4678" s="3">
        <v>41202</v>
      </c>
      <c r="C4678">
        <v>150.16999999999999</v>
      </c>
      <c r="D4678">
        <v>1.3024</v>
      </c>
      <c r="E4678">
        <v>110.14</v>
      </c>
      <c r="F4678">
        <v>363.75</v>
      </c>
      <c r="K4678" s="3"/>
      <c r="O4678" s="3"/>
    </row>
    <row r="4679" spans="1:15">
      <c r="A4679" s="3">
        <v>41203</v>
      </c>
      <c r="B4679" s="3">
        <v>41203</v>
      </c>
      <c r="C4679">
        <v>150.16999999999999</v>
      </c>
      <c r="D4679">
        <v>1.3024</v>
      </c>
      <c r="E4679">
        <v>110.14</v>
      </c>
      <c r="F4679">
        <v>363.75</v>
      </c>
      <c r="K4679" s="3"/>
      <c r="O4679" s="3"/>
    </row>
    <row r="4680" spans="1:15">
      <c r="A4680" s="3">
        <v>41204</v>
      </c>
      <c r="B4680" s="3">
        <v>41204</v>
      </c>
      <c r="C4680">
        <v>150.68</v>
      </c>
      <c r="D4680">
        <v>1.306</v>
      </c>
      <c r="E4680">
        <v>109.44</v>
      </c>
      <c r="F4680">
        <v>362.2</v>
      </c>
      <c r="K4680" s="3"/>
      <c r="O4680" s="3"/>
    </row>
    <row r="4681" spans="1:15">
      <c r="A4681" s="3">
        <v>41205</v>
      </c>
      <c r="B4681" s="3">
        <v>41205</v>
      </c>
      <c r="C4681">
        <v>150.71</v>
      </c>
      <c r="D4681">
        <v>1.2987</v>
      </c>
      <c r="E4681">
        <v>108.25</v>
      </c>
      <c r="F4681">
        <v>356.95</v>
      </c>
      <c r="K4681" s="3"/>
      <c r="O4681" s="3"/>
    </row>
    <row r="4682" spans="1:15">
      <c r="A4682" s="3">
        <v>41206</v>
      </c>
      <c r="B4682" s="3">
        <v>41206</v>
      </c>
      <c r="C4682">
        <v>150.61000000000001</v>
      </c>
      <c r="D4682">
        <v>1.2974000000000001</v>
      </c>
      <c r="E4682">
        <v>107.85</v>
      </c>
      <c r="F4682">
        <v>356.8</v>
      </c>
      <c r="K4682" s="3"/>
      <c r="O4682" s="3"/>
    </row>
    <row r="4683" spans="1:15">
      <c r="A4683" s="3">
        <v>41207</v>
      </c>
      <c r="B4683" s="3">
        <v>41207</v>
      </c>
      <c r="C4683">
        <v>150.58000000000001</v>
      </c>
      <c r="D4683">
        <v>1.2934000000000001</v>
      </c>
      <c r="E4683">
        <v>108.49</v>
      </c>
      <c r="F4683">
        <v>355.05</v>
      </c>
      <c r="K4683" s="3"/>
      <c r="O4683" s="3"/>
    </row>
    <row r="4684" spans="1:15">
      <c r="A4684" s="3">
        <v>41208</v>
      </c>
      <c r="B4684" s="3">
        <v>41208</v>
      </c>
      <c r="C4684">
        <v>150.58000000000001</v>
      </c>
      <c r="D4684">
        <v>1.2938000000000001</v>
      </c>
      <c r="E4684">
        <v>109.55</v>
      </c>
      <c r="F4684">
        <v>355</v>
      </c>
      <c r="K4684" s="3"/>
      <c r="O4684" s="3"/>
    </row>
    <row r="4685" spans="1:15">
      <c r="A4685" s="3">
        <v>41209</v>
      </c>
      <c r="B4685" s="3">
        <v>41209</v>
      </c>
      <c r="C4685">
        <v>150.58000000000001</v>
      </c>
      <c r="D4685">
        <v>1.2938000000000001</v>
      </c>
      <c r="E4685">
        <v>109.55</v>
      </c>
      <c r="F4685">
        <v>355</v>
      </c>
      <c r="K4685" s="3"/>
      <c r="O4685" s="3"/>
    </row>
    <row r="4686" spans="1:15">
      <c r="A4686" s="3">
        <v>41210</v>
      </c>
      <c r="B4686" s="3">
        <v>41210</v>
      </c>
      <c r="C4686">
        <v>150.58000000000001</v>
      </c>
      <c r="D4686">
        <v>1.2938000000000001</v>
      </c>
      <c r="E4686">
        <v>109.55</v>
      </c>
      <c r="F4686">
        <v>355</v>
      </c>
      <c r="K4686" s="3"/>
      <c r="O4686" s="3"/>
    </row>
    <row r="4687" spans="1:15">
      <c r="A4687" s="3">
        <v>41211</v>
      </c>
      <c r="B4687" s="3">
        <v>41211</v>
      </c>
      <c r="C4687">
        <v>150.63</v>
      </c>
      <c r="D4687">
        <v>1.2904</v>
      </c>
      <c r="E4687">
        <v>109.44</v>
      </c>
      <c r="F4687">
        <v>349.45</v>
      </c>
      <c r="K4687" s="3"/>
      <c r="O4687" s="3"/>
    </row>
    <row r="4688" spans="1:15">
      <c r="A4688" s="3">
        <v>41212</v>
      </c>
      <c r="B4688" s="3">
        <v>41212</v>
      </c>
      <c r="C4688">
        <v>150.68</v>
      </c>
      <c r="D4688">
        <v>1.2959000000000001</v>
      </c>
      <c r="E4688">
        <v>109.08</v>
      </c>
      <c r="F4688">
        <v>350.6</v>
      </c>
      <c r="K4688" s="3"/>
      <c r="O4688" s="3"/>
    </row>
    <row r="4689" spans="1:15">
      <c r="A4689" s="3">
        <v>41213</v>
      </c>
      <c r="B4689" s="3">
        <v>41213</v>
      </c>
      <c r="C4689">
        <v>150.80000000000001</v>
      </c>
      <c r="D4689">
        <v>1.296</v>
      </c>
      <c r="E4689">
        <v>108.7</v>
      </c>
      <c r="F4689">
        <v>351.75</v>
      </c>
      <c r="K4689" s="3"/>
      <c r="O4689" s="3"/>
    </row>
    <row r="4690" spans="1:15">
      <c r="A4690" s="3">
        <v>41214</v>
      </c>
      <c r="B4690" s="3">
        <v>41214</v>
      </c>
      <c r="C4690">
        <v>150.82</v>
      </c>
      <c r="D4690">
        <v>1.2943</v>
      </c>
      <c r="E4690">
        <v>108.17</v>
      </c>
      <c r="F4690">
        <v>355.2</v>
      </c>
      <c r="K4690" s="3"/>
      <c r="O4690" s="3"/>
    </row>
    <row r="4691" spans="1:15">
      <c r="A4691" s="3">
        <v>41215</v>
      </c>
      <c r="B4691" s="3">
        <v>41215</v>
      </c>
      <c r="C4691">
        <v>150.86000000000001</v>
      </c>
      <c r="D4691">
        <v>1.2835000000000001</v>
      </c>
      <c r="E4691">
        <v>105.68</v>
      </c>
      <c r="F4691">
        <v>348.15</v>
      </c>
      <c r="K4691" s="3"/>
      <c r="O4691" s="3"/>
    </row>
    <row r="4692" spans="1:15">
      <c r="A4692" s="3">
        <v>41216</v>
      </c>
      <c r="B4692" s="3">
        <v>41216</v>
      </c>
      <c r="C4692">
        <v>150.86000000000001</v>
      </c>
      <c r="D4692">
        <v>1.2835000000000001</v>
      </c>
      <c r="E4692">
        <v>105.68</v>
      </c>
      <c r="F4692">
        <v>348.15</v>
      </c>
      <c r="K4692" s="3"/>
      <c r="O4692" s="3"/>
    </row>
    <row r="4693" spans="1:15">
      <c r="A4693" s="3">
        <v>41217</v>
      </c>
      <c r="B4693" s="3">
        <v>41217</v>
      </c>
      <c r="C4693">
        <v>150.86000000000001</v>
      </c>
      <c r="D4693">
        <v>1.2835000000000001</v>
      </c>
      <c r="E4693">
        <v>105.68</v>
      </c>
      <c r="F4693">
        <v>348.15</v>
      </c>
      <c r="K4693" s="3"/>
      <c r="O4693" s="3"/>
    </row>
    <row r="4694" spans="1:15">
      <c r="A4694" s="3">
        <v>41218</v>
      </c>
      <c r="B4694" s="3">
        <v>41218</v>
      </c>
      <c r="C4694">
        <v>150.86000000000001</v>
      </c>
      <c r="D4694">
        <v>1.2796000000000001</v>
      </c>
      <c r="E4694">
        <v>107.73</v>
      </c>
      <c r="F4694">
        <v>347</v>
      </c>
      <c r="K4694" s="3"/>
      <c r="O4694" s="3"/>
    </row>
    <row r="4695" spans="1:15">
      <c r="A4695" s="3">
        <v>41219</v>
      </c>
      <c r="B4695" s="3">
        <v>41219</v>
      </c>
      <c r="C4695">
        <v>150.82</v>
      </c>
      <c r="D4695">
        <v>1.2814000000000001</v>
      </c>
      <c r="E4695">
        <v>111.07</v>
      </c>
      <c r="F4695">
        <v>350.6</v>
      </c>
      <c r="K4695" s="3"/>
      <c r="O4695" s="3"/>
    </row>
    <row r="4696" spans="1:15">
      <c r="A4696" s="3">
        <v>41220</v>
      </c>
      <c r="B4696" s="3">
        <v>41220</v>
      </c>
      <c r="C4696">
        <v>150.85</v>
      </c>
      <c r="D4696">
        <v>1.2770999999999999</v>
      </c>
      <c r="E4696">
        <v>106.82</v>
      </c>
      <c r="F4696">
        <v>344.15</v>
      </c>
      <c r="K4696" s="3"/>
      <c r="O4696" s="3"/>
    </row>
    <row r="4697" spans="1:15">
      <c r="A4697" s="3">
        <v>41221</v>
      </c>
      <c r="B4697" s="3">
        <v>41221</v>
      </c>
      <c r="C4697">
        <v>150.88999999999999</v>
      </c>
      <c r="D4697">
        <v>1.2746999999999999</v>
      </c>
      <c r="E4697">
        <v>107.25</v>
      </c>
      <c r="F4697">
        <v>346.95</v>
      </c>
      <c r="K4697" s="3"/>
      <c r="O4697" s="3"/>
    </row>
    <row r="4698" spans="1:15">
      <c r="A4698" s="3">
        <v>41222</v>
      </c>
      <c r="B4698" s="3">
        <v>41222</v>
      </c>
      <c r="C4698">
        <v>150.81</v>
      </c>
      <c r="D4698">
        <v>1.2714000000000001</v>
      </c>
      <c r="E4698">
        <v>109.4</v>
      </c>
      <c r="F4698">
        <v>344.55</v>
      </c>
      <c r="K4698" s="3"/>
      <c r="O4698" s="3"/>
    </row>
    <row r="4699" spans="1:15">
      <c r="A4699" s="3">
        <v>41223</v>
      </c>
      <c r="B4699" s="3">
        <v>41223</v>
      </c>
      <c r="C4699">
        <v>150.81</v>
      </c>
      <c r="D4699">
        <v>1.2714000000000001</v>
      </c>
      <c r="E4699">
        <v>109.4</v>
      </c>
      <c r="F4699">
        <v>344.55</v>
      </c>
      <c r="K4699" s="3"/>
      <c r="O4699" s="3"/>
    </row>
    <row r="4700" spans="1:15">
      <c r="A4700" s="3">
        <v>41224</v>
      </c>
      <c r="B4700" s="3">
        <v>41224</v>
      </c>
      <c r="C4700">
        <v>150.81</v>
      </c>
      <c r="D4700">
        <v>1.2714000000000001</v>
      </c>
      <c r="E4700">
        <v>109.4</v>
      </c>
      <c r="F4700">
        <v>344.55</v>
      </c>
      <c r="K4700" s="3"/>
      <c r="O4700" s="3"/>
    </row>
    <row r="4701" spans="1:15">
      <c r="A4701" s="3">
        <v>41225</v>
      </c>
      <c r="B4701" s="3">
        <v>41225</v>
      </c>
      <c r="C4701">
        <v>150.84</v>
      </c>
      <c r="D4701">
        <v>1.2709999999999999</v>
      </c>
      <c r="E4701">
        <v>109.07</v>
      </c>
      <c r="F4701">
        <v>346.8</v>
      </c>
      <c r="K4701" s="3"/>
      <c r="O4701" s="3"/>
    </row>
    <row r="4702" spans="1:15">
      <c r="A4702" s="3">
        <v>41226</v>
      </c>
      <c r="B4702" s="3">
        <v>41226</v>
      </c>
      <c r="C4702">
        <v>150.81</v>
      </c>
      <c r="D4702">
        <v>1.2704</v>
      </c>
      <c r="E4702">
        <v>108.26</v>
      </c>
      <c r="F4702">
        <v>347.1</v>
      </c>
      <c r="K4702" s="3"/>
      <c r="O4702" s="3"/>
    </row>
    <row r="4703" spans="1:15">
      <c r="A4703" s="3">
        <v>41227</v>
      </c>
      <c r="B4703" s="3">
        <v>41227</v>
      </c>
      <c r="C4703">
        <v>150.41999999999999</v>
      </c>
      <c r="D4703">
        <v>1.2736000000000001</v>
      </c>
      <c r="E4703">
        <v>109.61</v>
      </c>
      <c r="F4703">
        <v>345.35</v>
      </c>
      <c r="K4703" s="3"/>
      <c r="O4703" s="3"/>
    </row>
    <row r="4704" spans="1:15">
      <c r="A4704" s="3">
        <v>41228</v>
      </c>
      <c r="B4704" s="3">
        <v>41228</v>
      </c>
      <c r="C4704">
        <v>150.38</v>
      </c>
      <c r="D4704">
        <v>1.2781</v>
      </c>
      <c r="E4704">
        <v>110.98</v>
      </c>
      <c r="F4704">
        <v>346.25</v>
      </c>
      <c r="K4704" s="3"/>
      <c r="O4704" s="3"/>
    </row>
    <row r="4705" spans="1:15">
      <c r="A4705" s="3">
        <v>41229</v>
      </c>
      <c r="B4705" s="3">
        <v>41229</v>
      </c>
      <c r="C4705">
        <v>150.43</v>
      </c>
      <c r="D4705">
        <v>1.2743</v>
      </c>
      <c r="E4705">
        <v>108.95</v>
      </c>
      <c r="F4705">
        <v>345.15</v>
      </c>
      <c r="K4705" s="3"/>
      <c r="O4705" s="3"/>
    </row>
    <row r="4706" spans="1:15">
      <c r="A4706" s="3">
        <v>41230</v>
      </c>
      <c r="B4706" s="3">
        <v>41230</v>
      </c>
      <c r="C4706">
        <v>150.43</v>
      </c>
      <c r="D4706">
        <v>1.2743</v>
      </c>
      <c r="E4706">
        <v>108.95</v>
      </c>
      <c r="F4706">
        <v>345.15</v>
      </c>
      <c r="K4706" s="3"/>
      <c r="O4706" s="3"/>
    </row>
    <row r="4707" spans="1:15">
      <c r="A4707" s="3">
        <v>41231</v>
      </c>
      <c r="B4707" s="3">
        <v>41231</v>
      </c>
      <c r="C4707">
        <v>150.43</v>
      </c>
      <c r="D4707">
        <v>1.2743</v>
      </c>
      <c r="E4707">
        <v>108.95</v>
      </c>
      <c r="F4707">
        <v>345.15</v>
      </c>
      <c r="K4707" s="3"/>
      <c r="O4707" s="3"/>
    </row>
    <row r="4708" spans="1:15">
      <c r="A4708" s="3">
        <v>41232</v>
      </c>
      <c r="B4708" s="3">
        <v>41232</v>
      </c>
      <c r="C4708">
        <v>150.41999999999999</v>
      </c>
      <c r="D4708">
        <v>1.2814000000000001</v>
      </c>
      <c r="E4708">
        <v>111.7</v>
      </c>
      <c r="F4708">
        <v>352.75</v>
      </c>
      <c r="K4708" s="3"/>
      <c r="O4708" s="3"/>
    </row>
    <row r="4709" spans="1:15">
      <c r="A4709" s="3">
        <v>41233</v>
      </c>
      <c r="B4709" s="3">
        <v>41233</v>
      </c>
      <c r="C4709">
        <v>150.32</v>
      </c>
      <c r="D4709">
        <v>1.2817000000000001</v>
      </c>
      <c r="E4709">
        <v>109.83</v>
      </c>
      <c r="F4709">
        <v>351.65</v>
      </c>
      <c r="K4709" s="3"/>
      <c r="O4709" s="3"/>
    </row>
    <row r="4710" spans="1:15">
      <c r="A4710" s="3">
        <v>41234</v>
      </c>
      <c r="B4710" s="3">
        <v>41234</v>
      </c>
      <c r="C4710">
        <v>150.19999999999999</v>
      </c>
      <c r="D4710">
        <v>1.2828999999999999</v>
      </c>
      <c r="E4710">
        <v>110.86</v>
      </c>
      <c r="F4710">
        <v>349.6</v>
      </c>
      <c r="K4710" s="3"/>
      <c r="O4710" s="3"/>
    </row>
    <row r="4711" spans="1:15">
      <c r="A4711" s="3">
        <v>41235</v>
      </c>
      <c r="B4711" s="3">
        <v>41235</v>
      </c>
      <c r="C4711">
        <v>150.21</v>
      </c>
      <c r="D4711">
        <v>1.2884</v>
      </c>
      <c r="E4711">
        <v>110.55</v>
      </c>
      <c r="F4711">
        <v>349.6</v>
      </c>
      <c r="K4711" s="3"/>
      <c r="O4711" s="3"/>
    </row>
    <row r="4712" spans="1:15">
      <c r="A4712" s="3">
        <v>41236</v>
      </c>
      <c r="B4712" s="3">
        <v>41236</v>
      </c>
      <c r="C4712">
        <v>150.16999999999999</v>
      </c>
      <c r="D4712">
        <v>1.2976000000000001</v>
      </c>
      <c r="E4712">
        <v>111.38</v>
      </c>
      <c r="F4712">
        <v>352.8</v>
      </c>
      <c r="K4712" s="3"/>
      <c r="O4712" s="3"/>
    </row>
    <row r="4713" spans="1:15">
      <c r="A4713" s="3">
        <v>41237</v>
      </c>
      <c r="B4713" s="3">
        <v>41237</v>
      </c>
      <c r="C4713">
        <v>150.16999999999999</v>
      </c>
      <c r="D4713">
        <v>1.2976000000000001</v>
      </c>
      <c r="E4713">
        <v>111.38</v>
      </c>
      <c r="F4713">
        <v>352.8</v>
      </c>
      <c r="K4713" s="3"/>
      <c r="O4713" s="3"/>
    </row>
    <row r="4714" spans="1:15">
      <c r="A4714" s="3">
        <v>41238</v>
      </c>
      <c r="B4714" s="3">
        <v>41238</v>
      </c>
      <c r="C4714">
        <v>150.16999999999999</v>
      </c>
      <c r="D4714">
        <v>1.2976000000000001</v>
      </c>
      <c r="E4714">
        <v>111.38</v>
      </c>
      <c r="F4714">
        <v>352.8</v>
      </c>
      <c r="K4714" s="3"/>
      <c r="O4714" s="3"/>
    </row>
    <row r="4715" spans="1:15">
      <c r="A4715" s="3">
        <v>41239</v>
      </c>
      <c r="B4715" s="3">
        <v>41239</v>
      </c>
      <c r="C4715">
        <v>150.13</v>
      </c>
      <c r="D4715">
        <v>1.2971999999999999</v>
      </c>
      <c r="E4715">
        <v>110.92</v>
      </c>
      <c r="F4715">
        <v>353.65</v>
      </c>
      <c r="K4715" s="3"/>
      <c r="O4715" s="3"/>
    </row>
    <row r="4716" spans="1:15">
      <c r="A4716" s="3">
        <v>41240</v>
      </c>
      <c r="B4716" s="3">
        <v>41240</v>
      </c>
      <c r="C4716">
        <v>150.36000000000001</v>
      </c>
      <c r="D4716">
        <v>1.2943</v>
      </c>
      <c r="E4716">
        <v>109.87</v>
      </c>
      <c r="F4716">
        <v>353.65</v>
      </c>
      <c r="K4716" s="3"/>
      <c r="O4716" s="3"/>
    </row>
    <row r="4717" spans="1:15">
      <c r="A4717" s="3">
        <v>41241</v>
      </c>
      <c r="B4717" s="3">
        <v>41241</v>
      </c>
      <c r="C4717">
        <v>150.52000000000001</v>
      </c>
      <c r="D4717">
        <v>1.2952999999999999</v>
      </c>
      <c r="E4717">
        <v>109.51</v>
      </c>
      <c r="F4717">
        <v>352.45</v>
      </c>
      <c r="K4717" s="3"/>
      <c r="O4717" s="3"/>
    </row>
    <row r="4718" spans="1:15">
      <c r="A4718" s="3">
        <v>41242</v>
      </c>
      <c r="B4718" s="3">
        <v>41242</v>
      </c>
      <c r="C4718">
        <v>150.46</v>
      </c>
      <c r="D4718">
        <v>1.2979000000000001</v>
      </c>
      <c r="E4718">
        <v>110.76</v>
      </c>
      <c r="F4718">
        <v>358.85</v>
      </c>
      <c r="K4718" s="3"/>
      <c r="O4718" s="3"/>
    </row>
    <row r="4719" spans="1:15">
      <c r="A4719" s="3">
        <v>41243</v>
      </c>
      <c r="B4719" s="3">
        <v>41243</v>
      </c>
      <c r="C4719">
        <v>150.46</v>
      </c>
      <c r="D4719">
        <v>1.2986</v>
      </c>
      <c r="E4719">
        <v>111.23</v>
      </c>
      <c r="F4719">
        <v>362.95</v>
      </c>
      <c r="K4719" s="3"/>
      <c r="O4719" s="3"/>
    </row>
    <row r="4720" spans="1:15">
      <c r="A4720" s="3">
        <v>41244</v>
      </c>
      <c r="B4720" s="3">
        <v>41244</v>
      </c>
      <c r="C4720">
        <v>150.46</v>
      </c>
      <c r="D4720">
        <v>1.2986</v>
      </c>
      <c r="E4720">
        <v>111.23</v>
      </c>
      <c r="F4720">
        <v>362.95</v>
      </c>
      <c r="K4720" s="3"/>
      <c r="O4720" s="3"/>
    </row>
    <row r="4721" spans="1:15">
      <c r="A4721" s="3">
        <v>41245</v>
      </c>
      <c r="B4721" s="3">
        <v>41245</v>
      </c>
      <c r="C4721">
        <v>150.46</v>
      </c>
      <c r="D4721">
        <v>1.2986</v>
      </c>
      <c r="E4721">
        <v>111.23</v>
      </c>
      <c r="F4721">
        <v>362.95</v>
      </c>
      <c r="K4721" s="3"/>
      <c r="O4721" s="3"/>
    </row>
    <row r="4722" spans="1:15">
      <c r="A4722" s="3">
        <v>41246</v>
      </c>
      <c r="B4722" s="3">
        <v>41246</v>
      </c>
      <c r="C4722">
        <v>150.46</v>
      </c>
      <c r="D4722">
        <v>1.3053999999999999</v>
      </c>
      <c r="E4722">
        <v>110.92</v>
      </c>
      <c r="F4722">
        <v>364</v>
      </c>
      <c r="K4722" s="3"/>
      <c r="O4722" s="3"/>
    </row>
    <row r="4723" spans="1:15">
      <c r="A4723" s="3">
        <v>41247</v>
      </c>
      <c r="B4723" s="3">
        <v>41247</v>
      </c>
      <c r="C4723">
        <v>150.63</v>
      </c>
      <c r="D4723">
        <v>1.3093999999999999</v>
      </c>
      <c r="E4723">
        <v>109.84</v>
      </c>
      <c r="F4723">
        <v>363.35</v>
      </c>
      <c r="K4723" s="3"/>
      <c r="O4723" s="3"/>
    </row>
    <row r="4724" spans="1:15">
      <c r="A4724" s="3">
        <v>41248</v>
      </c>
      <c r="B4724" s="3">
        <v>41248</v>
      </c>
      <c r="C4724">
        <v>150.43</v>
      </c>
      <c r="D4724">
        <v>1.3068</v>
      </c>
      <c r="E4724">
        <v>108.81</v>
      </c>
      <c r="F4724">
        <v>366.7</v>
      </c>
      <c r="K4724" s="3"/>
      <c r="O4724" s="3"/>
    </row>
    <row r="4725" spans="1:15">
      <c r="A4725" s="3">
        <v>41249</v>
      </c>
      <c r="B4725" s="3">
        <v>41249</v>
      </c>
      <c r="C4725">
        <v>150.24</v>
      </c>
      <c r="D4725">
        <v>1.2969999999999999</v>
      </c>
      <c r="E4725">
        <v>107.03</v>
      </c>
      <c r="F4725">
        <v>362.7</v>
      </c>
      <c r="K4725" s="3"/>
      <c r="O4725" s="3"/>
    </row>
    <row r="4726" spans="1:15">
      <c r="A4726" s="3">
        <v>41250</v>
      </c>
      <c r="B4726" s="3">
        <v>41250</v>
      </c>
      <c r="C4726">
        <v>150.31</v>
      </c>
      <c r="D4726">
        <v>1.2927</v>
      </c>
      <c r="E4726">
        <v>107.02</v>
      </c>
      <c r="F4726">
        <v>364.75</v>
      </c>
      <c r="K4726" s="3"/>
      <c r="O4726" s="3"/>
    </row>
    <row r="4727" spans="1:15">
      <c r="A4727" s="3">
        <v>41251</v>
      </c>
      <c r="B4727" s="3">
        <v>41251</v>
      </c>
      <c r="C4727">
        <v>150.31</v>
      </c>
      <c r="D4727">
        <v>1.2927</v>
      </c>
      <c r="E4727">
        <v>107.02</v>
      </c>
      <c r="F4727">
        <v>364.75</v>
      </c>
      <c r="K4727" s="3"/>
      <c r="O4727" s="3"/>
    </row>
    <row r="4728" spans="1:15">
      <c r="A4728" s="3">
        <v>41252</v>
      </c>
      <c r="B4728" s="3">
        <v>41252</v>
      </c>
      <c r="C4728">
        <v>150.31</v>
      </c>
      <c r="D4728">
        <v>1.2927</v>
      </c>
      <c r="E4728">
        <v>107.02</v>
      </c>
      <c r="F4728">
        <v>364.75</v>
      </c>
      <c r="K4728" s="3"/>
      <c r="O4728" s="3"/>
    </row>
    <row r="4729" spans="1:15">
      <c r="A4729" s="3">
        <v>41253</v>
      </c>
      <c r="B4729" s="3">
        <v>41253</v>
      </c>
      <c r="C4729">
        <v>150.30000000000001</v>
      </c>
      <c r="D4729">
        <v>1.2941</v>
      </c>
      <c r="E4729">
        <v>107.33</v>
      </c>
      <c r="F4729">
        <v>369.05</v>
      </c>
      <c r="K4729" s="3"/>
      <c r="O4729" s="3"/>
    </row>
    <row r="4730" spans="1:15">
      <c r="A4730" s="3">
        <v>41254</v>
      </c>
      <c r="B4730" s="3">
        <v>41254</v>
      </c>
      <c r="C4730">
        <v>150.38999999999999</v>
      </c>
      <c r="D4730">
        <v>1.3005</v>
      </c>
      <c r="E4730">
        <v>108.01</v>
      </c>
      <c r="F4730">
        <v>367.1</v>
      </c>
      <c r="K4730" s="3"/>
      <c r="O4730" s="3"/>
    </row>
    <row r="4731" spans="1:15">
      <c r="A4731" s="3">
        <v>41255</v>
      </c>
      <c r="B4731" s="3">
        <v>41255</v>
      </c>
      <c r="C4731">
        <v>150.59</v>
      </c>
      <c r="D4731">
        <v>1.3073999999999999</v>
      </c>
      <c r="E4731">
        <v>109.5</v>
      </c>
      <c r="F4731">
        <v>370</v>
      </c>
      <c r="K4731" s="3"/>
      <c r="O4731" s="3"/>
    </row>
    <row r="4732" spans="1:15">
      <c r="A4732" s="3">
        <v>41256</v>
      </c>
      <c r="B4732" s="3">
        <v>41256</v>
      </c>
      <c r="C4732">
        <v>150.6</v>
      </c>
      <c r="D4732">
        <v>1.3077000000000001</v>
      </c>
      <c r="E4732">
        <v>107.91</v>
      </c>
      <c r="F4732">
        <v>364.45</v>
      </c>
      <c r="K4732" s="3"/>
      <c r="O4732" s="3"/>
    </row>
    <row r="4733" spans="1:15">
      <c r="A4733" s="3">
        <v>41257</v>
      </c>
      <c r="B4733" s="3">
        <v>41257</v>
      </c>
      <c r="C4733">
        <v>150.76</v>
      </c>
      <c r="D4733">
        <v>1.3163</v>
      </c>
      <c r="E4733">
        <v>109.15</v>
      </c>
      <c r="F4733">
        <v>366.5</v>
      </c>
      <c r="K4733" s="3"/>
      <c r="O4733" s="3"/>
    </row>
    <row r="4734" spans="1:15">
      <c r="A4734" s="3">
        <v>41258</v>
      </c>
      <c r="B4734" s="3">
        <v>41258</v>
      </c>
      <c r="C4734">
        <v>150.76</v>
      </c>
      <c r="D4734">
        <v>1.3163</v>
      </c>
      <c r="E4734">
        <v>109.15</v>
      </c>
      <c r="F4734">
        <v>366.5</v>
      </c>
      <c r="K4734" s="3"/>
      <c r="O4734" s="3"/>
    </row>
    <row r="4735" spans="1:15">
      <c r="A4735" s="3">
        <v>41259</v>
      </c>
      <c r="B4735" s="3">
        <v>41259</v>
      </c>
      <c r="C4735">
        <v>150.76</v>
      </c>
      <c r="D4735">
        <v>1.3163</v>
      </c>
      <c r="E4735">
        <v>109.15</v>
      </c>
      <c r="F4735">
        <v>366.5</v>
      </c>
      <c r="K4735" s="3"/>
      <c r="O4735" s="3"/>
    </row>
    <row r="4736" spans="1:15">
      <c r="A4736" s="3">
        <v>41260</v>
      </c>
      <c r="B4736" s="3">
        <v>41260</v>
      </c>
      <c r="C4736">
        <v>150.76</v>
      </c>
      <c r="D4736">
        <v>1.3164</v>
      </c>
      <c r="E4736">
        <v>107.64</v>
      </c>
      <c r="F4736">
        <v>364.9</v>
      </c>
      <c r="K4736" s="3"/>
      <c r="O4736" s="3"/>
    </row>
    <row r="4737" spans="1:15">
      <c r="A4737" s="3">
        <v>41261</v>
      </c>
      <c r="B4737" s="3">
        <v>41261</v>
      </c>
      <c r="C4737">
        <v>150.76</v>
      </c>
      <c r="D4737">
        <v>1.3229</v>
      </c>
      <c r="E4737">
        <v>108.84</v>
      </c>
      <c r="F4737">
        <v>363.65</v>
      </c>
      <c r="K4737" s="3"/>
      <c r="O4737" s="3"/>
    </row>
    <row r="4738" spans="1:15">
      <c r="A4738" s="3">
        <v>41262</v>
      </c>
      <c r="B4738" s="3">
        <v>41262</v>
      </c>
      <c r="C4738">
        <v>150.63999999999999</v>
      </c>
      <c r="D4738">
        <v>1.3227</v>
      </c>
      <c r="E4738">
        <v>110.36</v>
      </c>
      <c r="F4738">
        <v>359.5</v>
      </c>
      <c r="K4738" s="3"/>
      <c r="O4738" s="3"/>
    </row>
    <row r="4739" spans="1:15">
      <c r="A4739" s="3">
        <v>41263</v>
      </c>
      <c r="B4739" s="3">
        <v>41263</v>
      </c>
      <c r="C4739">
        <v>150.44999999999999</v>
      </c>
      <c r="D4739">
        <v>1.3244</v>
      </c>
      <c r="E4739">
        <v>110.2</v>
      </c>
      <c r="F4739">
        <v>352.5</v>
      </c>
      <c r="K4739" s="3"/>
      <c r="O4739" s="3"/>
    </row>
    <row r="4740" spans="1:15">
      <c r="A4740" s="3">
        <v>41264</v>
      </c>
      <c r="B4740" s="3">
        <v>41264</v>
      </c>
      <c r="C4740">
        <v>150.35</v>
      </c>
      <c r="D4740">
        <v>1.3188</v>
      </c>
      <c r="E4740">
        <v>108.97</v>
      </c>
      <c r="F4740">
        <v>355.55</v>
      </c>
      <c r="K4740" s="3"/>
      <c r="O4740" s="3"/>
    </row>
    <row r="4741" spans="1:15">
      <c r="A4741" s="3">
        <v>41265</v>
      </c>
      <c r="B4741" s="3">
        <v>41265</v>
      </c>
      <c r="C4741">
        <v>150.35</v>
      </c>
      <c r="D4741">
        <v>1.3188</v>
      </c>
      <c r="E4741">
        <v>108.97</v>
      </c>
      <c r="F4741">
        <v>355.55</v>
      </c>
      <c r="K4741" s="3"/>
      <c r="O4741" s="3"/>
    </row>
    <row r="4742" spans="1:15">
      <c r="A4742" s="3">
        <v>41266</v>
      </c>
      <c r="B4742" s="3">
        <v>41266</v>
      </c>
      <c r="C4742">
        <v>150.35</v>
      </c>
      <c r="D4742">
        <v>1.3188</v>
      </c>
      <c r="E4742">
        <v>108.97</v>
      </c>
      <c r="F4742">
        <v>355.55</v>
      </c>
      <c r="K4742" s="3"/>
      <c r="O4742" s="3"/>
    </row>
    <row r="4743" spans="1:15">
      <c r="A4743" s="3">
        <v>41267</v>
      </c>
      <c r="B4743" s="3">
        <v>41267</v>
      </c>
      <c r="C4743">
        <v>150.54</v>
      </c>
      <c r="D4743">
        <v>1.3185</v>
      </c>
      <c r="E4743">
        <v>108.8</v>
      </c>
      <c r="F4743">
        <v>353.4</v>
      </c>
      <c r="K4743" s="3"/>
      <c r="O4743" s="3"/>
    </row>
    <row r="4744" spans="1:15">
      <c r="A4744" s="3">
        <v>41268</v>
      </c>
      <c r="B4744" s="3">
        <v>41268</v>
      </c>
      <c r="C4744">
        <v>150.47999999999999</v>
      </c>
      <c r="D4744">
        <v>1.3183</v>
      </c>
      <c r="E4744">
        <v>108.8</v>
      </c>
      <c r="F4744">
        <v>353.4</v>
      </c>
      <c r="K4744" s="3"/>
      <c r="O4744" s="3"/>
    </row>
    <row r="4745" spans="1:15">
      <c r="A4745" s="3">
        <v>41269</v>
      </c>
      <c r="B4745" s="3">
        <v>41269</v>
      </c>
      <c r="C4745">
        <v>150.38999999999999</v>
      </c>
      <c r="D4745">
        <v>1.3224</v>
      </c>
      <c r="E4745">
        <v>111.07</v>
      </c>
      <c r="F4745">
        <v>358.3</v>
      </c>
      <c r="K4745" s="3"/>
      <c r="O4745" s="3"/>
    </row>
    <row r="4746" spans="1:15">
      <c r="A4746" s="3">
        <v>41270</v>
      </c>
      <c r="B4746" s="3">
        <v>41270</v>
      </c>
      <c r="C4746">
        <v>150.44999999999999</v>
      </c>
      <c r="D4746">
        <v>1.3236000000000001</v>
      </c>
      <c r="E4746">
        <v>110.8</v>
      </c>
      <c r="F4746">
        <v>359</v>
      </c>
      <c r="K4746" s="3"/>
      <c r="O4746" s="3"/>
    </row>
    <row r="4747" spans="1:15">
      <c r="A4747" s="3">
        <v>41271</v>
      </c>
      <c r="B4747" s="3">
        <v>41271</v>
      </c>
      <c r="C4747">
        <v>150.41</v>
      </c>
      <c r="D4747">
        <v>1.3216000000000001</v>
      </c>
      <c r="E4747">
        <v>110.62</v>
      </c>
      <c r="F4747">
        <v>358.95</v>
      </c>
      <c r="K4747" s="3"/>
      <c r="O4747" s="3"/>
    </row>
    <row r="4748" spans="1:15">
      <c r="A4748" s="3">
        <v>41272</v>
      </c>
      <c r="B4748" s="3">
        <v>41272</v>
      </c>
      <c r="C4748">
        <v>150.41</v>
      </c>
      <c r="D4748">
        <v>1.3216000000000001</v>
      </c>
      <c r="E4748">
        <v>110.62</v>
      </c>
      <c r="F4748">
        <v>358.95</v>
      </c>
      <c r="K4748" s="3"/>
      <c r="O4748" s="3"/>
    </row>
    <row r="4749" spans="1:15">
      <c r="A4749" s="3">
        <v>41273</v>
      </c>
      <c r="B4749" s="3">
        <v>41273</v>
      </c>
      <c r="C4749">
        <v>150.41</v>
      </c>
      <c r="D4749">
        <v>1.3216000000000001</v>
      </c>
      <c r="E4749">
        <v>110.62</v>
      </c>
      <c r="F4749">
        <v>358.95</v>
      </c>
      <c r="K4749" s="3"/>
      <c r="O4749" s="3"/>
    </row>
    <row r="4750" spans="1:15">
      <c r="A4750" s="3">
        <v>41274</v>
      </c>
      <c r="B4750" s="3">
        <v>41274</v>
      </c>
      <c r="C4750">
        <v>150.44</v>
      </c>
      <c r="D4750">
        <v>1.3192999999999999</v>
      </c>
      <c r="E4750">
        <v>111.11</v>
      </c>
      <c r="F4750">
        <v>365.25</v>
      </c>
      <c r="K4750" s="3"/>
      <c r="O4750" s="3"/>
    </row>
    <row r="4751" spans="1:15">
      <c r="A4751" s="3">
        <v>41275</v>
      </c>
      <c r="B4751" s="3">
        <v>41275</v>
      </c>
      <c r="C4751">
        <v>150.44</v>
      </c>
      <c r="D4751">
        <v>1.3204</v>
      </c>
      <c r="E4751">
        <v>111.11</v>
      </c>
      <c r="F4751">
        <v>365.25</v>
      </c>
      <c r="K4751" s="3"/>
      <c r="O4751" s="3"/>
    </row>
    <row r="4752" spans="1:15">
      <c r="A4752" s="3">
        <v>41276</v>
      </c>
      <c r="B4752" s="3">
        <v>41276</v>
      </c>
      <c r="C4752">
        <v>150.44999999999999</v>
      </c>
      <c r="D4752">
        <v>1.3186</v>
      </c>
      <c r="E4752">
        <v>112.47</v>
      </c>
      <c r="F4752">
        <v>373.6</v>
      </c>
      <c r="K4752" s="3"/>
      <c r="O4752" s="3"/>
    </row>
    <row r="4753" spans="1:15">
      <c r="A4753" s="3">
        <v>41277</v>
      </c>
      <c r="B4753" s="3">
        <v>41277</v>
      </c>
      <c r="C4753">
        <v>150.68</v>
      </c>
      <c r="D4753">
        <v>1.3048999999999999</v>
      </c>
      <c r="E4753">
        <v>112.14</v>
      </c>
      <c r="F4753">
        <v>371.7</v>
      </c>
      <c r="K4753" s="3"/>
      <c r="O4753" s="3"/>
    </row>
    <row r="4754" spans="1:15">
      <c r="A4754" s="3">
        <v>41278</v>
      </c>
      <c r="B4754" s="3">
        <v>41278</v>
      </c>
      <c r="C4754">
        <v>150.81</v>
      </c>
      <c r="D4754">
        <v>1.3069</v>
      </c>
      <c r="E4754">
        <v>111.31</v>
      </c>
      <c r="F4754">
        <v>369.35</v>
      </c>
      <c r="K4754" s="3"/>
      <c r="O4754" s="3"/>
    </row>
    <row r="4755" spans="1:15">
      <c r="A4755" s="3">
        <v>41279</v>
      </c>
      <c r="B4755" s="3">
        <v>41279</v>
      </c>
      <c r="C4755">
        <v>150.81</v>
      </c>
      <c r="D4755">
        <v>1.3069</v>
      </c>
      <c r="E4755">
        <v>111.31</v>
      </c>
      <c r="F4755">
        <v>369.35</v>
      </c>
      <c r="K4755" s="3"/>
      <c r="O4755" s="3"/>
    </row>
    <row r="4756" spans="1:15">
      <c r="A4756" s="3">
        <v>41280</v>
      </c>
      <c r="B4756" s="3">
        <v>41280</v>
      </c>
      <c r="C4756">
        <v>150.81</v>
      </c>
      <c r="D4756">
        <v>1.3069</v>
      </c>
      <c r="E4756">
        <v>111.31</v>
      </c>
      <c r="F4756">
        <v>369.35</v>
      </c>
      <c r="K4756" s="3"/>
      <c r="O4756" s="3"/>
    </row>
    <row r="4757" spans="1:15">
      <c r="A4757" s="3">
        <v>41281</v>
      </c>
      <c r="B4757" s="3">
        <v>41281</v>
      </c>
      <c r="C4757">
        <v>150.81</v>
      </c>
      <c r="D4757">
        <v>1.3117000000000001</v>
      </c>
      <c r="E4757">
        <v>111.4</v>
      </c>
      <c r="F4757">
        <v>367.8</v>
      </c>
      <c r="K4757" s="3"/>
      <c r="O4757" s="3"/>
    </row>
    <row r="4758" spans="1:15">
      <c r="A4758" s="3">
        <v>41282</v>
      </c>
      <c r="B4758" s="3">
        <v>41282</v>
      </c>
      <c r="C4758">
        <v>150.63999999999999</v>
      </c>
      <c r="D4758">
        <v>1.3081</v>
      </c>
      <c r="E4758">
        <v>111.94</v>
      </c>
      <c r="F4758">
        <v>367.2</v>
      </c>
      <c r="K4758" s="3"/>
      <c r="O4758" s="3"/>
    </row>
    <row r="4759" spans="1:15">
      <c r="A4759" s="3">
        <v>41283</v>
      </c>
      <c r="B4759" s="3">
        <v>41283</v>
      </c>
      <c r="C4759">
        <v>150.85</v>
      </c>
      <c r="D4759">
        <v>1.3064</v>
      </c>
      <c r="E4759">
        <v>111.76</v>
      </c>
      <c r="F4759">
        <v>367.05</v>
      </c>
      <c r="K4759" s="3"/>
      <c r="O4759" s="3"/>
    </row>
    <row r="4760" spans="1:15">
      <c r="A4760" s="3">
        <v>41284</v>
      </c>
      <c r="B4760" s="3">
        <v>41284</v>
      </c>
      <c r="C4760">
        <v>151</v>
      </c>
      <c r="D4760">
        <v>1.3271999999999999</v>
      </c>
      <c r="E4760">
        <v>111.89</v>
      </c>
      <c r="F4760">
        <v>370.9</v>
      </c>
      <c r="K4760" s="3"/>
      <c r="O4760" s="3"/>
    </row>
    <row r="4761" spans="1:15">
      <c r="A4761" s="3">
        <v>41285</v>
      </c>
      <c r="B4761" s="3">
        <v>41285</v>
      </c>
      <c r="C4761">
        <v>150.97999999999999</v>
      </c>
      <c r="D4761">
        <v>1.3343</v>
      </c>
      <c r="E4761">
        <v>110.64</v>
      </c>
      <c r="F4761">
        <v>365.4</v>
      </c>
      <c r="K4761" s="3"/>
      <c r="O4761" s="3"/>
    </row>
    <row r="4762" spans="1:15">
      <c r="A4762" s="3">
        <v>41286</v>
      </c>
      <c r="B4762" s="3">
        <v>41286</v>
      </c>
      <c r="C4762">
        <v>150.97999999999999</v>
      </c>
      <c r="D4762">
        <v>1.3343</v>
      </c>
      <c r="E4762">
        <v>110.64</v>
      </c>
      <c r="F4762">
        <v>365.4</v>
      </c>
      <c r="K4762" s="3"/>
      <c r="O4762" s="3"/>
    </row>
    <row r="4763" spans="1:15">
      <c r="A4763" s="3">
        <v>41287</v>
      </c>
      <c r="B4763" s="3">
        <v>41287</v>
      </c>
      <c r="C4763">
        <v>150.97999999999999</v>
      </c>
      <c r="D4763">
        <v>1.3343</v>
      </c>
      <c r="E4763">
        <v>110.64</v>
      </c>
      <c r="F4763">
        <v>365.4</v>
      </c>
      <c r="K4763" s="3"/>
      <c r="O4763" s="3"/>
    </row>
    <row r="4764" spans="1:15">
      <c r="A4764" s="3">
        <v>41288</v>
      </c>
      <c r="B4764" s="3">
        <v>41288</v>
      </c>
      <c r="C4764">
        <v>150.99</v>
      </c>
      <c r="D4764">
        <v>1.3382000000000001</v>
      </c>
      <c r="E4764">
        <v>111.88</v>
      </c>
      <c r="F4764">
        <v>363.4</v>
      </c>
      <c r="K4764" s="3"/>
      <c r="O4764" s="3"/>
    </row>
    <row r="4765" spans="1:15">
      <c r="A4765" s="3">
        <v>41289</v>
      </c>
      <c r="B4765" s="3">
        <v>41289</v>
      </c>
      <c r="C4765">
        <v>150.85</v>
      </c>
      <c r="D4765">
        <v>1.3306</v>
      </c>
      <c r="E4765">
        <v>110.3</v>
      </c>
      <c r="F4765">
        <v>363.75</v>
      </c>
      <c r="K4765" s="3"/>
      <c r="O4765" s="3"/>
    </row>
    <row r="4766" spans="1:15">
      <c r="A4766" s="3">
        <v>41290</v>
      </c>
      <c r="B4766" s="3">
        <v>41290</v>
      </c>
      <c r="C4766">
        <v>150.88999999999999</v>
      </c>
      <c r="D4766">
        <v>1.3289</v>
      </c>
      <c r="E4766">
        <v>110.61</v>
      </c>
      <c r="F4766">
        <v>360.65</v>
      </c>
      <c r="K4766" s="3"/>
      <c r="O4766" s="3"/>
    </row>
    <row r="4767" spans="1:15">
      <c r="A4767" s="3">
        <v>41291</v>
      </c>
      <c r="B4767" s="3">
        <v>41291</v>
      </c>
      <c r="C4767">
        <v>150.84</v>
      </c>
      <c r="D4767">
        <v>1.3375999999999999</v>
      </c>
      <c r="E4767">
        <v>111.1</v>
      </c>
      <c r="F4767">
        <v>366.2</v>
      </c>
      <c r="K4767" s="3"/>
      <c r="O4767" s="3"/>
    </row>
    <row r="4768" spans="1:15">
      <c r="A4768" s="3">
        <v>41292</v>
      </c>
      <c r="B4768" s="3">
        <v>41292</v>
      </c>
      <c r="C4768">
        <v>150.74</v>
      </c>
      <c r="D4768">
        <v>1.3321000000000001</v>
      </c>
      <c r="E4768">
        <v>111.89</v>
      </c>
      <c r="F4768">
        <v>367.9</v>
      </c>
      <c r="K4768" s="3"/>
      <c r="O4768" s="3"/>
    </row>
    <row r="4769" spans="1:15">
      <c r="A4769" s="3">
        <v>41293</v>
      </c>
      <c r="B4769" s="3">
        <v>41293</v>
      </c>
      <c r="C4769">
        <v>150.74</v>
      </c>
      <c r="D4769">
        <v>1.3321000000000001</v>
      </c>
      <c r="E4769">
        <v>111.89</v>
      </c>
      <c r="F4769">
        <v>367.9</v>
      </c>
      <c r="K4769" s="3"/>
      <c r="O4769" s="3"/>
    </row>
    <row r="4770" spans="1:15">
      <c r="A4770" s="3">
        <v>41294</v>
      </c>
      <c r="B4770" s="3">
        <v>41294</v>
      </c>
      <c r="C4770">
        <v>150.74</v>
      </c>
      <c r="D4770">
        <v>1.3321000000000001</v>
      </c>
      <c r="E4770">
        <v>111.89</v>
      </c>
      <c r="F4770">
        <v>367.9</v>
      </c>
      <c r="K4770" s="3"/>
      <c r="O4770" s="3"/>
    </row>
    <row r="4771" spans="1:15">
      <c r="A4771" s="3">
        <v>41295</v>
      </c>
      <c r="B4771" s="3">
        <v>41295</v>
      </c>
      <c r="C4771">
        <v>150.80000000000001</v>
      </c>
      <c r="D4771">
        <v>1.3312999999999999</v>
      </c>
      <c r="E4771">
        <v>111.71</v>
      </c>
      <c r="F4771">
        <v>367.9</v>
      </c>
      <c r="K4771" s="3"/>
      <c r="O4771" s="3"/>
    </row>
    <row r="4772" spans="1:15">
      <c r="A4772" s="3">
        <v>41296</v>
      </c>
      <c r="B4772" s="3">
        <v>41296</v>
      </c>
      <c r="C4772">
        <v>150.83000000000001</v>
      </c>
      <c r="D4772">
        <v>1.3322000000000001</v>
      </c>
      <c r="E4772">
        <v>112.42</v>
      </c>
      <c r="F4772">
        <v>370.5</v>
      </c>
      <c r="K4772" s="3"/>
      <c r="O4772" s="3"/>
    </row>
    <row r="4773" spans="1:15">
      <c r="A4773" s="3">
        <v>41297</v>
      </c>
      <c r="B4773" s="3">
        <v>41297</v>
      </c>
      <c r="C4773">
        <v>150.85</v>
      </c>
      <c r="D4773">
        <v>1.3318000000000001</v>
      </c>
      <c r="E4773">
        <v>112.8</v>
      </c>
      <c r="F4773">
        <v>368.45</v>
      </c>
      <c r="K4773" s="3"/>
      <c r="O4773" s="3"/>
    </row>
    <row r="4774" spans="1:15">
      <c r="A4774" s="3">
        <v>41298</v>
      </c>
      <c r="B4774" s="3">
        <v>41298</v>
      </c>
      <c r="C4774">
        <v>150.74</v>
      </c>
      <c r="D4774">
        <v>1.3376999999999999</v>
      </c>
      <c r="E4774">
        <v>113.28</v>
      </c>
      <c r="F4774">
        <v>367.65</v>
      </c>
      <c r="K4774" s="3"/>
      <c r="O4774" s="3"/>
    </row>
    <row r="4775" spans="1:15">
      <c r="A4775" s="3">
        <v>41299</v>
      </c>
      <c r="B4775" s="3">
        <v>41299</v>
      </c>
      <c r="C4775">
        <v>150.69999999999999</v>
      </c>
      <c r="D4775">
        <v>1.3464</v>
      </c>
      <c r="E4775">
        <v>113.28</v>
      </c>
      <c r="F4775">
        <v>365.2</v>
      </c>
      <c r="K4775" s="3"/>
      <c r="O4775" s="3"/>
    </row>
    <row r="4776" spans="1:15">
      <c r="A4776" s="3">
        <v>41300</v>
      </c>
      <c r="B4776" s="3">
        <v>41300</v>
      </c>
      <c r="C4776">
        <v>150.69999999999999</v>
      </c>
      <c r="D4776">
        <v>1.3464</v>
      </c>
      <c r="E4776">
        <v>113.28</v>
      </c>
      <c r="F4776">
        <v>365.2</v>
      </c>
      <c r="K4776" s="3"/>
      <c r="O4776" s="3"/>
    </row>
    <row r="4777" spans="1:15">
      <c r="A4777" s="3">
        <v>41301</v>
      </c>
      <c r="B4777" s="3">
        <v>41301</v>
      </c>
      <c r="C4777">
        <v>150.69999999999999</v>
      </c>
      <c r="D4777">
        <v>1.3464</v>
      </c>
      <c r="E4777">
        <v>113.28</v>
      </c>
      <c r="F4777">
        <v>365.2</v>
      </c>
      <c r="K4777" s="3"/>
      <c r="O4777" s="3"/>
    </row>
    <row r="4778" spans="1:15">
      <c r="A4778" s="3">
        <v>41302</v>
      </c>
      <c r="B4778" s="3">
        <v>41302</v>
      </c>
      <c r="C4778">
        <v>150.65</v>
      </c>
      <c r="D4778">
        <v>1.3455999999999999</v>
      </c>
      <c r="E4778">
        <v>113.48</v>
      </c>
      <c r="F4778">
        <v>366.15</v>
      </c>
      <c r="K4778" s="3"/>
      <c r="O4778" s="3"/>
    </row>
    <row r="4779" spans="1:15">
      <c r="A4779" s="3">
        <v>41303</v>
      </c>
      <c r="B4779" s="3">
        <v>41303</v>
      </c>
      <c r="C4779">
        <v>150.86000000000001</v>
      </c>
      <c r="D4779">
        <v>1.3492</v>
      </c>
      <c r="E4779">
        <v>114.36</v>
      </c>
      <c r="F4779">
        <v>369.15</v>
      </c>
      <c r="K4779" s="3"/>
      <c r="O4779" s="3"/>
    </row>
    <row r="4780" spans="1:15">
      <c r="A4780" s="3">
        <v>41304</v>
      </c>
      <c r="B4780" s="3">
        <v>41304</v>
      </c>
      <c r="C4780">
        <v>150.88</v>
      </c>
      <c r="D4780">
        <v>1.3567</v>
      </c>
      <c r="E4780">
        <v>114.9</v>
      </c>
      <c r="F4780">
        <v>375</v>
      </c>
      <c r="K4780" s="3"/>
      <c r="O4780" s="3"/>
    </row>
    <row r="4781" spans="1:15">
      <c r="A4781" s="3">
        <v>41305</v>
      </c>
      <c r="B4781" s="3">
        <v>41305</v>
      </c>
      <c r="C4781">
        <v>150.88999999999999</v>
      </c>
      <c r="D4781">
        <v>1.3579000000000001</v>
      </c>
      <c r="E4781">
        <v>115.55</v>
      </c>
      <c r="F4781">
        <v>373.2</v>
      </c>
      <c r="K4781" s="3"/>
      <c r="O4781" s="3"/>
    </row>
    <row r="4782" spans="1:15">
      <c r="A4782" s="3">
        <v>41306</v>
      </c>
      <c r="B4782" s="3">
        <v>41306</v>
      </c>
      <c r="C4782">
        <v>150.91</v>
      </c>
      <c r="D4782">
        <v>1.3640000000000001</v>
      </c>
      <c r="E4782">
        <v>116.76</v>
      </c>
      <c r="F4782">
        <v>378.45</v>
      </c>
      <c r="K4782" s="3"/>
      <c r="O4782" s="3"/>
    </row>
    <row r="4783" spans="1:15">
      <c r="A4783" s="3">
        <v>41307</v>
      </c>
      <c r="B4783" s="3">
        <v>41307</v>
      </c>
      <c r="C4783">
        <v>150.91</v>
      </c>
      <c r="D4783">
        <v>1.3640000000000001</v>
      </c>
      <c r="E4783">
        <v>116.76</v>
      </c>
      <c r="F4783">
        <v>378.45</v>
      </c>
      <c r="K4783" s="3"/>
      <c r="O4783" s="3"/>
    </row>
    <row r="4784" spans="1:15">
      <c r="A4784" s="3">
        <v>41308</v>
      </c>
      <c r="B4784" s="3">
        <v>41308</v>
      </c>
      <c r="C4784">
        <v>150.91</v>
      </c>
      <c r="D4784">
        <v>1.3640000000000001</v>
      </c>
      <c r="E4784">
        <v>116.76</v>
      </c>
      <c r="F4784">
        <v>378.45</v>
      </c>
      <c r="K4784" s="3"/>
      <c r="O4784" s="3"/>
    </row>
    <row r="4785" spans="1:15">
      <c r="A4785" s="3">
        <v>41309</v>
      </c>
      <c r="B4785" s="3">
        <v>41309</v>
      </c>
      <c r="C4785">
        <v>150.66999999999999</v>
      </c>
      <c r="D4785">
        <v>1.3513999999999999</v>
      </c>
      <c r="E4785">
        <v>115.6</v>
      </c>
      <c r="F4785">
        <v>376.85</v>
      </c>
      <c r="K4785" s="3"/>
      <c r="O4785" s="3"/>
    </row>
    <row r="4786" spans="1:15">
      <c r="A4786" s="3">
        <v>41310</v>
      </c>
      <c r="B4786" s="3">
        <v>41310</v>
      </c>
      <c r="C4786">
        <v>150.6</v>
      </c>
      <c r="D4786">
        <v>1.3583000000000001</v>
      </c>
      <c r="E4786">
        <v>116.52</v>
      </c>
      <c r="F4786">
        <v>377</v>
      </c>
      <c r="K4786" s="3"/>
      <c r="O4786" s="3"/>
    </row>
    <row r="4787" spans="1:15">
      <c r="A4787" s="3">
        <v>41311</v>
      </c>
      <c r="B4787" s="3">
        <v>41311</v>
      </c>
      <c r="C4787">
        <v>150.5</v>
      </c>
      <c r="D4787">
        <v>1.3523000000000001</v>
      </c>
      <c r="E4787">
        <v>116.73</v>
      </c>
      <c r="F4787">
        <v>374.05</v>
      </c>
      <c r="K4787" s="3"/>
      <c r="O4787" s="3"/>
    </row>
    <row r="4788" spans="1:15">
      <c r="A4788" s="3">
        <v>41312</v>
      </c>
      <c r="B4788" s="3">
        <v>41312</v>
      </c>
      <c r="C4788">
        <v>150.51</v>
      </c>
      <c r="D4788">
        <v>1.3398000000000001</v>
      </c>
      <c r="E4788">
        <v>117.24</v>
      </c>
      <c r="F4788">
        <v>372.7</v>
      </c>
      <c r="K4788" s="3"/>
      <c r="O4788" s="3"/>
    </row>
    <row r="4789" spans="1:15">
      <c r="A4789" s="3">
        <v>41313</v>
      </c>
      <c r="B4789" s="3">
        <v>41313</v>
      </c>
      <c r="C4789">
        <v>150.55000000000001</v>
      </c>
      <c r="D4789">
        <v>1.3365</v>
      </c>
      <c r="E4789">
        <v>118.9</v>
      </c>
      <c r="F4789">
        <v>375.95</v>
      </c>
      <c r="K4789" s="3"/>
      <c r="O4789" s="3"/>
    </row>
    <row r="4790" spans="1:15">
      <c r="A4790" s="3">
        <v>41314</v>
      </c>
      <c r="B4790" s="3">
        <v>41314</v>
      </c>
      <c r="C4790">
        <v>150.55000000000001</v>
      </c>
      <c r="D4790">
        <v>1.3365</v>
      </c>
      <c r="E4790">
        <v>118.9</v>
      </c>
      <c r="F4790">
        <v>375.95</v>
      </c>
      <c r="K4790" s="3"/>
      <c r="O4790" s="3"/>
    </row>
    <row r="4791" spans="1:15">
      <c r="A4791" s="3">
        <v>41315</v>
      </c>
      <c r="B4791" s="3">
        <v>41315</v>
      </c>
      <c r="C4791">
        <v>150.55000000000001</v>
      </c>
      <c r="D4791">
        <v>1.3365</v>
      </c>
      <c r="E4791">
        <v>118.9</v>
      </c>
      <c r="F4791">
        <v>375.95</v>
      </c>
      <c r="K4791" s="3"/>
      <c r="O4791" s="3"/>
    </row>
    <row r="4792" spans="1:15">
      <c r="A4792" s="3">
        <v>41316</v>
      </c>
      <c r="B4792" s="3">
        <v>41316</v>
      </c>
      <c r="C4792">
        <v>150.62</v>
      </c>
      <c r="D4792">
        <v>1.3406</v>
      </c>
      <c r="E4792">
        <v>118.13</v>
      </c>
      <c r="F4792">
        <v>372.25</v>
      </c>
      <c r="K4792" s="3"/>
      <c r="O4792" s="3"/>
    </row>
    <row r="4793" spans="1:15">
      <c r="A4793" s="3">
        <v>41317</v>
      </c>
      <c r="B4793" s="3">
        <v>41317</v>
      </c>
      <c r="C4793">
        <v>150.44999999999999</v>
      </c>
      <c r="D4793">
        <v>1.3453999999999999</v>
      </c>
      <c r="E4793">
        <v>118.66</v>
      </c>
      <c r="F4793">
        <v>374.4</v>
      </c>
      <c r="K4793" s="3"/>
      <c r="O4793" s="3"/>
    </row>
    <row r="4794" spans="1:15">
      <c r="A4794" s="3">
        <v>41318</v>
      </c>
      <c r="B4794" s="3">
        <v>41318</v>
      </c>
      <c r="C4794">
        <v>150.49</v>
      </c>
      <c r="D4794">
        <v>1.3452</v>
      </c>
      <c r="E4794">
        <v>118.72</v>
      </c>
      <c r="F4794">
        <v>374.25</v>
      </c>
      <c r="K4794" s="3"/>
      <c r="O4794" s="3"/>
    </row>
    <row r="4795" spans="1:15">
      <c r="A4795" s="3">
        <v>41319</v>
      </c>
      <c r="B4795" s="3">
        <v>41319</v>
      </c>
      <c r="C4795">
        <v>150.53</v>
      </c>
      <c r="D4795">
        <v>1.3363</v>
      </c>
      <c r="E4795">
        <v>118</v>
      </c>
      <c r="F4795">
        <v>373.75</v>
      </c>
      <c r="K4795" s="3"/>
      <c r="O4795" s="3"/>
    </row>
    <row r="4796" spans="1:15">
      <c r="A4796" s="3">
        <v>41320</v>
      </c>
      <c r="B4796" s="3">
        <v>41320</v>
      </c>
      <c r="C4796">
        <v>150.5</v>
      </c>
      <c r="D4796">
        <v>1.3360000000000001</v>
      </c>
      <c r="E4796">
        <v>117.66</v>
      </c>
      <c r="F4796">
        <v>373.7</v>
      </c>
      <c r="K4796" s="3"/>
      <c r="O4796" s="3"/>
    </row>
    <row r="4797" spans="1:15">
      <c r="A4797" s="3">
        <v>41321</v>
      </c>
      <c r="B4797" s="3">
        <v>41321</v>
      </c>
      <c r="C4797">
        <v>150.5</v>
      </c>
      <c r="D4797">
        <v>1.3360000000000001</v>
      </c>
      <c r="E4797">
        <v>117.66</v>
      </c>
      <c r="F4797">
        <v>373.7</v>
      </c>
      <c r="K4797" s="3"/>
      <c r="O4797" s="3"/>
    </row>
    <row r="4798" spans="1:15">
      <c r="A4798" s="3">
        <v>41322</v>
      </c>
      <c r="B4798" s="3">
        <v>41322</v>
      </c>
      <c r="C4798">
        <v>150.5</v>
      </c>
      <c r="D4798">
        <v>1.3360000000000001</v>
      </c>
      <c r="E4798">
        <v>117.66</v>
      </c>
      <c r="F4798">
        <v>373.7</v>
      </c>
      <c r="K4798" s="3"/>
      <c r="O4798" s="3"/>
    </row>
    <row r="4799" spans="1:15">
      <c r="A4799" s="3">
        <v>41323</v>
      </c>
      <c r="B4799" s="3">
        <v>41323</v>
      </c>
      <c r="C4799">
        <v>150.6</v>
      </c>
      <c r="D4799">
        <v>1.3351</v>
      </c>
      <c r="E4799">
        <v>117.38</v>
      </c>
      <c r="F4799">
        <v>373.7</v>
      </c>
      <c r="K4799" s="3"/>
      <c r="O4799" s="3"/>
    </row>
    <row r="4800" spans="1:15">
      <c r="A4800" s="3">
        <v>41324</v>
      </c>
      <c r="B4800" s="3">
        <v>41324</v>
      </c>
      <c r="C4800">
        <v>150.53</v>
      </c>
      <c r="D4800">
        <v>1.3388</v>
      </c>
      <c r="E4800">
        <v>117.52</v>
      </c>
      <c r="F4800">
        <v>364.95</v>
      </c>
      <c r="K4800" s="3"/>
      <c r="O4800" s="3"/>
    </row>
    <row r="4801" spans="1:15">
      <c r="A4801" s="3">
        <v>41325</v>
      </c>
      <c r="B4801" s="3">
        <v>41325</v>
      </c>
      <c r="C4801">
        <v>150.44999999999999</v>
      </c>
      <c r="D4801">
        <v>1.3283</v>
      </c>
      <c r="E4801">
        <v>115.6</v>
      </c>
      <c r="F4801">
        <v>360.8</v>
      </c>
      <c r="K4801" s="3"/>
      <c r="O4801" s="3"/>
    </row>
    <row r="4802" spans="1:15">
      <c r="A4802" s="3">
        <v>41326</v>
      </c>
      <c r="B4802" s="3">
        <v>41326</v>
      </c>
      <c r="C4802">
        <v>150.28</v>
      </c>
      <c r="D4802">
        <v>1.319</v>
      </c>
      <c r="E4802">
        <v>113.53</v>
      </c>
      <c r="F4802">
        <v>355.3</v>
      </c>
      <c r="K4802" s="3"/>
      <c r="O4802" s="3"/>
    </row>
    <row r="4803" spans="1:15">
      <c r="A4803" s="3">
        <v>41327</v>
      </c>
      <c r="B4803" s="3">
        <v>41327</v>
      </c>
      <c r="C4803">
        <v>150.22999999999999</v>
      </c>
      <c r="D4803">
        <v>1.3193999999999999</v>
      </c>
      <c r="E4803">
        <v>114.1</v>
      </c>
      <c r="F4803">
        <v>353.3</v>
      </c>
      <c r="K4803" s="3"/>
      <c r="O4803" s="3"/>
    </row>
    <row r="4804" spans="1:15">
      <c r="A4804" s="3">
        <v>41328</v>
      </c>
      <c r="B4804" s="3">
        <v>41328</v>
      </c>
      <c r="C4804">
        <v>150.22999999999999</v>
      </c>
      <c r="D4804">
        <v>1.3193999999999999</v>
      </c>
      <c r="E4804">
        <v>114.1</v>
      </c>
      <c r="F4804">
        <v>353.3</v>
      </c>
      <c r="K4804" s="3"/>
      <c r="O4804" s="3"/>
    </row>
    <row r="4805" spans="1:15">
      <c r="A4805" s="3">
        <v>41329</v>
      </c>
      <c r="B4805" s="3">
        <v>41329</v>
      </c>
      <c r="C4805">
        <v>150.22999999999999</v>
      </c>
      <c r="D4805">
        <v>1.3193999999999999</v>
      </c>
      <c r="E4805">
        <v>114.1</v>
      </c>
      <c r="F4805">
        <v>353.3</v>
      </c>
      <c r="K4805" s="3"/>
      <c r="O4805" s="3"/>
    </row>
    <row r="4806" spans="1:15">
      <c r="A4806" s="3">
        <v>41330</v>
      </c>
      <c r="B4806" s="3">
        <v>41330</v>
      </c>
      <c r="C4806">
        <v>150.35</v>
      </c>
      <c r="D4806">
        <v>1.3063</v>
      </c>
      <c r="E4806">
        <v>114.44</v>
      </c>
      <c r="F4806">
        <v>354.3</v>
      </c>
      <c r="K4806" s="3"/>
      <c r="O4806" s="3"/>
    </row>
    <row r="4807" spans="1:15">
      <c r="A4807" s="3">
        <v>41331</v>
      </c>
      <c r="B4807" s="3">
        <v>41331</v>
      </c>
      <c r="C4807">
        <v>150.47</v>
      </c>
      <c r="D4807">
        <v>1.3061</v>
      </c>
      <c r="E4807">
        <v>112.71</v>
      </c>
      <c r="F4807">
        <v>356.65</v>
      </c>
      <c r="K4807" s="3"/>
      <c r="O4807" s="3"/>
    </row>
    <row r="4808" spans="1:15">
      <c r="A4808" s="3">
        <v>41332</v>
      </c>
      <c r="B4808" s="3">
        <v>41332</v>
      </c>
      <c r="C4808">
        <v>150.47999999999999</v>
      </c>
      <c r="D4808">
        <v>1.3139000000000001</v>
      </c>
      <c r="E4808">
        <v>111.87</v>
      </c>
      <c r="F4808">
        <v>354.5</v>
      </c>
      <c r="K4808" s="3"/>
      <c r="O4808" s="3"/>
    </row>
    <row r="4809" spans="1:15">
      <c r="A4809" s="3">
        <v>41333</v>
      </c>
      <c r="B4809" s="3">
        <v>41333</v>
      </c>
      <c r="C4809">
        <v>150.43</v>
      </c>
      <c r="D4809">
        <v>1.3057000000000001</v>
      </c>
      <c r="E4809">
        <v>111.38</v>
      </c>
      <c r="F4809">
        <v>352.75</v>
      </c>
      <c r="K4809" s="3"/>
      <c r="O4809" s="3"/>
    </row>
    <row r="4810" spans="1:15">
      <c r="A4810" s="3">
        <v>41334</v>
      </c>
      <c r="B4810" s="3">
        <v>41334</v>
      </c>
      <c r="C4810">
        <v>150.66999999999999</v>
      </c>
      <c r="D4810">
        <v>1.3022</v>
      </c>
      <c r="E4810">
        <v>110.4</v>
      </c>
      <c r="F4810">
        <v>348.15</v>
      </c>
      <c r="K4810" s="3"/>
      <c r="O4810" s="3"/>
    </row>
    <row r="4811" spans="1:15">
      <c r="A4811" s="3">
        <v>41335</v>
      </c>
      <c r="B4811" s="3">
        <v>41335</v>
      </c>
      <c r="C4811">
        <v>150.66999999999999</v>
      </c>
      <c r="D4811">
        <v>1.3022</v>
      </c>
      <c r="E4811">
        <v>110.4</v>
      </c>
      <c r="F4811">
        <v>348.15</v>
      </c>
      <c r="K4811" s="3"/>
      <c r="O4811" s="3"/>
    </row>
    <row r="4812" spans="1:15">
      <c r="A4812" s="3">
        <v>41336</v>
      </c>
      <c r="B4812" s="3">
        <v>41336</v>
      </c>
      <c r="C4812">
        <v>150.66999999999999</v>
      </c>
      <c r="D4812">
        <v>1.3022</v>
      </c>
      <c r="E4812">
        <v>110.4</v>
      </c>
      <c r="F4812">
        <v>348.15</v>
      </c>
      <c r="K4812" s="3"/>
      <c r="O4812" s="3"/>
    </row>
    <row r="4813" spans="1:15">
      <c r="A4813" s="3">
        <v>41337</v>
      </c>
      <c r="B4813" s="3">
        <v>41337</v>
      </c>
      <c r="C4813">
        <v>150.80000000000001</v>
      </c>
      <c r="D4813">
        <v>1.3026</v>
      </c>
      <c r="E4813">
        <v>110.09</v>
      </c>
      <c r="F4813">
        <v>348.3</v>
      </c>
      <c r="K4813" s="3"/>
      <c r="O4813" s="3"/>
    </row>
    <row r="4814" spans="1:15">
      <c r="A4814" s="3">
        <v>41338</v>
      </c>
      <c r="B4814" s="3">
        <v>41338</v>
      </c>
      <c r="C4814">
        <v>150.76</v>
      </c>
      <c r="D4814">
        <v>1.3051999999999999</v>
      </c>
      <c r="E4814">
        <v>111.61</v>
      </c>
      <c r="F4814">
        <v>349.65</v>
      </c>
      <c r="K4814" s="3"/>
      <c r="O4814" s="3"/>
    </row>
    <row r="4815" spans="1:15">
      <c r="A4815" s="3">
        <v>41339</v>
      </c>
      <c r="B4815" s="3">
        <v>41339</v>
      </c>
      <c r="C4815">
        <v>150.77000000000001</v>
      </c>
      <c r="D4815">
        <v>1.2967</v>
      </c>
      <c r="E4815">
        <v>111.06</v>
      </c>
      <c r="F4815">
        <v>347.4</v>
      </c>
      <c r="K4815" s="3"/>
      <c r="O4815" s="3"/>
    </row>
    <row r="4816" spans="1:15">
      <c r="A4816" s="3">
        <v>41340</v>
      </c>
      <c r="B4816" s="3">
        <v>41340</v>
      </c>
      <c r="C4816">
        <v>150.86000000000001</v>
      </c>
      <c r="D4816">
        <v>1.3107</v>
      </c>
      <c r="E4816">
        <v>111.15</v>
      </c>
      <c r="F4816">
        <v>350.15</v>
      </c>
      <c r="K4816" s="3"/>
      <c r="O4816" s="3"/>
    </row>
    <row r="4817" spans="1:15">
      <c r="A4817" s="3">
        <v>41341</v>
      </c>
      <c r="B4817" s="3">
        <v>41341</v>
      </c>
      <c r="C4817">
        <v>150.85</v>
      </c>
      <c r="D4817">
        <v>1.3005</v>
      </c>
      <c r="E4817">
        <v>110.85</v>
      </c>
      <c r="F4817">
        <v>349.15</v>
      </c>
      <c r="K4817" s="3"/>
      <c r="O4817" s="3"/>
    </row>
    <row r="4818" spans="1:15">
      <c r="A4818" s="3">
        <v>41342</v>
      </c>
      <c r="B4818" s="3">
        <v>41342</v>
      </c>
      <c r="C4818">
        <v>150.85</v>
      </c>
      <c r="D4818">
        <v>1.3005</v>
      </c>
      <c r="E4818">
        <v>110.85</v>
      </c>
      <c r="F4818">
        <v>349.15</v>
      </c>
      <c r="K4818" s="3"/>
      <c r="O4818" s="3"/>
    </row>
    <row r="4819" spans="1:15">
      <c r="A4819" s="3">
        <v>41343</v>
      </c>
      <c r="B4819" s="3">
        <v>41343</v>
      </c>
      <c r="C4819">
        <v>150.85</v>
      </c>
      <c r="D4819">
        <v>1.3005</v>
      </c>
      <c r="E4819">
        <v>110.85</v>
      </c>
      <c r="F4819">
        <v>349.15</v>
      </c>
      <c r="K4819" s="3"/>
      <c r="O4819" s="3"/>
    </row>
    <row r="4820" spans="1:15">
      <c r="A4820" s="3">
        <v>41344</v>
      </c>
      <c r="B4820" s="3">
        <v>41344</v>
      </c>
      <c r="C4820">
        <v>150.80000000000001</v>
      </c>
      <c r="D4820">
        <v>1.3046</v>
      </c>
      <c r="E4820">
        <v>110.22</v>
      </c>
      <c r="F4820">
        <v>350</v>
      </c>
      <c r="K4820" s="3"/>
      <c r="O4820" s="3"/>
    </row>
    <row r="4821" spans="1:15">
      <c r="A4821" s="3">
        <v>41345</v>
      </c>
      <c r="B4821" s="3">
        <v>41345</v>
      </c>
      <c r="C4821">
        <v>150.91999999999999</v>
      </c>
      <c r="D4821">
        <v>1.3033999999999999</v>
      </c>
      <c r="E4821">
        <v>109.65</v>
      </c>
      <c r="F4821">
        <v>353.8</v>
      </c>
      <c r="K4821" s="3"/>
      <c r="O4821" s="3"/>
    </row>
    <row r="4822" spans="1:15">
      <c r="A4822" s="3">
        <v>41346</v>
      </c>
      <c r="B4822" s="3">
        <v>41346</v>
      </c>
      <c r="C4822">
        <v>150.93</v>
      </c>
      <c r="D4822">
        <v>1.2961</v>
      </c>
      <c r="E4822">
        <v>108.52</v>
      </c>
      <c r="F4822">
        <v>350.95</v>
      </c>
      <c r="K4822" s="3"/>
      <c r="O4822" s="3"/>
    </row>
    <row r="4823" spans="1:15">
      <c r="A4823" s="3">
        <v>41347</v>
      </c>
      <c r="B4823" s="3">
        <v>41347</v>
      </c>
      <c r="C4823">
        <v>150.88</v>
      </c>
      <c r="D4823">
        <v>1.3005</v>
      </c>
      <c r="E4823">
        <v>109.42</v>
      </c>
      <c r="F4823">
        <v>352.35</v>
      </c>
      <c r="K4823" s="3"/>
      <c r="O4823" s="3"/>
    </row>
    <row r="4824" spans="1:15">
      <c r="A4824" s="3">
        <v>41348</v>
      </c>
      <c r="B4824" s="3">
        <v>41348</v>
      </c>
      <c r="C4824">
        <v>150.69999999999999</v>
      </c>
      <c r="D4824">
        <v>1.3076000000000001</v>
      </c>
      <c r="E4824">
        <v>109.82</v>
      </c>
      <c r="F4824">
        <v>350.8</v>
      </c>
      <c r="K4824" s="3"/>
      <c r="O4824" s="3"/>
    </row>
    <row r="4825" spans="1:15">
      <c r="A4825" s="3">
        <v>41349</v>
      </c>
      <c r="B4825" s="3">
        <v>41349</v>
      </c>
      <c r="C4825">
        <v>150.69999999999999</v>
      </c>
      <c r="D4825">
        <v>1.3076000000000001</v>
      </c>
      <c r="E4825">
        <v>109.82</v>
      </c>
      <c r="F4825">
        <v>350.8</v>
      </c>
      <c r="K4825" s="3"/>
      <c r="O4825" s="3"/>
    </row>
    <row r="4826" spans="1:15">
      <c r="A4826" s="3">
        <v>41350</v>
      </c>
      <c r="B4826" s="3">
        <v>41350</v>
      </c>
      <c r="C4826">
        <v>150.69999999999999</v>
      </c>
      <c r="D4826">
        <v>1.3076000000000001</v>
      </c>
      <c r="E4826">
        <v>109.82</v>
      </c>
      <c r="F4826">
        <v>350.8</v>
      </c>
      <c r="K4826" s="3"/>
      <c r="O4826" s="3"/>
    </row>
    <row r="4827" spans="1:15">
      <c r="A4827" s="3">
        <v>41351</v>
      </c>
      <c r="B4827" s="3">
        <v>41351</v>
      </c>
      <c r="C4827">
        <v>150.78</v>
      </c>
      <c r="D4827">
        <v>1.2957000000000001</v>
      </c>
      <c r="E4827">
        <v>109.51</v>
      </c>
      <c r="F4827">
        <v>341.7</v>
      </c>
      <c r="K4827" s="3"/>
      <c r="O4827" s="3"/>
    </row>
    <row r="4828" spans="1:15">
      <c r="A4828" s="3">
        <v>41352</v>
      </c>
      <c r="B4828" s="3">
        <v>41352</v>
      </c>
      <c r="C4828">
        <v>150.9</v>
      </c>
      <c r="D4828">
        <v>1.2882</v>
      </c>
      <c r="E4828">
        <v>107.45</v>
      </c>
      <c r="F4828">
        <v>339.55</v>
      </c>
      <c r="K4828" s="3"/>
      <c r="O4828" s="3"/>
    </row>
    <row r="4829" spans="1:15">
      <c r="A4829" s="3">
        <v>41353</v>
      </c>
      <c r="B4829" s="3">
        <v>41353</v>
      </c>
      <c r="C4829">
        <v>150.91999999999999</v>
      </c>
      <c r="D4829">
        <v>1.2932999999999999</v>
      </c>
      <c r="E4829">
        <v>108.72</v>
      </c>
      <c r="F4829">
        <v>343.55</v>
      </c>
      <c r="K4829" s="3"/>
      <c r="O4829" s="3"/>
    </row>
    <row r="4830" spans="1:15">
      <c r="A4830" s="3">
        <v>41354</v>
      </c>
      <c r="B4830" s="3">
        <v>41354</v>
      </c>
      <c r="C4830">
        <v>150.96</v>
      </c>
      <c r="D4830">
        <v>1.2899</v>
      </c>
      <c r="E4830">
        <v>107.47</v>
      </c>
      <c r="F4830">
        <v>342.3</v>
      </c>
      <c r="K4830" s="3"/>
      <c r="O4830" s="3"/>
    </row>
    <row r="4831" spans="1:15">
      <c r="A4831" s="3">
        <v>41355</v>
      </c>
      <c r="B4831" s="3">
        <v>41355</v>
      </c>
      <c r="C4831">
        <v>150.96</v>
      </c>
      <c r="D4831">
        <v>1.2988999999999999</v>
      </c>
      <c r="E4831">
        <v>107.66</v>
      </c>
      <c r="F4831">
        <v>345.4</v>
      </c>
      <c r="K4831" s="3"/>
      <c r="O4831" s="3"/>
    </row>
    <row r="4832" spans="1:15">
      <c r="A4832" s="3">
        <v>41356</v>
      </c>
      <c r="B4832" s="3">
        <v>41356</v>
      </c>
      <c r="C4832">
        <v>150.96</v>
      </c>
      <c r="D4832">
        <v>1.2988999999999999</v>
      </c>
      <c r="E4832">
        <v>107.66</v>
      </c>
      <c r="F4832">
        <v>345.4</v>
      </c>
      <c r="K4832" s="3"/>
      <c r="O4832" s="3"/>
    </row>
    <row r="4833" spans="1:15">
      <c r="A4833" s="3">
        <v>41357</v>
      </c>
      <c r="B4833" s="3">
        <v>41357</v>
      </c>
      <c r="C4833">
        <v>150.96</v>
      </c>
      <c r="D4833">
        <v>1.2988999999999999</v>
      </c>
      <c r="E4833">
        <v>107.66</v>
      </c>
      <c r="F4833">
        <v>345.4</v>
      </c>
      <c r="K4833" s="3"/>
      <c r="O4833" s="3"/>
    </row>
    <row r="4834" spans="1:15">
      <c r="A4834" s="3">
        <v>41358</v>
      </c>
      <c r="B4834" s="3">
        <v>41358</v>
      </c>
      <c r="C4834">
        <v>150.96</v>
      </c>
      <c r="D4834">
        <v>1.2853000000000001</v>
      </c>
      <c r="E4834">
        <v>108.17</v>
      </c>
      <c r="F4834">
        <v>343.5</v>
      </c>
      <c r="K4834" s="3"/>
      <c r="O4834" s="3"/>
    </row>
    <row r="4835" spans="1:15">
      <c r="A4835" s="3">
        <v>41359</v>
      </c>
      <c r="B4835" s="3">
        <v>41359</v>
      </c>
      <c r="C4835">
        <v>150.83000000000001</v>
      </c>
      <c r="D4835">
        <v>1.2861</v>
      </c>
      <c r="E4835">
        <v>109.36</v>
      </c>
      <c r="F4835">
        <v>343.25</v>
      </c>
      <c r="K4835" s="3"/>
      <c r="O4835" s="3"/>
    </row>
    <row r="4836" spans="1:15">
      <c r="A4836" s="3">
        <v>41360</v>
      </c>
      <c r="B4836" s="3">
        <v>41360</v>
      </c>
      <c r="C4836">
        <v>150.91</v>
      </c>
      <c r="D4836">
        <v>1.278</v>
      </c>
      <c r="E4836">
        <v>109.69</v>
      </c>
      <c r="F4836">
        <v>344.35</v>
      </c>
      <c r="K4836" s="3"/>
      <c r="O4836" s="3"/>
    </row>
    <row r="4837" spans="1:15">
      <c r="A4837" s="3">
        <v>41361</v>
      </c>
      <c r="B4837" s="3">
        <v>41361</v>
      </c>
      <c r="C4837">
        <v>150.93</v>
      </c>
      <c r="D4837">
        <v>1.2816000000000001</v>
      </c>
      <c r="E4837">
        <v>110.02</v>
      </c>
      <c r="F4837">
        <v>340.2</v>
      </c>
      <c r="K4837" s="3"/>
      <c r="O4837" s="3"/>
    </row>
    <row r="4838" spans="1:15">
      <c r="A4838" s="3">
        <v>41362</v>
      </c>
      <c r="B4838" s="3">
        <v>41362</v>
      </c>
      <c r="C4838">
        <v>150.91999999999999</v>
      </c>
      <c r="D4838">
        <v>1.2819</v>
      </c>
      <c r="E4838">
        <v>110.02</v>
      </c>
      <c r="F4838">
        <v>340.2</v>
      </c>
      <c r="K4838" s="3"/>
      <c r="O4838" s="3"/>
    </row>
    <row r="4839" spans="1:15">
      <c r="A4839" s="3">
        <v>41363</v>
      </c>
      <c r="B4839" s="3">
        <v>41363</v>
      </c>
      <c r="C4839">
        <v>150.91999999999999</v>
      </c>
      <c r="D4839">
        <v>1.2819</v>
      </c>
      <c r="E4839">
        <v>110.02</v>
      </c>
      <c r="F4839">
        <v>340.2</v>
      </c>
      <c r="K4839" s="3"/>
      <c r="O4839" s="3"/>
    </row>
    <row r="4840" spans="1:15">
      <c r="A4840" s="3">
        <v>41364</v>
      </c>
      <c r="B4840" s="3">
        <v>41364</v>
      </c>
      <c r="C4840">
        <v>150.91999999999999</v>
      </c>
      <c r="D4840">
        <v>1.2819</v>
      </c>
      <c r="E4840">
        <v>110.02</v>
      </c>
      <c r="F4840">
        <v>340.2</v>
      </c>
      <c r="K4840" s="3"/>
      <c r="O4840" s="3"/>
    </row>
    <row r="4841" spans="1:15">
      <c r="A4841" s="3">
        <v>41365</v>
      </c>
      <c r="B4841" s="3">
        <v>41365</v>
      </c>
      <c r="C4841">
        <v>150.97</v>
      </c>
      <c r="D4841">
        <v>1.2848999999999999</v>
      </c>
      <c r="E4841">
        <v>111.08</v>
      </c>
      <c r="F4841">
        <v>337.45</v>
      </c>
      <c r="K4841" s="3"/>
      <c r="O4841" s="3"/>
    </row>
    <row r="4842" spans="1:15">
      <c r="A4842" s="3">
        <v>41366</v>
      </c>
      <c r="B4842" s="3">
        <v>41366</v>
      </c>
      <c r="C4842">
        <v>150.85</v>
      </c>
      <c r="D4842">
        <v>1.282</v>
      </c>
      <c r="E4842">
        <v>110.69</v>
      </c>
      <c r="F4842">
        <v>337.85</v>
      </c>
      <c r="K4842" s="3"/>
      <c r="O4842" s="3"/>
    </row>
    <row r="4843" spans="1:15">
      <c r="A4843" s="3">
        <v>41367</v>
      </c>
      <c r="B4843" s="3">
        <v>41367</v>
      </c>
      <c r="C4843">
        <v>150.94</v>
      </c>
      <c r="D4843">
        <v>1.2849999999999999</v>
      </c>
      <c r="E4843">
        <v>107.11</v>
      </c>
      <c r="F4843">
        <v>333.3</v>
      </c>
      <c r="K4843" s="3"/>
      <c r="O4843" s="3"/>
    </row>
    <row r="4844" spans="1:15">
      <c r="A4844" s="3">
        <v>41368</v>
      </c>
      <c r="B4844" s="3">
        <v>41368</v>
      </c>
      <c r="C4844">
        <v>150.94999999999999</v>
      </c>
      <c r="D4844">
        <v>1.2936000000000001</v>
      </c>
      <c r="E4844">
        <v>106.34</v>
      </c>
      <c r="F4844">
        <v>335.15</v>
      </c>
      <c r="K4844" s="3"/>
      <c r="O4844" s="3"/>
    </row>
    <row r="4845" spans="1:15">
      <c r="A4845" s="3">
        <v>41369</v>
      </c>
      <c r="B4845" s="3">
        <v>41369</v>
      </c>
      <c r="C4845">
        <v>150.96</v>
      </c>
      <c r="D4845">
        <v>1.2990999999999999</v>
      </c>
      <c r="E4845">
        <v>104.12</v>
      </c>
      <c r="F4845">
        <v>334.4</v>
      </c>
      <c r="K4845" s="3"/>
      <c r="O4845" s="3"/>
    </row>
    <row r="4846" spans="1:15">
      <c r="A4846" s="3">
        <v>41370</v>
      </c>
      <c r="B4846" s="3">
        <v>41370</v>
      </c>
      <c r="C4846">
        <v>150.96</v>
      </c>
      <c r="D4846">
        <v>1.2990999999999999</v>
      </c>
      <c r="E4846">
        <v>104.12</v>
      </c>
      <c r="F4846">
        <v>334.4</v>
      </c>
      <c r="K4846" s="3"/>
      <c r="O4846" s="3"/>
    </row>
    <row r="4847" spans="1:15">
      <c r="A4847" s="3">
        <v>41371</v>
      </c>
      <c r="B4847" s="3">
        <v>41371</v>
      </c>
      <c r="C4847">
        <v>150.96</v>
      </c>
      <c r="D4847">
        <v>1.2990999999999999</v>
      </c>
      <c r="E4847">
        <v>104.12</v>
      </c>
      <c r="F4847">
        <v>334.4</v>
      </c>
      <c r="K4847" s="3"/>
      <c r="O4847" s="3"/>
    </row>
    <row r="4848" spans="1:15">
      <c r="A4848" s="3">
        <v>41372</v>
      </c>
      <c r="B4848" s="3">
        <v>41372</v>
      </c>
      <c r="C4848">
        <v>151.01</v>
      </c>
      <c r="D4848">
        <v>1.3008999999999999</v>
      </c>
      <c r="E4848">
        <v>104.66</v>
      </c>
      <c r="F4848">
        <v>337.1</v>
      </c>
      <c r="K4848" s="3"/>
      <c r="O4848" s="3"/>
    </row>
    <row r="4849" spans="1:15">
      <c r="A4849" s="3">
        <v>41373</v>
      </c>
      <c r="B4849" s="3">
        <v>41373</v>
      </c>
      <c r="C4849">
        <v>150.99</v>
      </c>
      <c r="D4849">
        <v>1.3083</v>
      </c>
      <c r="E4849">
        <v>106.23</v>
      </c>
      <c r="F4849">
        <v>344.15</v>
      </c>
      <c r="K4849" s="3"/>
      <c r="O4849" s="3"/>
    </row>
    <row r="4850" spans="1:15">
      <c r="A4850" s="3">
        <v>41374</v>
      </c>
      <c r="B4850" s="3">
        <v>41374</v>
      </c>
      <c r="C4850">
        <v>150.99</v>
      </c>
      <c r="D4850">
        <v>1.3069999999999999</v>
      </c>
      <c r="E4850">
        <v>105.79</v>
      </c>
      <c r="F4850">
        <v>341.8</v>
      </c>
      <c r="K4850" s="3"/>
      <c r="O4850" s="3"/>
    </row>
    <row r="4851" spans="1:15">
      <c r="A4851" s="3">
        <v>41375</v>
      </c>
      <c r="B4851" s="3">
        <v>41375</v>
      </c>
      <c r="C4851">
        <v>151.04</v>
      </c>
      <c r="D4851">
        <v>1.3099000000000001</v>
      </c>
      <c r="E4851">
        <v>104.27</v>
      </c>
      <c r="F4851">
        <v>343.35</v>
      </c>
      <c r="K4851" s="3"/>
      <c r="O4851" s="3"/>
    </row>
    <row r="4852" spans="1:15">
      <c r="A4852" s="3">
        <v>41376</v>
      </c>
      <c r="B4852" s="3">
        <v>41376</v>
      </c>
      <c r="C4852">
        <v>150.96</v>
      </c>
      <c r="D4852">
        <v>1.3112999999999999</v>
      </c>
      <c r="E4852">
        <v>103.11</v>
      </c>
      <c r="F4852">
        <v>335</v>
      </c>
      <c r="K4852" s="3"/>
      <c r="O4852" s="3"/>
    </row>
    <row r="4853" spans="1:15">
      <c r="A4853" s="3">
        <v>41377</v>
      </c>
      <c r="B4853" s="3">
        <v>41377</v>
      </c>
      <c r="C4853">
        <v>150.96</v>
      </c>
      <c r="D4853">
        <v>1.3112999999999999</v>
      </c>
      <c r="E4853">
        <v>103.11</v>
      </c>
      <c r="F4853">
        <v>335</v>
      </c>
      <c r="K4853" s="3"/>
      <c r="O4853" s="3"/>
    </row>
    <row r="4854" spans="1:15">
      <c r="A4854" s="3">
        <v>41378</v>
      </c>
      <c r="B4854" s="3">
        <v>41378</v>
      </c>
      <c r="C4854">
        <v>150.96</v>
      </c>
      <c r="D4854">
        <v>1.3112999999999999</v>
      </c>
      <c r="E4854">
        <v>103.11</v>
      </c>
      <c r="F4854">
        <v>335</v>
      </c>
      <c r="K4854" s="3"/>
      <c r="O4854" s="3"/>
    </row>
    <row r="4855" spans="1:15">
      <c r="A4855" s="3">
        <v>41379</v>
      </c>
      <c r="B4855" s="3">
        <v>41379</v>
      </c>
      <c r="C4855">
        <v>151.08000000000001</v>
      </c>
      <c r="D4855">
        <v>1.3036000000000001</v>
      </c>
      <c r="E4855">
        <v>100.39</v>
      </c>
      <c r="F4855">
        <v>327.3</v>
      </c>
      <c r="K4855" s="3"/>
      <c r="O4855" s="3"/>
    </row>
    <row r="4856" spans="1:15">
      <c r="A4856" s="3">
        <v>41380</v>
      </c>
      <c r="B4856" s="3">
        <v>41380</v>
      </c>
      <c r="C4856">
        <v>151.13999999999999</v>
      </c>
      <c r="D4856">
        <v>1.3177000000000001</v>
      </c>
      <c r="E4856">
        <v>99.91</v>
      </c>
      <c r="F4856">
        <v>330.55</v>
      </c>
      <c r="K4856" s="3"/>
      <c r="O4856" s="3"/>
    </row>
    <row r="4857" spans="1:15">
      <c r="A4857" s="3">
        <v>41381</v>
      </c>
      <c r="B4857" s="3">
        <v>41381</v>
      </c>
      <c r="C4857">
        <v>151.02000000000001</v>
      </c>
      <c r="D4857">
        <v>1.3031999999999999</v>
      </c>
      <c r="E4857">
        <v>97.69</v>
      </c>
      <c r="F4857">
        <v>318.75</v>
      </c>
      <c r="K4857" s="3"/>
      <c r="O4857" s="3"/>
    </row>
    <row r="4858" spans="1:15">
      <c r="A4858" s="3">
        <v>41382</v>
      </c>
      <c r="B4858" s="3">
        <v>41382</v>
      </c>
      <c r="C4858">
        <v>150.94999999999999</v>
      </c>
      <c r="D4858">
        <v>1.3050999999999999</v>
      </c>
      <c r="E4858">
        <v>99.13</v>
      </c>
      <c r="F4858">
        <v>320.45</v>
      </c>
      <c r="K4858" s="3"/>
      <c r="O4858" s="3"/>
    </row>
    <row r="4859" spans="1:15">
      <c r="A4859" s="3">
        <v>41383</v>
      </c>
      <c r="B4859" s="3">
        <v>41383</v>
      </c>
      <c r="C4859">
        <v>151.13999999999999</v>
      </c>
      <c r="D4859">
        <v>1.3051999999999999</v>
      </c>
      <c r="E4859">
        <v>99.65</v>
      </c>
      <c r="F4859">
        <v>314.85000000000002</v>
      </c>
      <c r="K4859" s="3"/>
      <c r="O4859" s="3"/>
    </row>
    <row r="4860" spans="1:15">
      <c r="A4860" s="3">
        <v>41384</v>
      </c>
      <c r="B4860" s="3">
        <v>41384</v>
      </c>
      <c r="C4860">
        <v>151.13999999999999</v>
      </c>
      <c r="D4860">
        <v>1.3051999999999999</v>
      </c>
      <c r="E4860">
        <v>99.65</v>
      </c>
      <c r="F4860">
        <v>314.85000000000002</v>
      </c>
      <c r="K4860" s="3"/>
      <c r="O4860" s="3"/>
    </row>
    <row r="4861" spans="1:15">
      <c r="A4861" s="3">
        <v>41385</v>
      </c>
      <c r="B4861" s="3">
        <v>41385</v>
      </c>
      <c r="C4861">
        <v>151.13999999999999</v>
      </c>
      <c r="D4861">
        <v>1.3051999999999999</v>
      </c>
      <c r="E4861">
        <v>99.65</v>
      </c>
      <c r="F4861">
        <v>314.85000000000002</v>
      </c>
      <c r="K4861" s="3"/>
      <c r="O4861" s="3"/>
    </row>
    <row r="4862" spans="1:15">
      <c r="A4862" s="3">
        <v>41386</v>
      </c>
      <c r="B4862" s="3">
        <v>41386</v>
      </c>
      <c r="C4862">
        <v>151.22999999999999</v>
      </c>
      <c r="D4862">
        <v>1.3066</v>
      </c>
      <c r="E4862">
        <v>100.39</v>
      </c>
      <c r="F4862">
        <v>313.10000000000002</v>
      </c>
      <c r="K4862" s="3"/>
      <c r="O4862" s="3"/>
    </row>
    <row r="4863" spans="1:15">
      <c r="A4863" s="3">
        <v>41387</v>
      </c>
      <c r="B4863" s="3">
        <v>41387</v>
      </c>
      <c r="C4863">
        <v>151.11000000000001</v>
      </c>
      <c r="D4863">
        <v>1.2996000000000001</v>
      </c>
      <c r="E4863">
        <v>100.31</v>
      </c>
      <c r="F4863">
        <v>309.3</v>
      </c>
      <c r="K4863" s="3"/>
      <c r="O4863" s="3"/>
    </row>
    <row r="4864" spans="1:15">
      <c r="A4864" s="3">
        <v>41388</v>
      </c>
      <c r="B4864" s="3">
        <v>41388</v>
      </c>
      <c r="C4864">
        <v>151.1</v>
      </c>
      <c r="D4864">
        <v>1.3015000000000001</v>
      </c>
      <c r="E4864">
        <v>101.73</v>
      </c>
      <c r="F4864">
        <v>315.7</v>
      </c>
      <c r="K4864" s="3"/>
      <c r="O4864" s="3"/>
    </row>
    <row r="4865" spans="1:15">
      <c r="A4865" s="3">
        <v>41389</v>
      </c>
      <c r="B4865" s="3">
        <v>41389</v>
      </c>
      <c r="C4865">
        <v>151.05000000000001</v>
      </c>
      <c r="D4865">
        <v>1.3010999999999999</v>
      </c>
      <c r="E4865">
        <v>103.41</v>
      </c>
      <c r="F4865">
        <v>323.7</v>
      </c>
      <c r="K4865" s="3"/>
      <c r="O4865" s="3"/>
    </row>
    <row r="4866" spans="1:15">
      <c r="A4866" s="3">
        <v>41390</v>
      </c>
      <c r="B4866" s="3">
        <v>41390</v>
      </c>
      <c r="C4866">
        <v>151.16999999999999</v>
      </c>
      <c r="D4866">
        <v>1.3029999999999999</v>
      </c>
      <c r="E4866">
        <v>103.16</v>
      </c>
      <c r="F4866">
        <v>318.45</v>
      </c>
      <c r="K4866" s="3"/>
      <c r="O4866" s="3"/>
    </row>
    <row r="4867" spans="1:15">
      <c r="A4867" s="3">
        <v>41391</v>
      </c>
      <c r="B4867" s="3">
        <v>41391</v>
      </c>
      <c r="C4867">
        <v>151.16999999999999</v>
      </c>
      <c r="D4867">
        <v>1.3029999999999999</v>
      </c>
      <c r="E4867">
        <v>103.16</v>
      </c>
      <c r="F4867">
        <v>318.45</v>
      </c>
      <c r="K4867" s="3"/>
      <c r="O4867" s="3"/>
    </row>
    <row r="4868" spans="1:15">
      <c r="A4868" s="3">
        <v>41392</v>
      </c>
      <c r="B4868" s="3">
        <v>41392</v>
      </c>
      <c r="C4868">
        <v>151.16999999999999</v>
      </c>
      <c r="D4868">
        <v>1.3029999999999999</v>
      </c>
      <c r="E4868">
        <v>103.16</v>
      </c>
      <c r="F4868">
        <v>318.45</v>
      </c>
      <c r="K4868" s="3"/>
      <c r="O4868" s="3"/>
    </row>
    <row r="4869" spans="1:15">
      <c r="A4869" s="3">
        <v>41393</v>
      </c>
      <c r="B4869" s="3">
        <v>41393</v>
      </c>
      <c r="C4869">
        <v>151.30000000000001</v>
      </c>
      <c r="D4869">
        <v>1.3099000000000001</v>
      </c>
      <c r="E4869">
        <v>103.81</v>
      </c>
      <c r="F4869">
        <v>322.55</v>
      </c>
      <c r="K4869" s="3"/>
      <c r="O4869" s="3"/>
    </row>
    <row r="4870" spans="1:15">
      <c r="A4870" s="3">
        <v>41394</v>
      </c>
      <c r="B4870" s="3">
        <v>41394</v>
      </c>
      <c r="C4870">
        <v>151.28</v>
      </c>
      <c r="D4870">
        <v>1.3168</v>
      </c>
      <c r="E4870">
        <v>102.37</v>
      </c>
      <c r="F4870">
        <v>318.75</v>
      </c>
      <c r="K4870" s="3"/>
      <c r="O4870" s="3"/>
    </row>
    <row r="4871" spans="1:15">
      <c r="A4871" s="3">
        <v>41395</v>
      </c>
      <c r="B4871" s="3">
        <v>41395</v>
      </c>
      <c r="C4871">
        <v>151.28</v>
      </c>
      <c r="D4871">
        <v>1.3180000000000001</v>
      </c>
      <c r="E4871">
        <v>99.95</v>
      </c>
      <c r="F4871">
        <v>308.25</v>
      </c>
      <c r="K4871" s="3"/>
      <c r="O4871" s="3"/>
    </row>
    <row r="4872" spans="1:15">
      <c r="A4872" s="3">
        <v>41396</v>
      </c>
      <c r="B4872" s="3">
        <v>41396</v>
      </c>
      <c r="C4872">
        <v>151.21</v>
      </c>
      <c r="D4872">
        <v>1.3065</v>
      </c>
      <c r="E4872">
        <v>102.85</v>
      </c>
      <c r="F4872">
        <v>310.45</v>
      </c>
      <c r="K4872" s="3"/>
      <c r="O4872" s="3"/>
    </row>
    <row r="4873" spans="1:15">
      <c r="A4873" s="3">
        <v>41397</v>
      </c>
      <c r="B4873" s="3">
        <v>41397</v>
      </c>
      <c r="C4873">
        <v>151.1</v>
      </c>
      <c r="D4873">
        <v>1.3113999999999999</v>
      </c>
      <c r="E4873">
        <v>104.19</v>
      </c>
      <c r="F4873">
        <v>331.35</v>
      </c>
      <c r="K4873" s="3"/>
      <c r="O4873" s="3"/>
    </row>
    <row r="4874" spans="1:15">
      <c r="A4874" s="3">
        <v>41398</v>
      </c>
      <c r="B4874" s="3">
        <v>41398</v>
      </c>
      <c r="C4874">
        <v>151.1</v>
      </c>
      <c r="D4874">
        <v>1.3113999999999999</v>
      </c>
      <c r="E4874">
        <v>104.19</v>
      </c>
      <c r="F4874">
        <v>331.35</v>
      </c>
      <c r="K4874" s="3"/>
      <c r="O4874" s="3"/>
    </row>
    <row r="4875" spans="1:15">
      <c r="A4875" s="3">
        <v>41399</v>
      </c>
      <c r="B4875" s="3">
        <v>41399</v>
      </c>
      <c r="C4875">
        <v>151.1</v>
      </c>
      <c r="D4875">
        <v>1.3113999999999999</v>
      </c>
      <c r="E4875">
        <v>104.19</v>
      </c>
      <c r="F4875">
        <v>331.35</v>
      </c>
      <c r="K4875" s="3"/>
      <c r="O4875" s="3"/>
    </row>
    <row r="4876" spans="1:15">
      <c r="A4876" s="3">
        <v>41400</v>
      </c>
      <c r="B4876" s="3">
        <v>41400</v>
      </c>
      <c r="C4876">
        <v>150.99</v>
      </c>
      <c r="D4876">
        <v>1.3076000000000001</v>
      </c>
      <c r="E4876">
        <v>105.46</v>
      </c>
      <c r="F4876">
        <v>331</v>
      </c>
      <c r="K4876" s="3"/>
      <c r="O4876" s="3"/>
    </row>
    <row r="4877" spans="1:15">
      <c r="A4877" s="3">
        <v>41401</v>
      </c>
      <c r="B4877" s="3">
        <v>41401</v>
      </c>
      <c r="C4877">
        <v>150.99</v>
      </c>
      <c r="D4877">
        <v>1.3079000000000001</v>
      </c>
      <c r="E4877">
        <v>104.4</v>
      </c>
      <c r="F4877">
        <v>330.05</v>
      </c>
      <c r="K4877" s="3"/>
      <c r="O4877" s="3"/>
    </row>
    <row r="4878" spans="1:15">
      <c r="A4878" s="3">
        <v>41402</v>
      </c>
      <c r="B4878" s="3">
        <v>41402</v>
      </c>
      <c r="C4878">
        <v>151.08000000000001</v>
      </c>
      <c r="D4878">
        <v>1.3152999999999999</v>
      </c>
      <c r="E4878">
        <v>104.34</v>
      </c>
      <c r="F4878">
        <v>337.1</v>
      </c>
      <c r="K4878" s="3"/>
      <c r="O4878" s="3"/>
    </row>
    <row r="4879" spans="1:15">
      <c r="A4879" s="3">
        <v>41403</v>
      </c>
      <c r="B4879" s="3">
        <v>41403</v>
      </c>
      <c r="C4879">
        <v>151.08000000000001</v>
      </c>
      <c r="D4879">
        <v>1.3043</v>
      </c>
      <c r="E4879">
        <v>104.47</v>
      </c>
      <c r="F4879">
        <v>334.15</v>
      </c>
      <c r="K4879" s="3"/>
      <c r="O4879" s="3"/>
    </row>
    <row r="4880" spans="1:15">
      <c r="A4880" s="3">
        <v>41404</v>
      </c>
      <c r="B4880" s="3">
        <v>41404</v>
      </c>
      <c r="C4880">
        <v>151.08000000000001</v>
      </c>
      <c r="D4880">
        <v>1.2988999999999999</v>
      </c>
      <c r="E4880">
        <v>103.91</v>
      </c>
      <c r="F4880">
        <v>335.6</v>
      </c>
      <c r="K4880" s="3"/>
      <c r="O4880" s="3"/>
    </row>
    <row r="4881" spans="1:15">
      <c r="A4881" s="3">
        <v>41405</v>
      </c>
      <c r="B4881" s="3">
        <v>41405</v>
      </c>
      <c r="C4881">
        <v>151.08000000000001</v>
      </c>
      <c r="D4881">
        <v>1.2988999999999999</v>
      </c>
      <c r="E4881">
        <v>103.91</v>
      </c>
      <c r="F4881">
        <v>335.6</v>
      </c>
      <c r="K4881" s="3"/>
      <c r="O4881" s="3"/>
    </row>
    <row r="4882" spans="1:15">
      <c r="A4882" s="3">
        <v>41406</v>
      </c>
      <c r="B4882" s="3">
        <v>41406</v>
      </c>
      <c r="C4882">
        <v>151.08000000000001</v>
      </c>
      <c r="D4882">
        <v>1.2988999999999999</v>
      </c>
      <c r="E4882">
        <v>103.91</v>
      </c>
      <c r="F4882">
        <v>335.6</v>
      </c>
      <c r="K4882" s="3"/>
      <c r="O4882" s="3"/>
    </row>
    <row r="4883" spans="1:15">
      <c r="A4883" s="3">
        <v>41407</v>
      </c>
      <c r="B4883" s="3">
        <v>41407</v>
      </c>
      <c r="C4883">
        <v>151.13999999999999</v>
      </c>
      <c r="D4883">
        <v>1.2975000000000001</v>
      </c>
      <c r="E4883">
        <v>102.82</v>
      </c>
      <c r="F4883">
        <v>336.2</v>
      </c>
      <c r="K4883" s="3"/>
      <c r="O4883" s="3"/>
    </row>
    <row r="4884" spans="1:15">
      <c r="A4884" s="3">
        <v>41408</v>
      </c>
      <c r="B4884" s="3">
        <v>41408</v>
      </c>
      <c r="C4884">
        <v>151.22</v>
      </c>
      <c r="D4884">
        <v>1.292</v>
      </c>
      <c r="E4884">
        <v>102.6</v>
      </c>
      <c r="F4884">
        <v>329.05</v>
      </c>
      <c r="K4884" s="3"/>
      <c r="O4884" s="3"/>
    </row>
    <row r="4885" spans="1:15">
      <c r="A4885" s="3">
        <v>41409</v>
      </c>
      <c r="B4885" s="3">
        <v>41409</v>
      </c>
      <c r="C4885">
        <v>151.24</v>
      </c>
      <c r="D4885">
        <v>1.2887</v>
      </c>
      <c r="E4885">
        <v>103.68</v>
      </c>
      <c r="F4885">
        <v>326.7</v>
      </c>
      <c r="K4885" s="3"/>
      <c r="O4885" s="3"/>
    </row>
    <row r="4886" spans="1:15">
      <c r="A4886" s="3">
        <v>41410</v>
      </c>
      <c r="B4886" s="3">
        <v>41410</v>
      </c>
      <c r="C4886">
        <v>151.13</v>
      </c>
      <c r="D4886">
        <v>1.2882</v>
      </c>
      <c r="E4886">
        <v>103.8</v>
      </c>
      <c r="F4886">
        <v>329.2</v>
      </c>
      <c r="K4886" s="3"/>
      <c r="O4886" s="3"/>
    </row>
    <row r="4887" spans="1:15">
      <c r="A4887" s="3">
        <v>41411</v>
      </c>
      <c r="B4887" s="3">
        <v>41411</v>
      </c>
      <c r="C4887">
        <v>151.05000000000001</v>
      </c>
      <c r="D4887">
        <v>1.2839</v>
      </c>
      <c r="E4887">
        <v>104.64</v>
      </c>
      <c r="F4887">
        <v>332.1</v>
      </c>
      <c r="K4887" s="3"/>
      <c r="O4887" s="3"/>
    </row>
    <row r="4888" spans="1:15">
      <c r="A4888" s="3">
        <v>41412</v>
      </c>
      <c r="B4888" s="3">
        <v>41412</v>
      </c>
      <c r="C4888">
        <v>151.05000000000001</v>
      </c>
      <c r="D4888">
        <v>1.2839</v>
      </c>
      <c r="E4888">
        <v>104.64</v>
      </c>
      <c r="F4888">
        <v>332.1</v>
      </c>
      <c r="K4888" s="3"/>
      <c r="O4888" s="3"/>
    </row>
    <row r="4889" spans="1:15">
      <c r="A4889" s="3">
        <v>41413</v>
      </c>
      <c r="B4889" s="3">
        <v>41413</v>
      </c>
      <c r="C4889">
        <v>151.05000000000001</v>
      </c>
      <c r="D4889">
        <v>1.2839</v>
      </c>
      <c r="E4889">
        <v>104.64</v>
      </c>
      <c r="F4889">
        <v>332.1</v>
      </c>
      <c r="K4889" s="3"/>
      <c r="O4889" s="3"/>
    </row>
    <row r="4890" spans="1:15">
      <c r="A4890" s="3">
        <v>41414</v>
      </c>
      <c r="B4890" s="3">
        <v>41414</v>
      </c>
      <c r="C4890">
        <v>150.94999999999999</v>
      </c>
      <c r="D4890">
        <v>1.2882</v>
      </c>
      <c r="E4890">
        <v>104.8</v>
      </c>
      <c r="F4890">
        <v>335.7</v>
      </c>
      <c r="K4890" s="3"/>
      <c r="O4890" s="3"/>
    </row>
    <row r="4891" spans="1:15">
      <c r="A4891" s="3">
        <v>41415</v>
      </c>
      <c r="B4891" s="3">
        <v>41415</v>
      </c>
      <c r="C4891">
        <v>150.85</v>
      </c>
      <c r="D4891">
        <v>1.2906</v>
      </c>
      <c r="E4891">
        <v>103.91</v>
      </c>
      <c r="F4891">
        <v>333.9</v>
      </c>
      <c r="K4891" s="3"/>
      <c r="O4891" s="3"/>
    </row>
    <row r="4892" spans="1:15">
      <c r="A4892" s="3">
        <v>41416</v>
      </c>
      <c r="B4892" s="3">
        <v>41416</v>
      </c>
      <c r="C4892">
        <v>150.78</v>
      </c>
      <c r="D4892">
        <v>1.2858000000000001</v>
      </c>
      <c r="E4892">
        <v>102.6</v>
      </c>
      <c r="F4892">
        <v>337.75</v>
      </c>
      <c r="K4892" s="3"/>
      <c r="O4892" s="3"/>
    </row>
    <row r="4893" spans="1:15">
      <c r="A4893" s="3">
        <v>41417</v>
      </c>
      <c r="B4893" s="3">
        <v>41417</v>
      </c>
      <c r="C4893">
        <v>150.80000000000001</v>
      </c>
      <c r="D4893">
        <v>1.2934000000000001</v>
      </c>
      <c r="E4893">
        <v>102.44</v>
      </c>
      <c r="F4893">
        <v>329.95</v>
      </c>
      <c r="K4893" s="3"/>
      <c r="O4893" s="3"/>
    </row>
    <row r="4894" spans="1:15">
      <c r="A4894" s="3">
        <v>41418</v>
      </c>
      <c r="B4894" s="3">
        <v>41418</v>
      </c>
      <c r="C4894">
        <v>150.88</v>
      </c>
      <c r="D4894">
        <v>1.2931999999999999</v>
      </c>
      <c r="E4894">
        <v>102.64</v>
      </c>
      <c r="F4894">
        <v>329.15</v>
      </c>
      <c r="K4894" s="3"/>
      <c r="O4894" s="3"/>
    </row>
    <row r="4895" spans="1:15">
      <c r="A4895" s="3">
        <v>41419</v>
      </c>
      <c r="B4895" s="3">
        <v>41419</v>
      </c>
      <c r="C4895">
        <v>150.88</v>
      </c>
      <c r="D4895">
        <v>1.2931999999999999</v>
      </c>
      <c r="E4895">
        <v>102.64</v>
      </c>
      <c r="F4895">
        <v>329.15</v>
      </c>
      <c r="K4895" s="3"/>
      <c r="O4895" s="3"/>
    </row>
    <row r="4896" spans="1:15">
      <c r="A4896" s="3">
        <v>41420</v>
      </c>
      <c r="B4896" s="3">
        <v>41420</v>
      </c>
      <c r="C4896">
        <v>150.88</v>
      </c>
      <c r="D4896">
        <v>1.2931999999999999</v>
      </c>
      <c r="E4896">
        <v>102.64</v>
      </c>
      <c r="F4896">
        <v>329.15</v>
      </c>
      <c r="K4896" s="3"/>
      <c r="O4896" s="3"/>
    </row>
    <row r="4897" spans="1:15">
      <c r="A4897" s="3">
        <v>41421</v>
      </c>
      <c r="B4897" s="3">
        <v>41421</v>
      </c>
      <c r="C4897">
        <v>150.82</v>
      </c>
      <c r="D4897">
        <v>1.2930999999999999</v>
      </c>
      <c r="E4897">
        <v>102.62</v>
      </c>
      <c r="F4897">
        <v>329.15</v>
      </c>
      <c r="K4897" s="3"/>
      <c r="O4897" s="3"/>
    </row>
    <row r="4898" spans="1:15">
      <c r="A4898" s="3">
        <v>41422</v>
      </c>
      <c r="B4898" s="3">
        <v>41422</v>
      </c>
      <c r="C4898">
        <v>150.93</v>
      </c>
      <c r="D4898">
        <v>1.2856000000000001</v>
      </c>
      <c r="E4898">
        <v>104.23</v>
      </c>
      <c r="F4898">
        <v>331.15</v>
      </c>
      <c r="K4898" s="3"/>
      <c r="O4898" s="3"/>
    </row>
    <row r="4899" spans="1:15">
      <c r="A4899" s="3">
        <v>41423</v>
      </c>
      <c r="B4899" s="3">
        <v>41423</v>
      </c>
      <c r="C4899">
        <v>151.19999999999999</v>
      </c>
      <c r="D4899">
        <v>1.2941</v>
      </c>
      <c r="E4899">
        <v>102.43</v>
      </c>
      <c r="F4899">
        <v>329.1</v>
      </c>
      <c r="K4899" s="3"/>
      <c r="O4899" s="3"/>
    </row>
    <row r="4900" spans="1:15">
      <c r="A4900" s="3">
        <v>41424</v>
      </c>
      <c r="B4900" s="3">
        <v>41424</v>
      </c>
      <c r="C4900">
        <v>151.26</v>
      </c>
      <c r="D4900">
        <v>1.3049999999999999</v>
      </c>
      <c r="E4900">
        <v>102.19</v>
      </c>
      <c r="F4900">
        <v>331.55</v>
      </c>
      <c r="K4900" s="3"/>
      <c r="O4900" s="3"/>
    </row>
    <row r="4901" spans="1:15">
      <c r="A4901" s="3">
        <v>41425</v>
      </c>
      <c r="B4901" s="3">
        <v>41425</v>
      </c>
      <c r="C4901">
        <v>151.38999999999999</v>
      </c>
      <c r="D4901">
        <v>1.2999000000000001</v>
      </c>
      <c r="E4901">
        <v>100.39</v>
      </c>
      <c r="F4901">
        <v>329.25</v>
      </c>
      <c r="K4901" s="3"/>
      <c r="O4901" s="3"/>
    </row>
    <row r="4902" spans="1:15">
      <c r="A4902" s="3">
        <v>41426</v>
      </c>
      <c r="B4902" s="3">
        <v>41426</v>
      </c>
      <c r="C4902">
        <v>151.38999999999999</v>
      </c>
      <c r="D4902">
        <v>1.2999000000000001</v>
      </c>
      <c r="E4902">
        <v>100.39</v>
      </c>
      <c r="F4902">
        <v>329.25</v>
      </c>
      <c r="K4902" s="3"/>
      <c r="O4902" s="3"/>
    </row>
    <row r="4903" spans="1:15">
      <c r="A4903" s="3">
        <v>41427</v>
      </c>
      <c r="B4903" s="3">
        <v>41427</v>
      </c>
      <c r="C4903">
        <v>151.38999999999999</v>
      </c>
      <c r="D4903">
        <v>1.2999000000000001</v>
      </c>
      <c r="E4903">
        <v>100.39</v>
      </c>
      <c r="F4903">
        <v>329.25</v>
      </c>
      <c r="K4903" s="3"/>
      <c r="O4903" s="3"/>
    </row>
    <row r="4904" spans="1:15">
      <c r="A4904" s="3">
        <v>41428</v>
      </c>
      <c r="B4904" s="3">
        <v>41428</v>
      </c>
      <c r="C4904">
        <v>151.34</v>
      </c>
      <c r="D4904">
        <v>1.3076000000000001</v>
      </c>
      <c r="E4904">
        <v>102.06</v>
      </c>
      <c r="F4904">
        <v>333.05</v>
      </c>
      <c r="K4904" s="3"/>
      <c r="O4904" s="3"/>
    </row>
    <row r="4905" spans="1:15">
      <c r="A4905" s="3">
        <v>41429</v>
      </c>
      <c r="B4905" s="3">
        <v>41429</v>
      </c>
      <c r="C4905">
        <v>151.35</v>
      </c>
      <c r="D4905">
        <v>1.3081</v>
      </c>
      <c r="E4905">
        <v>103.24</v>
      </c>
      <c r="F4905">
        <v>336.9</v>
      </c>
      <c r="K4905" s="3"/>
      <c r="O4905" s="3"/>
    </row>
    <row r="4906" spans="1:15">
      <c r="A4906" s="3">
        <v>41430</v>
      </c>
      <c r="B4906" s="3">
        <v>41430</v>
      </c>
      <c r="C4906">
        <v>151.35</v>
      </c>
      <c r="D4906">
        <v>1.3092999999999999</v>
      </c>
      <c r="E4906">
        <v>103.04</v>
      </c>
      <c r="F4906">
        <v>337.15</v>
      </c>
      <c r="K4906" s="3"/>
      <c r="O4906" s="3"/>
    </row>
    <row r="4907" spans="1:15">
      <c r="A4907" s="3">
        <v>41431</v>
      </c>
      <c r="B4907" s="3">
        <v>41431</v>
      </c>
      <c r="C4907">
        <v>151.30000000000001</v>
      </c>
      <c r="D4907">
        <v>1.3246</v>
      </c>
      <c r="E4907">
        <v>103.61</v>
      </c>
      <c r="F4907">
        <v>331.9</v>
      </c>
      <c r="K4907" s="3"/>
      <c r="O4907" s="3"/>
    </row>
    <row r="4908" spans="1:15">
      <c r="A4908" s="3">
        <v>41432</v>
      </c>
      <c r="B4908" s="3">
        <v>41432</v>
      </c>
      <c r="C4908">
        <v>151.38999999999999</v>
      </c>
      <c r="D4908">
        <v>1.3218000000000001</v>
      </c>
      <c r="E4908">
        <v>104.56</v>
      </c>
      <c r="F4908">
        <v>326.85000000000002</v>
      </c>
      <c r="K4908" s="3"/>
      <c r="O4908" s="3"/>
    </row>
    <row r="4909" spans="1:15">
      <c r="A4909" s="3">
        <v>41433</v>
      </c>
      <c r="B4909" s="3">
        <v>41433</v>
      </c>
      <c r="C4909">
        <v>151.38999999999999</v>
      </c>
      <c r="D4909">
        <v>1.3218000000000001</v>
      </c>
      <c r="E4909">
        <v>104.56</v>
      </c>
      <c r="F4909">
        <v>326.85000000000002</v>
      </c>
      <c r="K4909" s="3"/>
      <c r="O4909" s="3"/>
    </row>
    <row r="4910" spans="1:15">
      <c r="A4910" s="3">
        <v>41434</v>
      </c>
      <c r="B4910" s="3">
        <v>41434</v>
      </c>
      <c r="C4910">
        <v>151.38999999999999</v>
      </c>
      <c r="D4910">
        <v>1.3218000000000001</v>
      </c>
      <c r="E4910">
        <v>104.56</v>
      </c>
      <c r="F4910">
        <v>326.85000000000002</v>
      </c>
      <c r="K4910" s="3"/>
      <c r="O4910" s="3"/>
    </row>
    <row r="4911" spans="1:15">
      <c r="A4911" s="3">
        <v>41435</v>
      </c>
      <c r="B4911" s="3">
        <v>41435</v>
      </c>
      <c r="C4911">
        <v>151.47</v>
      </c>
      <c r="D4911">
        <v>1.3257000000000001</v>
      </c>
      <c r="E4911">
        <v>103.95</v>
      </c>
      <c r="F4911">
        <v>324.10000000000002</v>
      </c>
      <c r="K4911" s="3"/>
      <c r="O4911" s="3"/>
    </row>
    <row r="4912" spans="1:15">
      <c r="A4912" s="3">
        <v>41436</v>
      </c>
      <c r="B4912" s="3">
        <v>41436</v>
      </c>
      <c r="C4912">
        <v>151.55000000000001</v>
      </c>
      <c r="D4912">
        <v>1.3312999999999999</v>
      </c>
      <c r="E4912">
        <v>102.96</v>
      </c>
      <c r="F4912">
        <v>319.5</v>
      </c>
      <c r="K4912" s="3"/>
      <c r="O4912" s="3"/>
    </row>
    <row r="4913" spans="1:15">
      <c r="A4913" s="3">
        <v>41437</v>
      </c>
      <c r="B4913" s="3">
        <v>41437</v>
      </c>
      <c r="C4913">
        <v>151.59</v>
      </c>
      <c r="D4913">
        <v>1.3337000000000001</v>
      </c>
      <c r="E4913">
        <v>103.49</v>
      </c>
      <c r="F4913">
        <v>322.55</v>
      </c>
      <c r="K4913" s="3"/>
      <c r="O4913" s="3"/>
    </row>
    <row r="4914" spans="1:15">
      <c r="A4914" s="3">
        <v>41438</v>
      </c>
      <c r="B4914" s="3">
        <v>41438</v>
      </c>
      <c r="C4914">
        <v>151.53</v>
      </c>
      <c r="D4914">
        <v>1.3374999999999999</v>
      </c>
      <c r="E4914">
        <v>104.25</v>
      </c>
      <c r="F4914">
        <v>318.5</v>
      </c>
      <c r="K4914" s="3"/>
      <c r="O4914" s="3"/>
    </row>
    <row r="4915" spans="1:15">
      <c r="A4915" s="3">
        <v>41439</v>
      </c>
      <c r="B4915" s="3">
        <v>41439</v>
      </c>
      <c r="C4915">
        <v>151.38</v>
      </c>
      <c r="D4915">
        <v>1.3347</v>
      </c>
      <c r="E4915">
        <v>105.93</v>
      </c>
      <c r="F4915">
        <v>320.14999999999998</v>
      </c>
      <c r="K4915" s="3"/>
      <c r="O4915" s="3"/>
    </row>
    <row r="4916" spans="1:15">
      <c r="A4916" s="3">
        <v>41440</v>
      </c>
      <c r="B4916" s="3">
        <v>41440</v>
      </c>
      <c r="C4916">
        <v>151.38</v>
      </c>
      <c r="D4916">
        <v>1.3347</v>
      </c>
      <c r="E4916">
        <v>105.93</v>
      </c>
      <c r="F4916">
        <v>320.14999999999998</v>
      </c>
      <c r="K4916" s="3"/>
      <c r="O4916" s="3"/>
    </row>
    <row r="4917" spans="1:15">
      <c r="A4917" s="3">
        <v>41441</v>
      </c>
      <c r="B4917" s="3">
        <v>41441</v>
      </c>
      <c r="C4917">
        <v>151.38</v>
      </c>
      <c r="D4917">
        <v>1.3347</v>
      </c>
      <c r="E4917">
        <v>105.93</v>
      </c>
      <c r="F4917">
        <v>320.14999999999998</v>
      </c>
      <c r="K4917" s="3"/>
      <c r="O4917" s="3"/>
    </row>
    <row r="4918" spans="1:15">
      <c r="A4918" s="3">
        <v>41442</v>
      </c>
      <c r="B4918" s="3">
        <v>41442</v>
      </c>
      <c r="C4918">
        <v>151.47999999999999</v>
      </c>
      <c r="D4918">
        <v>1.3367</v>
      </c>
      <c r="E4918">
        <v>105.47</v>
      </c>
      <c r="F4918">
        <v>319.75</v>
      </c>
      <c r="K4918" s="3"/>
      <c r="O4918" s="3"/>
    </row>
    <row r="4919" spans="1:15">
      <c r="A4919" s="3">
        <v>41443</v>
      </c>
      <c r="B4919" s="3">
        <v>41443</v>
      </c>
      <c r="C4919">
        <v>151.34</v>
      </c>
      <c r="D4919">
        <v>1.3391999999999999</v>
      </c>
      <c r="E4919">
        <v>106.02</v>
      </c>
      <c r="F4919">
        <v>315.5</v>
      </c>
      <c r="K4919" s="3"/>
      <c r="O4919" s="3"/>
    </row>
    <row r="4920" spans="1:15">
      <c r="A4920" s="3">
        <v>41444</v>
      </c>
      <c r="B4920" s="3">
        <v>41444</v>
      </c>
      <c r="C4920">
        <v>151.27000000000001</v>
      </c>
      <c r="D4920">
        <v>1.3294999999999999</v>
      </c>
      <c r="E4920">
        <v>106.12</v>
      </c>
      <c r="F4920">
        <v>314.10000000000002</v>
      </c>
      <c r="K4920" s="3"/>
      <c r="O4920" s="3"/>
    </row>
    <row r="4921" spans="1:15">
      <c r="A4921" s="3">
        <v>41445</v>
      </c>
      <c r="B4921" s="3">
        <v>41445</v>
      </c>
      <c r="C4921">
        <v>151.58000000000001</v>
      </c>
      <c r="D4921">
        <v>1.3220000000000001</v>
      </c>
      <c r="E4921">
        <v>102.15</v>
      </c>
      <c r="F4921">
        <v>306.2</v>
      </c>
      <c r="K4921" s="3"/>
      <c r="O4921" s="3"/>
    </row>
    <row r="4922" spans="1:15">
      <c r="A4922" s="3">
        <v>41446</v>
      </c>
      <c r="B4922" s="3">
        <v>41446</v>
      </c>
      <c r="C4922">
        <v>151.5</v>
      </c>
      <c r="D4922">
        <v>1.3122</v>
      </c>
      <c r="E4922">
        <v>100.91</v>
      </c>
      <c r="F4922">
        <v>309.55</v>
      </c>
      <c r="K4922" s="3"/>
      <c r="O4922" s="3"/>
    </row>
    <row r="4923" spans="1:15">
      <c r="A4923" s="3">
        <v>41447</v>
      </c>
      <c r="B4923" s="3">
        <v>41447</v>
      </c>
      <c r="C4923">
        <v>151.5</v>
      </c>
      <c r="D4923">
        <v>1.3122</v>
      </c>
      <c r="E4923">
        <v>100.91</v>
      </c>
      <c r="F4923">
        <v>309.55</v>
      </c>
      <c r="K4923" s="3"/>
      <c r="O4923" s="3"/>
    </row>
    <row r="4924" spans="1:15">
      <c r="A4924" s="3">
        <v>41448</v>
      </c>
      <c r="B4924" s="3">
        <v>41448</v>
      </c>
      <c r="C4924">
        <v>151.5</v>
      </c>
      <c r="D4924">
        <v>1.3122</v>
      </c>
      <c r="E4924">
        <v>100.91</v>
      </c>
      <c r="F4924">
        <v>309.55</v>
      </c>
      <c r="K4924" s="3"/>
      <c r="O4924" s="3"/>
    </row>
    <row r="4925" spans="1:15">
      <c r="A4925" s="3">
        <v>41449</v>
      </c>
      <c r="B4925" s="3">
        <v>41449</v>
      </c>
      <c r="C4925">
        <v>151.49</v>
      </c>
      <c r="D4925">
        <v>1.3120000000000001</v>
      </c>
      <c r="E4925">
        <v>101.16</v>
      </c>
      <c r="F4925">
        <v>302.45</v>
      </c>
      <c r="K4925" s="3"/>
      <c r="O4925" s="3"/>
    </row>
    <row r="4926" spans="1:15">
      <c r="A4926" s="3">
        <v>41450</v>
      </c>
      <c r="B4926" s="3">
        <v>41450</v>
      </c>
      <c r="C4926">
        <v>151.63999999999999</v>
      </c>
      <c r="D4926">
        <v>1.3077000000000001</v>
      </c>
      <c r="E4926">
        <v>101.26</v>
      </c>
      <c r="F4926">
        <v>307.25</v>
      </c>
      <c r="K4926" s="3"/>
      <c r="O4926" s="3"/>
    </row>
    <row r="4927" spans="1:15">
      <c r="A4927" s="3">
        <v>41451</v>
      </c>
      <c r="B4927" s="3">
        <v>41451</v>
      </c>
      <c r="C4927">
        <v>151.74</v>
      </c>
      <c r="D4927">
        <v>1.3011999999999999</v>
      </c>
      <c r="E4927">
        <v>101.66</v>
      </c>
      <c r="F4927">
        <v>304.10000000000002</v>
      </c>
      <c r="K4927" s="3"/>
      <c r="O4927" s="3"/>
    </row>
    <row r="4928" spans="1:15">
      <c r="A4928" s="3">
        <v>41452</v>
      </c>
      <c r="B4928" s="3">
        <v>41452</v>
      </c>
      <c r="C4928">
        <v>151.74</v>
      </c>
      <c r="D4928">
        <v>1.3038000000000001</v>
      </c>
      <c r="E4928">
        <v>102.82</v>
      </c>
      <c r="F4928">
        <v>305.25</v>
      </c>
      <c r="K4928" s="3"/>
      <c r="O4928" s="3"/>
    </row>
    <row r="4929" spans="1:15">
      <c r="A4929" s="3">
        <v>41453</v>
      </c>
      <c r="B4929" s="3">
        <v>41453</v>
      </c>
      <c r="C4929">
        <v>151.80000000000001</v>
      </c>
      <c r="D4929">
        <v>1.3009999999999999</v>
      </c>
      <c r="E4929">
        <v>102.16</v>
      </c>
      <c r="F4929">
        <v>305.05</v>
      </c>
      <c r="K4929" s="3"/>
      <c r="O4929" s="3"/>
    </row>
    <row r="4930" spans="1:15">
      <c r="A4930" s="3">
        <v>41454</v>
      </c>
      <c r="B4930" s="3">
        <v>41454</v>
      </c>
      <c r="C4930">
        <v>151.80000000000001</v>
      </c>
      <c r="D4930">
        <v>1.3009999999999999</v>
      </c>
      <c r="E4930">
        <v>102.16</v>
      </c>
      <c r="F4930">
        <v>305.05</v>
      </c>
      <c r="K4930" s="3"/>
      <c r="O4930" s="3"/>
    </row>
    <row r="4931" spans="1:15">
      <c r="A4931" s="3">
        <v>41455</v>
      </c>
      <c r="B4931" s="3">
        <v>41455</v>
      </c>
      <c r="C4931">
        <v>151.80000000000001</v>
      </c>
      <c r="D4931">
        <v>1.3009999999999999</v>
      </c>
      <c r="E4931">
        <v>102.16</v>
      </c>
      <c r="F4931">
        <v>305.05</v>
      </c>
      <c r="K4931" s="3"/>
      <c r="O4931" s="3"/>
    </row>
    <row r="4932" spans="1:15">
      <c r="A4932" s="3">
        <v>41456</v>
      </c>
      <c r="B4932" s="3">
        <v>41456</v>
      </c>
      <c r="C4932">
        <v>151.85</v>
      </c>
      <c r="D4932">
        <v>1.3064</v>
      </c>
      <c r="E4932">
        <v>103</v>
      </c>
      <c r="F4932">
        <v>315.5</v>
      </c>
      <c r="K4932" s="3"/>
      <c r="O4932" s="3"/>
    </row>
    <row r="4933" spans="1:15">
      <c r="A4933" s="3">
        <v>41457</v>
      </c>
      <c r="B4933" s="3">
        <v>41457</v>
      </c>
      <c r="C4933">
        <v>151.88999999999999</v>
      </c>
      <c r="D4933">
        <v>1.2979000000000001</v>
      </c>
      <c r="E4933">
        <v>104</v>
      </c>
      <c r="F4933">
        <v>314.2</v>
      </c>
      <c r="K4933" s="3"/>
      <c r="O4933" s="3"/>
    </row>
    <row r="4934" spans="1:15">
      <c r="A4934" s="3">
        <v>41458</v>
      </c>
      <c r="B4934" s="3">
        <v>41458</v>
      </c>
      <c r="C4934">
        <v>152.01</v>
      </c>
      <c r="D4934">
        <v>1.3008999999999999</v>
      </c>
      <c r="E4934">
        <v>105.76</v>
      </c>
      <c r="F4934">
        <v>317.39999999999998</v>
      </c>
      <c r="K4934" s="3"/>
      <c r="O4934" s="3"/>
    </row>
    <row r="4935" spans="1:15">
      <c r="A4935" s="3">
        <v>41459</v>
      </c>
      <c r="B4935" s="3">
        <v>41459</v>
      </c>
      <c r="C4935">
        <v>152.02000000000001</v>
      </c>
      <c r="D4935">
        <v>1.2914000000000001</v>
      </c>
      <c r="E4935">
        <v>105.54</v>
      </c>
      <c r="F4935">
        <v>317.39999999999998</v>
      </c>
      <c r="K4935" s="3"/>
      <c r="O4935" s="3"/>
    </row>
    <row r="4936" spans="1:15">
      <c r="A4936" s="3">
        <v>41460</v>
      </c>
      <c r="B4936" s="3">
        <v>41460</v>
      </c>
      <c r="C4936">
        <v>152.13999999999999</v>
      </c>
      <c r="D4936">
        <v>1.2828999999999999</v>
      </c>
      <c r="E4936">
        <v>107.72</v>
      </c>
      <c r="F4936">
        <v>308</v>
      </c>
      <c r="K4936" s="3"/>
      <c r="O4936" s="3"/>
    </row>
    <row r="4937" spans="1:15">
      <c r="A4937" s="3">
        <v>41461</v>
      </c>
      <c r="B4937" s="3">
        <v>41461</v>
      </c>
      <c r="C4937">
        <v>152.13999999999999</v>
      </c>
      <c r="D4937">
        <v>1.2828999999999999</v>
      </c>
      <c r="E4937">
        <v>107.72</v>
      </c>
      <c r="F4937">
        <v>308</v>
      </c>
      <c r="K4937" s="3"/>
      <c r="O4937" s="3"/>
    </row>
    <row r="4938" spans="1:15">
      <c r="A4938" s="3">
        <v>41462</v>
      </c>
      <c r="B4938" s="3">
        <v>41462</v>
      </c>
      <c r="C4938">
        <v>152.13999999999999</v>
      </c>
      <c r="D4938">
        <v>1.2828999999999999</v>
      </c>
      <c r="E4938">
        <v>107.72</v>
      </c>
      <c r="F4938">
        <v>308</v>
      </c>
      <c r="K4938" s="3"/>
      <c r="O4938" s="3"/>
    </row>
    <row r="4939" spans="1:15">
      <c r="A4939" s="3">
        <v>41463</v>
      </c>
      <c r="B4939" s="3">
        <v>41463</v>
      </c>
      <c r="C4939">
        <v>152.13999999999999</v>
      </c>
      <c r="D4939">
        <v>1.2869999999999999</v>
      </c>
      <c r="E4939">
        <v>107.43</v>
      </c>
      <c r="F4939">
        <v>311.14999999999998</v>
      </c>
      <c r="K4939" s="3"/>
      <c r="O4939" s="3"/>
    </row>
    <row r="4940" spans="1:15">
      <c r="A4940" s="3">
        <v>41464</v>
      </c>
      <c r="B4940" s="3">
        <v>41464</v>
      </c>
      <c r="C4940">
        <v>152.32</v>
      </c>
      <c r="D4940">
        <v>1.2781</v>
      </c>
      <c r="E4940">
        <v>107.81</v>
      </c>
      <c r="F4940">
        <v>307.60000000000002</v>
      </c>
      <c r="K4940" s="3"/>
      <c r="O4940" s="3"/>
    </row>
    <row r="4941" spans="1:15">
      <c r="A4941" s="3">
        <v>41465</v>
      </c>
      <c r="B4941" s="3">
        <v>41465</v>
      </c>
      <c r="C4941">
        <v>152.33000000000001</v>
      </c>
      <c r="D4941">
        <v>1.2978000000000001</v>
      </c>
      <c r="E4941">
        <v>108.51</v>
      </c>
      <c r="F4941">
        <v>310.10000000000002</v>
      </c>
      <c r="K4941" s="3"/>
      <c r="O4941" s="3"/>
    </row>
    <row r="4942" spans="1:15">
      <c r="A4942" s="3">
        <v>41466</v>
      </c>
      <c r="B4942" s="3">
        <v>41466</v>
      </c>
      <c r="C4942">
        <v>152.38999999999999</v>
      </c>
      <c r="D4942">
        <v>1.3097000000000001</v>
      </c>
      <c r="E4942">
        <v>107.73</v>
      </c>
      <c r="F4942">
        <v>318.35000000000002</v>
      </c>
      <c r="K4942" s="3"/>
      <c r="O4942" s="3"/>
    </row>
    <row r="4943" spans="1:15">
      <c r="A4943" s="3">
        <v>41467</v>
      </c>
      <c r="B4943" s="3">
        <v>41467</v>
      </c>
      <c r="C4943">
        <v>152.55000000000001</v>
      </c>
      <c r="D4943">
        <v>1.3067</v>
      </c>
      <c r="E4943">
        <v>108.81</v>
      </c>
      <c r="F4943">
        <v>317.05</v>
      </c>
      <c r="K4943" s="3"/>
      <c r="O4943" s="3"/>
    </row>
    <row r="4944" spans="1:15">
      <c r="A4944" s="3">
        <v>41468</v>
      </c>
      <c r="B4944" s="3">
        <v>41468</v>
      </c>
      <c r="C4944">
        <v>152.55000000000001</v>
      </c>
      <c r="D4944">
        <v>1.3067</v>
      </c>
      <c r="E4944">
        <v>108.81</v>
      </c>
      <c r="F4944">
        <v>317.05</v>
      </c>
      <c r="K4944" s="3"/>
      <c r="O4944" s="3"/>
    </row>
    <row r="4945" spans="1:15">
      <c r="A4945" s="3">
        <v>41469</v>
      </c>
      <c r="B4945" s="3">
        <v>41469</v>
      </c>
      <c r="C4945">
        <v>152.55000000000001</v>
      </c>
      <c r="D4945">
        <v>1.3067</v>
      </c>
      <c r="E4945">
        <v>108.81</v>
      </c>
      <c r="F4945">
        <v>317.05</v>
      </c>
      <c r="K4945" s="3"/>
      <c r="O4945" s="3"/>
    </row>
    <row r="4946" spans="1:15">
      <c r="A4946" s="3">
        <v>41470</v>
      </c>
      <c r="B4946" s="3">
        <v>41470</v>
      </c>
      <c r="C4946">
        <v>152.66</v>
      </c>
      <c r="D4946">
        <v>1.3062</v>
      </c>
      <c r="E4946">
        <v>109.09</v>
      </c>
      <c r="F4946">
        <v>316.10000000000002</v>
      </c>
      <c r="K4946" s="3"/>
      <c r="O4946" s="3"/>
    </row>
    <row r="4947" spans="1:15">
      <c r="A4947" s="3">
        <v>41471</v>
      </c>
      <c r="B4947" s="3">
        <v>41471</v>
      </c>
      <c r="C4947">
        <v>152.72999999999999</v>
      </c>
      <c r="D4947">
        <v>1.3162</v>
      </c>
      <c r="E4947">
        <v>109.4</v>
      </c>
      <c r="F4947">
        <v>319.95</v>
      </c>
      <c r="K4947" s="3"/>
      <c r="O4947" s="3"/>
    </row>
    <row r="4948" spans="1:15">
      <c r="A4948" s="3">
        <v>41472</v>
      </c>
      <c r="B4948" s="3">
        <v>41472</v>
      </c>
      <c r="C4948">
        <v>152.80000000000001</v>
      </c>
      <c r="D4948">
        <v>1.3125</v>
      </c>
      <c r="E4948">
        <v>108.61</v>
      </c>
      <c r="F4948">
        <v>314.05</v>
      </c>
      <c r="K4948" s="3"/>
      <c r="O4948" s="3"/>
    </row>
    <row r="4949" spans="1:15">
      <c r="A4949" s="3">
        <v>41473</v>
      </c>
      <c r="B4949" s="3">
        <v>41473</v>
      </c>
      <c r="C4949">
        <v>152.88</v>
      </c>
      <c r="D4949">
        <v>1.3109</v>
      </c>
      <c r="E4949">
        <v>108.7</v>
      </c>
      <c r="F4949">
        <v>314.25</v>
      </c>
      <c r="K4949" s="3"/>
      <c r="O4949" s="3"/>
    </row>
    <row r="4950" spans="1:15">
      <c r="A4950" s="3">
        <v>41474</v>
      </c>
      <c r="B4950" s="3">
        <v>41474</v>
      </c>
      <c r="C4950">
        <v>152.97</v>
      </c>
      <c r="D4950">
        <v>1.3143</v>
      </c>
      <c r="E4950">
        <v>108.07</v>
      </c>
      <c r="F4950">
        <v>315</v>
      </c>
      <c r="K4950" s="3"/>
      <c r="O4950" s="3"/>
    </row>
    <row r="4951" spans="1:15">
      <c r="A4951" s="3">
        <v>41475</v>
      </c>
      <c r="B4951" s="3">
        <v>41475</v>
      </c>
      <c r="C4951">
        <v>152.97</v>
      </c>
      <c r="D4951">
        <v>1.3143</v>
      </c>
      <c r="E4951">
        <v>108.07</v>
      </c>
      <c r="F4951">
        <v>315</v>
      </c>
      <c r="K4951" s="3"/>
      <c r="O4951" s="3"/>
    </row>
    <row r="4952" spans="1:15">
      <c r="A4952" s="3">
        <v>41476</v>
      </c>
      <c r="B4952" s="3">
        <v>41476</v>
      </c>
      <c r="C4952">
        <v>152.97</v>
      </c>
      <c r="D4952">
        <v>1.3143</v>
      </c>
      <c r="E4952">
        <v>108.07</v>
      </c>
      <c r="F4952">
        <v>315</v>
      </c>
      <c r="K4952" s="3"/>
      <c r="O4952" s="3"/>
    </row>
    <row r="4953" spans="1:15">
      <c r="A4953" s="3">
        <v>41477</v>
      </c>
      <c r="B4953" s="3">
        <v>41477</v>
      </c>
      <c r="C4953">
        <v>153.1</v>
      </c>
      <c r="D4953">
        <v>1.3186</v>
      </c>
      <c r="E4953">
        <v>108.15</v>
      </c>
      <c r="F4953">
        <v>318.95</v>
      </c>
      <c r="K4953" s="3"/>
      <c r="O4953" s="3"/>
    </row>
    <row r="4954" spans="1:15">
      <c r="A4954" s="3">
        <v>41478</v>
      </c>
      <c r="B4954" s="3">
        <v>41478</v>
      </c>
      <c r="C4954">
        <v>153.26</v>
      </c>
      <c r="D4954">
        <v>1.3223</v>
      </c>
      <c r="E4954">
        <v>108.42</v>
      </c>
      <c r="F4954">
        <v>319.8</v>
      </c>
      <c r="K4954" s="3"/>
      <c r="O4954" s="3"/>
    </row>
    <row r="4955" spans="1:15">
      <c r="A4955" s="3">
        <v>41479</v>
      </c>
      <c r="B4955" s="3">
        <v>41479</v>
      </c>
      <c r="C4955">
        <v>153.29</v>
      </c>
      <c r="D4955">
        <v>1.3201000000000001</v>
      </c>
      <c r="E4955">
        <v>107.19</v>
      </c>
      <c r="F4955">
        <v>318.14999999999998</v>
      </c>
      <c r="K4955" s="3"/>
      <c r="O4955" s="3"/>
    </row>
    <row r="4956" spans="1:15">
      <c r="A4956" s="3">
        <v>41480</v>
      </c>
      <c r="B4956" s="3">
        <v>41480</v>
      </c>
      <c r="C4956">
        <v>153.32</v>
      </c>
      <c r="D4956">
        <v>1.3277000000000001</v>
      </c>
      <c r="E4956">
        <v>107.65</v>
      </c>
      <c r="F4956">
        <v>318.85000000000002</v>
      </c>
      <c r="K4956" s="3"/>
      <c r="O4956" s="3"/>
    </row>
    <row r="4957" spans="1:15">
      <c r="A4957" s="3">
        <v>41481</v>
      </c>
      <c r="B4957" s="3">
        <v>41481</v>
      </c>
      <c r="C4957">
        <v>153.19999999999999</v>
      </c>
      <c r="D4957">
        <v>1.3279000000000001</v>
      </c>
      <c r="E4957">
        <v>107.17</v>
      </c>
      <c r="F4957">
        <v>310.89999999999998</v>
      </c>
      <c r="K4957" s="3"/>
      <c r="O4957" s="3"/>
    </row>
    <row r="4958" spans="1:15">
      <c r="A4958" s="3">
        <v>41482</v>
      </c>
      <c r="B4958" s="3">
        <v>41482</v>
      </c>
      <c r="C4958">
        <v>153.19999999999999</v>
      </c>
      <c r="D4958">
        <v>1.3279000000000001</v>
      </c>
      <c r="E4958">
        <v>107.17</v>
      </c>
      <c r="F4958">
        <v>310.89999999999998</v>
      </c>
      <c r="K4958" s="3"/>
      <c r="O4958" s="3"/>
    </row>
    <row r="4959" spans="1:15">
      <c r="A4959" s="3">
        <v>41483</v>
      </c>
      <c r="B4959" s="3">
        <v>41483</v>
      </c>
      <c r="C4959">
        <v>153.19999999999999</v>
      </c>
      <c r="D4959">
        <v>1.3279000000000001</v>
      </c>
      <c r="E4959">
        <v>107.17</v>
      </c>
      <c r="F4959">
        <v>310.89999999999998</v>
      </c>
      <c r="K4959" s="3"/>
      <c r="O4959" s="3"/>
    </row>
    <row r="4960" spans="1:15">
      <c r="A4960" s="3">
        <v>41484</v>
      </c>
      <c r="B4960" s="3">
        <v>41484</v>
      </c>
      <c r="C4960">
        <v>153.36000000000001</v>
      </c>
      <c r="D4960">
        <v>1.3262</v>
      </c>
      <c r="E4960">
        <v>107.45</v>
      </c>
      <c r="F4960">
        <v>311.64999999999998</v>
      </c>
      <c r="K4960" s="3"/>
      <c r="O4960" s="3"/>
    </row>
    <row r="4961" spans="1:15">
      <c r="A4961" s="3">
        <v>41485</v>
      </c>
      <c r="B4961" s="3">
        <v>41485</v>
      </c>
      <c r="C4961">
        <v>153.36000000000001</v>
      </c>
      <c r="D4961">
        <v>1.3263</v>
      </c>
      <c r="E4961">
        <v>106.91</v>
      </c>
      <c r="F4961">
        <v>304.2</v>
      </c>
      <c r="K4961" s="3"/>
      <c r="O4961" s="3"/>
    </row>
    <row r="4962" spans="1:15">
      <c r="A4962" s="3">
        <v>41486</v>
      </c>
      <c r="B4962" s="3">
        <v>41486</v>
      </c>
      <c r="C4962">
        <v>153.56</v>
      </c>
      <c r="D4962">
        <v>1.3302</v>
      </c>
      <c r="E4962">
        <v>107.7</v>
      </c>
      <c r="F4962">
        <v>311.85000000000002</v>
      </c>
      <c r="K4962" s="3"/>
      <c r="O4962" s="3"/>
    </row>
    <row r="4963" spans="1:15">
      <c r="A4963" s="3">
        <v>41487</v>
      </c>
      <c r="B4963" s="3">
        <v>41487</v>
      </c>
      <c r="C4963">
        <v>153.68</v>
      </c>
      <c r="D4963">
        <v>1.3207</v>
      </c>
      <c r="E4963">
        <v>109.54</v>
      </c>
      <c r="F4963">
        <v>316.60000000000002</v>
      </c>
      <c r="K4963" s="3"/>
      <c r="O4963" s="3"/>
    </row>
    <row r="4964" spans="1:15">
      <c r="A4964" s="3">
        <v>41488</v>
      </c>
      <c r="B4964" s="3">
        <v>41488</v>
      </c>
      <c r="C4964">
        <v>153.79</v>
      </c>
      <c r="D4964">
        <v>1.3275999999999999</v>
      </c>
      <c r="E4964">
        <v>108.95</v>
      </c>
      <c r="F4964">
        <v>317.25</v>
      </c>
      <c r="K4964" s="3"/>
      <c r="O4964" s="3"/>
    </row>
    <row r="4965" spans="1:15">
      <c r="A4965" s="3">
        <v>41489</v>
      </c>
      <c r="B4965" s="3">
        <v>41489</v>
      </c>
      <c r="C4965">
        <v>153.79</v>
      </c>
      <c r="D4965">
        <v>1.3275999999999999</v>
      </c>
      <c r="E4965">
        <v>108.95</v>
      </c>
      <c r="F4965">
        <v>317.25</v>
      </c>
      <c r="K4965" s="3"/>
      <c r="O4965" s="3"/>
    </row>
    <row r="4966" spans="1:15">
      <c r="A4966" s="3">
        <v>41490</v>
      </c>
      <c r="B4966" s="3">
        <v>41490</v>
      </c>
      <c r="C4966">
        <v>153.79</v>
      </c>
      <c r="D4966">
        <v>1.3275999999999999</v>
      </c>
      <c r="E4966">
        <v>108.95</v>
      </c>
      <c r="F4966">
        <v>317.25</v>
      </c>
      <c r="K4966" s="3"/>
      <c r="O4966" s="3"/>
    </row>
    <row r="4967" spans="1:15">
      <c r="A4967" s="3">
        <v>41491</v>
      </c>
      <c r="B4967" s="3">
        <v>41491</v>
      </c>
      <c r="C4967">
        <v>153.82</v>
      </c>
      <c r="D4967">
        <v>1.3258000000000001</v>
      </c>
      <c r="E4967">
        <v>108.7</v>
      </c>
      <c r="F4967">
        <v>316.8</v>
      </c>
      <c r="K4967" s="3"/>
      <c r="O4967" s="3"/>
    </row>
    <row r="4968" spans="1:15">
      <c r="A4968" s="3">
        <v>41492</v>
      </c>
      <c r="B4968" s="3">
        <v>41492</v>
      </c>
      <c r="C4968">
        <v>153.52000000000001</v>
      </c>
      <c r="D4968">
        <v>1.3305</v>
      </c>
      <c r="E4968">
        <v>108.18</v>
      </c>
      <c r="F4968">
        <v>317.3</v>
      </c>
      <c r="K4968" s="3"/>
      <c r="O4968" s="3"/>
    </row>
    <row r="4969" spans="1:15">
      <c r="A4969" s="3">
        <v>41493</v>
      </c>
      <c r="B4969" s="3">
        <v>41493</v>
      </c>
      <c r="C4969">
        <v>153.29</v>
      </c>
      <c r="D4969">
        <v>1.3335999999999999</v>
      </c>
      <c r="E4969">
        <v>107.44</v>
      </c>
      <c r="F4969">
        <v>317.3</v>
      </c>
      <c r="K4969" s="3"/>
      <c r="O4969" s="3"/>
    </row>
    <row r="4970" spans="1:15">
      <c r="A4970" s="3">
        <v>41494</v>
      </c>
      <c r="B4970" s="3">
        <v>41494</v>
      </c>
      <c r="C4970">
        <v>153.05000000000001</v>
      </c>
      <c r="D4970">
        <v>1.3381000000000001</v>
      </c>
      <c r="E4970">
        <v>106.68</v>
      </c>
      <c r="F4970">
        <v>327.05</v>
      </c>
      <c r="K4970" s="3"/>
      <c r="O4970" s="3"/>
    </row>
    <row r="4971" spans="1:15">
      <c r="A4971" s="3">
        <v>41495</v>
      </c>
      <c r="B4971" s="3">
        <v>41495</v>
      </c>
      <c r="C4971">
        <v>153.02000000000001</v>
      </c>
      <c r="D4971">
        <v>1.3342000000000001</v>
      </c>
      <c r="E4971">
        <v>108.22</v>
      </c>
      <c r="F4971">
        <v>330.65</v>
      </c>
      <c r="K4971" s="3"/>
      <c r="O4971" s="3"/>
    </row>
    <row r="4972" spans="1:15">
      <c r="A4972" s="3">
        <v>41496</v>
      </c>
      <c r="B4972" s="3">
        <v>41496</v>
      </c>
      <c r="C4972">
        <v>153.02000000000001</v>
      </c>
      <c r="D4972">
        <v>1.3342000000000001</v>
      </c>
      <c r="E4972">
        <v>108.22</v>
      </c>
      <c r="F4972">
        <v>330.65</v>
      </c>
      <c r="K4972" s="3"/>
      <c r="O4972" s="3"/>
    </row>
    <row r="4973" spans="1:15">
      <c r="A4973" s="3">
        <v>41497</v>
      </c>
      <c r="B4973" s="3">
        <v>41497</v>
      </c>
      <c r="C4973">
        <v>153.02000000000001</v>
      </c>
      <c r="D4973">
        <v>1.3342000000000001</v>
      </c>
      <c r="E4973">
        <v>108.22</v>
      </c>
      <c r="F4973">
        <v>330.65</v>
      </c>
      <c r="K4973" s="3"/>
      <c r="O4973" s="3"/>
    </row>
    <row r="4974" spans="1:15">
      <c r="A4974" s="3">
        <v>41498</v>
      </c>
      <c r="B4974" s="3">
        <v>41498</v>
      </c>
      <c r="C4974">
        <v>153.36000000000001</v>
      </c>
      <c r="D4974">
        <v>1.33</v>
      </c>
      <c r="E4974">
        <v>108.97</v>
      </c>
      <c r="F4974">
        <v>330.3</v>
      </c>
      <c r="K4974" s="3"/>
      <c r="O4974" s="3"/>
    </row>
    <row r="4975" spans="1:15">
      <c r="A4975" s="3">
        <v>41499</v>
      </c>
      <c r="B4975" s="3">
        <v>41499</v>
      </c>
      <c r="C4975">
        <v>152.96</v>
      </c>
      <c r="D4975">
        <v>1.3263</v>
      </c>
      <c r="E4975">
        <v>109.82</v>
      </c>
      <c r="F4975">
        <v>331.7</v>
      </c>
      <c r="K4975" s="3"/>
      <c r="O4975" s="3"/>
    </row>
    <row r="4976" spans="1:15">
      <c r="A4976" s="3">
        <v>41500</v>
      </c>
      <c r="B4976" s="3">
        <v>41500</v>
      </c>
      <c r="C4976">
        <v>153.02000000000001</v>
      </c>
      <c r="D4976">
        <v>1.3254999999999999</v>
      </c>
      <c r="E4976">
        <v>110.2</v>
      </c>
      <c r="F4976">
        <v>334</v>
      </c>
      <c r="K4976" s="3"/>
      <c r="O4976" s="3"/>
    </row>
    <row r="4977" spans="1:15">
      <c r="A4977" s="3">
        <v>41501</v>
      </c>
      <c r="B4977" s="3">
        <v>41501</v>
      </c>
      <c r="C4977">
        <v>152.84</v>
      </c>
      <c r="D4977">
        <v>1.3347</v>
      </c>
      <c r="E4977">
        <v>111.11</v>
      </c>
      <c r="F4977">
        <v>333.75</v>
      </c>
      <c r="K4977" s="3"/>
      <c r="O4977" s="3"/>
    </row>
    <row r="4978" spans="1:15">
      <c r="A4978" s="3">
        <v>41502</v>
      </c>
      <c r="B4978" s="3">
        <v>41502</v>
      </c>
      <c r="C4978">
        <v>152.72999999999999</v>
      </c>
      <c r="D4978">
        <v>1.3329</v>
      </c>
      <c r="E4978">
        <v>110.4</v>
      </c>
      <c r="F4978">
        <v>336.3</v>
      </c>
      <c r="K4978" s="3"/>
      <c r="O4978" s="3"/>
    </row>
    <row r="4979" spans="1:15">
      <c r="A4979" s="3">
        <v>41503</v>
      </c>
      <c r="B4979" s="3">
        <v>41503</v>
      </c>
      <c r="C4979">
        <v>152.72999999999999</v>
      </c>
      <c r="D4979">
        <v>1.3329</v>
      </c>
      <c r="E4979">
        <v>110.4</v>
      </c>
      <c r="F4979">
        <v>336.3</v>
      </c>
      <c r="K4979" s="3"/>
      <c r="O4979" s="3"/>
    </row>
    <row r="4980" spans="1:15">
      <c r="A4980" s="3">
        <v>41504</v>
      </c>
      <c r="B4980" s="3">
        <v>41504</v>
      </c>
      <c r="C4980">
        <v>152.72999999999999</v>
      </c>
      <c r="D4980">
        <v>1.3329</v>
      </c>
      <c r="E4980">
        <v>110.4</v>
      </c>
      <c r="F4980">
        <v>336.3</v>
      </c>
      <c r="K4980" s="3"/>
      <c r="O4980" s="3"/>
    </row>
    <row r="4981" spans="1:15">
      <c r="A4981" s="3">
        <v>41505</v>
      </c>
      <c r="B4981" s="3">
        <v>41505</v>
      </c>
      <c r="C4981">
        <v>152.6</v>
      </c>
      <c r="D4981">
        <v>1.3334999999999999</v>
      </c>
      <c r="E4981">
        <v>109.9</v>
      </c>
      <c r="F4981">
        <v>333.2</v>
      </c>
      <c r="K4981" s="3"/>
      <c r="O4981" s="3"/>
    </row>
    <row r="4982" spans="1:15">
      <c r="A4982" s="3">
        <v>41506</v>
      </c>
      <c r="B4982" s="3">
        <v>41506</v>
      </c>
      <c r="C4982">
        <v>152.47999999999999</v>
      </c>
      <c r="D4982">
        <v>1.3416999999999999</v>
      </c>
      <c r="E4982">
        <v>110.15</v>
      </c>
      <c r="F4982">
        <v>333.8</v>
      </c>
      <c r="K4982" s="3"/>
      <c r="O4982" s="3"/>
    </row>
    <row r="4983" spans="1:15">
      <c r="A4983" s="3">
        <v>41507</v>
      </c>
      <c r="B4983" s="3">
        <v>41507</v>
      </c>
      <c r="C4983">
        <v>152.41999999999999</v>
      </c>
      <c r="D4983">
        <v>1.3354999999999999</v>
      </c>
      <c r="E4983">
        <v>109.81</v>
      </c>
      <c r="F4983">
        <v>330.65</v>
      </c>
      <c r="K4983" s="3"/>
      <c r="O4983" s="3"/>
    </row>
    <row r="4984" spans="1:15">
      <c r="A4984" s="3">
        <v>41508</v>
      </c>
      <c r="B4984" s="3">
        <v>41508</v>
      </c>
      <c r="C4984">
        <v>152.54</v>
      </c>
      <c r="D4984">
        <v>1.3355999999999999</v>
      </c>
      <c r="E4984">
        <v>109.9</v>
      </c>
      <c r="F4984">
        <v>333</v>
      </c>
      <c r="K4984" s="3"/>
      <c r="O4984" s="3"/>
    </row>
    <row r="4985" spans="1:15">
      <c r="A4985" s="3">
        <v>41509</v>
      </c>
      <c r="B4985" s="3">
        <v>41509</v>
      </c>
      <c r="C4985">
        <v>152.41999999999999</v>
      </c>
      <c r="D4985">
        <v>1.3383</v>
      </c>
      <c r="E4985">
        <v>111.04</v>
      </c>
      <c r="F4985">
        <v>334.85</v>
      </c>
      <c r="K4985" s="3"/>
      <c r="O4985" s="3"/>
    </row>
    <row r="4986" spans="1:15">
      <c r="A4986" s="3">
        <v>41510</v>
      </c>
      <c r="B4986" s="3">
        <v>41510</v>
      </c>
      <c r="C4986">
        <v>152.41999999999999</v>
      </c>
      <c r="D4986">
        <v>1.3383</v>
      </c>
      <c r="E4986">
        <v>111.04</v>
      </c>
      <c r="F4986">
        <v>334.85</v>
      </c>
      <c r="K4986" s="3"/>
      <c r="O4986" s="3"/>
    </row>
    <row r="4987" spans="1:15">
      <c r="A4987" s="3">
        <v>41511</v>
      </c>
      <c r="B4987" s="3">
        <v>41511</v>
      </c>
      <c r="C4987">
        <v>152.41999999999999</v>
      </c>
      <c r="D4987">
        <v>1.3383</v>
      </c>
      <c r="E4987">
        <v>111.04</v>
      </c>
      <c r="F4987">
        <v>334.85</v>
      </c>
      <c r="K4987" s="3"/>
      <c r="O4987" s="3"/>
    </row>
    <row r="4988" spans="1:15">
      <c r="A4988" s="3">
        <v>41512</v>
      </c>
      <c r="B4988" s="3">
        <v>41512</v>
      </c>
      <c r="C4988">
        <v>152.38999999999999</v>
      </c>
      <c r="D4988">
        <v>1.3368</v>
      </c>
      <c r="E4988">
        <v>110.73</v>
      </c>
      <c r="F4988">
        <v>331.95</v>
      </c>
      <c r="K4988" s="3"/>
      <c r="O4988" s="3"/>
    </row>
    <row r="4989" spans="1:15">
      <c r="A4989" s="3">
        <v>41513</v>
      </c>
      <c r="B4989" s="3">
        <v>41513</v>
      </c>
      <c r="C4989">
        <v>152.44999999999999</v>
      </c>
      <c r="D4989">
        <v>1.3392999999999999</v>
      </c>
      <c r="E4989">
        <v>114.36</v>
      </c>
      <c r="F4989">
        <v>332.85</v>
      </c>
      <c r="K4989" s="3"/>
      <c r="O4989" s="3"/>
    </row>
    <row r="4990" spans="1:15">
      <c r="A4990" s="3">
        <v>41514</v>
      </c>
      <c r="B4990" s="3">
        <v>41514</v>
      </c>
      <c r="C4990">
        <v>152.44999999999999</v>
      </c>
      <c r="D4990">
        <v>1.3340000000000001</v>
      </c>
      <c r="E4990">
        <v>116.61</v>
      </c>
      <c r="F4990">
        <v>330.15</v>
      </c>
      <c r="K4990" s="3"/>
      <c r="O4990" s="3"/>
    </row>
    <row r="4991" spans="1:15">
      <c r="A4991" s="3">
        <v>41515</v>
      </c>
      <c r="B4991" s="3">
        <v>41515</v>
      </c>
      <c r="C4991">
        <v>153</v>
      </c>
      <c r="D4991">
        <v>1.3241000000000001</v>
      </c>
      <c r="E4991">
        <v>115.16</v>
      </c>
      <c r="F4991">
        <v>324.39999999999998</v>
      </c>
      <c r="K4991" s="3"/>
      <c r="O4991" s="3"/>
    </row>
    <row r="4992" spans="1:15">
      <c r="A4992" s="3">
        <v>41516</v>
      </c>
      <c r="B4992" s="3">
        <v>41516</v>
      </c>
      <c r="C4992">
        <v>153</v>
      </c>
      <c r="D4992">
        <v>1.3222</v>
      </c>
      <c r="E4992">
        <v>114.01</v>
      </c>
      <c r="F4992">
        <v>322.5</v>
      </c>
      <c r="K4992" s="3"/>
      <c r="O4992" s="3"/>
    </row>
    <row r="4993" spans="1:15">
      <c r="A4993" s="3">
        <v>41517</v>
      </c>
      <c r="B4993" s="3">
        <v>41517</v>
      </c>
      <c r="C4993">
        <v>153</v>
      </c>
      <c r="D4993">
        <v>1.3222</v>
      </c>
      <c r="E4993">
        <v>114.01</v>
      </c>
      <c r="F4993">
        <v>322.5</v>
      </c>
      <c r="K4993" s="3"/>
      <c r="O4993" s="3"/>
    </row>
    <row r="4994" spans="1:15">
      <c r="A4994" s="3">
        <v>41518</v>
      </c>
      <c r="B4994" s="3">
        <v>41518</v>
      </c>
      <c r="C4994">
        <v>153</v>
      </c>
      <c r="D4994">
        <v>1.3222</v>
      </c>
      <c r="E4994">
        <v>114.01</v>
      </c>
      <c r="F4994">
        <v>322.5</v>
      </c>
      <c r="K4994" s="3"/>
      <c r="O4994" s="3"/>
    </row>
    <row r="4995" spans="1:15">
      <c r="A4995" s="3">
        <v>41519</v>
      </c>
      <c r="B4995" s="3">
        <v>41519</v>
      </c>
      <c r="C4995">
        <v>153.29</v>
      </c>
      <c r="D4995">
        <v>1.3191999999999999</v>
      </c>
      <c r="E4995">
        <v>114.33</v>
      </c>
      <c r="F4995">
        <v>322.5</v>
      </c>
      <c r="K4995" s="3"/>
      <c r="O4995" s="3"/>
    </row>
    <row r="4996" spans="1:15">
      <c r="A4996" s="3">
        <v>41520</v>
      </c>
      <c r="B4996" s="3">
        <v>41520</v>
      </c>
      <c r="C4996">
        <v>153.32</v>
      </c>
      <c r="D4996">
        <v>1.3169999999999999</v>
      </c>
      <c r="E4996">
        <v>115.68</v>
      </c>
      <c r="F4996">
        <v>329.65</v>
      </c>
      <c r="K4996" s="3"/>
      <c r="O4996" s="3"/>
    </row>
    <row r="4997" spans="1:15">
      <c r="A4997" s="3">
        <v>41521</v>
      </c>
      <c r="B4997" s="3">
        <v>41521</v>
      </c>
      <c r="C4997">
        <v>153.22</v>
      </c>
      <c r="D4997">
        <v>1.3207</v>
      </c>
      <c r="E4997">
        <v>114.91</v>
      </c>
      <c r="F4997">
        <v>323.64999999999998</v>
      </c>
      <c r="K4997" s="3"/>
      <c r="O4997" s="3"/>
    </row>
    <row r="4998" spans="1:15">
      <c r="A4998" s="3">
        <v>41522</v>
      </c>
      <c r="B4998" s="3">
        <v>41522</v>
      </c>
      <c r="C4998">
        <v>153.04</v>
      </c>
      <c r="D4998">
        <v>1.3120000000000001</v>
      </c>
      <c r="E4998">
        <v>115.26</v>
      </c>
      <c r="F4998">
        <v>324.10000000000002</v>
      </c>
      <c r="K4998" s="3"/>
      <c r="O4998" s="3"/>
    </row>
    <row r="4999" spans="1:15">
      <c r="A4999" s="3">
        <v>41523</v>
      </c>
      <c r="B4999" s="3">
        <v>41523</v>
      </c>
      <c r="C4999">
        <v>153.09</v>
      </c>
      <c r="D4999">
        <v>1.3178000000000001</v>
      </c>
      <c r="E4999">
        <v>116.12</v>
      </c>
      <c r="F4999">
        <v>325.8</v>
      </c>
      <c r="K4999" s="3"/>
      <c r="O4999" s="3"/>
    </row>
    <row r="5000" spans="1:15">
      <c r="A5000" s="3">
        <v>41524</v>
      </c>
      <c r="B5000" s="3">
        <v>41524</v>
      </c>
      <c r="C5000">
        <v>153.09</v>
      </c>
      <c r="D5000">
        <v>1.3178000000000001</v>
      </c>
      <c r="E5000">
        <v>116.12</v>
      </c>
      <c r="F5000">
        <v>325.8</v>
      </c>
      <c r="K5000" s="3"/>
      <c r="O5000" s="3"/>
    </row>
    <row r="5001" spans="1:15">
      <c r="A5001" s="3">
        <v>41525</v>
      </c>
      <c r="B5001" s="3">
        <v>41525</v>
      </c>
      <c r="C5001">
        <v>153.09</v>
      </c>
      <c r="D5001">
        <v>1.3178000000000001</v>
      </c>
      <c r="E5001">
        <v>116.12</v>
      </c>
      <c r="F5001">
        <v>325.8</v>
      </c>
      <c r="K5001" s="3"/>
      <c r="O5001" s="3"/>
    </row>
    <row r="5002" spans="1:15">
      <c r="A5002" s="3">
        <v>41526</v>
      </c>
      <c r="B5002" s="3">
        <v>41526</v>
      </c>
      <c r="C5002">
        <v>153.35</v>
      </c>
      <c r="D5002">
        <v>1.3254999999999999</v>
      </c>
      <c r="E5002">
        <v>113.72</v>
      </c>
      <c r="F5002">
        <v>327.55</v>
      </c>
      <c r="K5002" s="3"/>
      <c r="O5002" s="3"/>
    </row>
    <row r="5003" spans="1:15">
      <c r="A5003" s="3">
        <v>41527</v>
      </c>
      <c r="B5003" s="3">
        <v>41527</v>
      </c>
      <c r="C5003">
        <v>153.58000000000001</v>
      </c>
      <c r="D5003">
        <v>1.3268</v>
      </c>
      <c r="E5003">
        <v>111.25</v>
      </c>
      <c r="F5003">
        <v>326.14999999999998</v>
      </c>
      <c r="K5003" s="3"/>
      <c r="O5003" s="3"/>
    </row>
    <row r="5004" spans="1:15">
      <c r="A5004" s="3">
        <v>41528</v>
      </c>
      <c r="B5004" s="3">
        <v>41528</v>
      </c>
      <c r="C5004">
        <v>153.6</v>
      </c>
      <c r="D5004">
        <v>1.3310999999999999</v>
      </c>
      <c r="E5004">
        <v>111.5</v>
      </c>
      <c r="F5004">
        <v>325.64999999999998</v>
      </c>
      <c r="K5004" s="3"/>
      <c r="O5004" s="3"/>
    </row>
    <row r="5005" spans="1:15">
      <c r="A5005" s="3">
        <v>41529</v>
      </c>
      <c r="B5005" s="3">
        <v>41529</v>
      </c>
      <c r="C5005">
        <v>153.38</v>
      </c>
      <c r="D5005">
        <v>1.3299000000000001</v>
      </c>
      <c r="E5005">
        <v>112.63</v>
      </c>
      <c r="F5005">
        <v>321.25</v>
      </c>
      <c r="K5005" s="3"/>
      <c r="O5005" s="3"/>
    </row>
    <row r="5006" spans="1:15">
      <c r="A5006" s="3">
        <v>41530</v>
      </c>
      <c r="B5006" s="3">
        <v>41530</v>
      </c>
      <c r="C5006">
        <v>153.43</v>
      </c>
      <c r="D5006">
        <v>1.3293999999999999</v>
      </c>
      <c r="E5006">
        <v>112.78</v>
      </c>
      <c r="F5006">
        <v>320.7</v>
      </c>
      <c r="K5006" s="3"/>
      <c r="O5006" s="3"/>
    </row>
    <row r="5007" spans="1:15">
      <c r="A5007" s="3">
        <v>41531</v>
      </c>
      <c r="B5007" s="3">
        <v>41531</v>
      </c>
      <c r="C5007">
        <v>153.43</v>
      </c>
      <c r="D5007">
        <v>1.3293999999999999</v>
      </c>
      <c r="E5007">
        <v>112.78</v>
      </c>
      <c r="F5007">
        <v>320.7</v>
      </c>
      <c r="K5007" s="3"/>
      <c r="O5007" s="3"/>
    </row>
    <row r="5008" spans="1:15">
      <c r="A5008" s="3">
        <v>41532</v>
      </c>
      <c r="B5008" s="3">
        <v>41532</v>
      </c>
      <c r="C5008">
        <v>153.43</v>
      </c>
      <c r="D5008">
        <v>1.3293999999999999</v>
      </c>
      <c r="E5008">
        <v>112.78</v>
      </c>
      <c r="F5008">
        <v>320.7</v>
      </c>
      <c r="K5008" s="3"/>
      <c r="O5008" s="3"/>
    </row>
    <row r="5009" spans="1:15">
      <c r="A5009" s="3">
        <v>41533</v>
      </c>
      <c r="B5009" s="3">
        <v>41533</v>
      </c>
      <c r="C5009">
        <v>153.4</v>
      </c>
      <c r="D5009">
        <v>1.3333999999999999</v>
      </c>
      <c r="E5009">
        <v>110.07</v>
      </c>
      <c r="F5009">
        <v>322.7</v>
      </c>
      <c r="K5009" s="3"/>
      <c r="O5009" s="3"/>
    </row>
    <row r="5010" spans="1:15">
      <c r="A5010" s="3">
        <v>41534</v>
      </c>
      <c r="B5010" s="3">
        <v>41534</v>
      </c>
      <c r="C5010">
        <v>153.46</v>
      </c>
      <c r="D5010">
        <v>1.3359000000000001</v>
      </c>
      <c r="E5010">
        <v>108.19</v>
      </c>
      <c r="F5010">
        <v>322.8</v>
      </c>
      <c r="K5010" s="3"/>
      <c r="O5010" s="3"/>
    </row>
    <row r="5011" spans="1:15">
      <c r="A5011" s="3">
        <v>41535</v>
      </c>
      <c r="B5011" s="3">
        <v>41535</v>
      </c>
      <c r="C5011">
        <v>153.47999999999999</v>
      </c>
      <c r="D5011">
        <v>1.3521000000000001</v>
      </c>
      <c r="E5011">
        <v>110.6</v>
      </c>
      <c r="F5011">
        <v>328.35</v>
      </c>
      <c r="K5011" s="3"/>
      <c r="O5011" s="3"/>
    </row>
    <row r="5012" spans="1:15">
      <c r="A5012" s="3">
        <v>41536</v>
      </c>
      <c r="B5012" s="3">
        <v>41536</v>
      </c>
      <c r="C5012">
        <v>153.02000000000001</v>
      </c>
      <c r="D5012">
        <v>1.353</v>
      </c>
      <c r="E5012">
        <v>108.76</v>
      </c>
      <c r="F5012">
        <v>335</v>
      </c>
      <c r="K5012" s="3"/>
      <c r="O5012" s="3"/>
    </row>
    <row r="5013" spans="1:15">
      <c r="A5013" s="3">
        <v>41537</v>
      </c>
      <c r="B5013" s="3">
        <v>41537</v>
      </c>
      <c r="C5013">
        <v>153.1</v>
      </c>
      <c r="D5013">
        <v>1.3524</v>
      </c>
      <c r="E5013">
        <v>109.22</v>
      </c>
      <c r="F5013">
        <v>332.75</v>
      </c>
      <c r="K5013" s="3"/>
      <c r="O5013" s="3"/>
    </row>
    <row r="5014" spans="1:15">
      <c r="A5014" s="3">
        <v>41538</v>
      </c>
      <c r="B5014" s="3">
        <v>41538</v>
      </c>
      <c r="C5014">
        <v>153.1</v>
      </c>
      <c r="D5014">
        <v>1.3524</v>
      </c>
      <c r="E5014">
        <v>109.22</v>
      </c>
      <c r="F5014">
        <v>332.75</v>
      </c>
      <c r="K5014" s="3"/>
      <c r="O5014" s="3"/>
    </row>
    <row r="5015" spans="1:15">
      <c r="A5015" s="3">
        <v>41539</v>
      </c>
      <c r="B5015" s="3">
        <v>41539</v>
      </c>
      <c r="C5015">
        <v>153.1</v>
      </c>
      <c r="D5015">
        <v>1.3524</v>
      </c>
      <c r="E5015">
        <v>109.22</v>
      </c>
      <c r="F5015">
        <v>332.75</v>
      </c>
      <c r="K5015" s="3"/>
      <c r="O5015" s="3"/>
    </row>
    <row r="5016" spans="1:15">
      <c r="A5016" s="3">
        <v>41540</v>
      </c>
      <c r="B5016" s="3">
        <v>41540</v>
      </c>
      <c r="C5016">
        <v>153.02000000000001</v>
      </c>
      <c r="D5016">
        <v>1.3492999999999999</v>
      </c>
      <c r="E5016">
        <v>108.16</v>
      </c>
      <c r="F5016">
        <v>330.8</v>
      </c>
      <c r="K5016" s="3"/>
      <c r="O5016" s="3"/>
    </row>
    <row r="5017" spans="1:15">
      <c r="A5017" s="3">
        <v>41541</v>
      </c>
      <c r="B5017" s="3">
        <v>41541</v>
      </c>
      <c r="C5017">
        <v>153.16</v>
      </c>
      <c r="D5017">
        <v>1.3473999999999999</v>
      </c>
      <c r="E5017">
        <v>108.64</v>
      </c>
      <c r="F5017">
        <v>326.55</v>
      </c>
      <c r="K5017" s="3"/>
      <c r="O5017" s="3"/>
    </row>
    <row r="5018" spans="1:15">
      <c r="A5018" s="3">
        <v>41542</v>
      </c>
      <c r="B5018" s="3">
        <v>41542</v>
      </c>
      <c r="C5018">
        <v>153.74</v>
      </c>
      <c r="D5018">
        <v>1.3526</v>
      </c>
      <c r="E5018">
        <v>108.32</v>
      </c>
      <c r="F5018">
        <v>328.05</v>
      </c>
      <c r="K5018" s="3"/>
      <c r="O5018" s="3"/>
    </row>
    <row r="5019" spans="1:15">
      <c r="A5019" s="3">
        <v>41543</v>
      </c>
      <c r="B5019" s="3">
        <v>41543</v>
      </c>
      <c r="C5019">
        <v>153.65</v>
      </c>
      <c r="D5019">
        <v>1.3489</v>
      </c>
      <c r="E5019">
        <v>109.21</v>
      </c>
      <c r="F5019">
        <v>330.4</v>
      </c>
      <c r="K5019" s="3"/>
      <c r="O5019" s="3"/>
    </row>
    <row r="5020" spans="1:15">
      <c r="A5020" s="3">
        <v>41544</v>
      </c>
      <c r="B5020" s="3">
        <v>41544</v>
      </c>
      <c r="C5020">
        <v>153.77000000000001</v>
      </c>
      <c r="D5020">
        <v>1.3522000000000001</v>
      </c>
      <c r="E5020">
        <v>108.63</v>
      </c>
      <c r="F5020">
        <v>332.95</v>
      </c>
      <c r="K5020" s="3"/>
      <c r="O5020" s="3"/>
    </row>
    <row r="5021" spans="1:15">
      <c r="A5021" s="3">
        <v>41545</v>
      </c>
      <c r="B5021" s="3">
        <v>41545</v>
      </c>
      <c r="C5021">
        <v>153.77000000000001</v>
      </c>
      <c r="D5021">
        <v>1.3522000000000001</v>
      </c>
      <c r="E5021">
        <v>108.63</v>
      </c>
      <c r="F5021">
        <v>332.95</v>
      </c>
      <c r="K5021" s="3"/>
      <c r="O5021" s="3"/>
    </row>
    <row r="5022" spans="1:15">
      <c r="A5022" s="3">
        <v>41546</v>
      </c>
      <c r="B5022" s="3">
        <v>41546</v>
      </c>
      <c r="C5022">
        <v>153.77000000000001</v>
      </c>
      <c r="D5022">
        <v>1.3522000000000001</v>
      </c>
      <c r="E5022">
        <v>108.63</v>
      </c>
      <c r="F5022">
        <v>332.95</v>
      </c>
      <c r="K5022" s="3"/>
      <c r="O5022" s="3"/>
    </row>
    <row r="5023" spans="1:15">
      <c r="A5023" s="3">
        <v>41547</v>
      </c>
      <c r="B5023" s="3">
        <v>41547</v>
      </c>
      <c r="C5023">
        <v>153.82</v>
      </c>
      <c r="D5023">
        <v>1.3527</v>
      </c>
      <c r="E5023">
        <v>108.37</v>
      </c>
      <c r="F5023">
        <v>332.3</v>
      </c>
      <c r="K5023" s="3"/>
      <c r="O5023" s="3"/>
    </row>
    <row r="5024" spans="1:15">
      <c r="A5024" s="3">
        <v>41548</v>
      </c>
      <c r="B5024" s="3">
        <v>41548</v>
      </c>
      <c r="C5024">
        <v>153.96</v>
      </c>
      <c r="D5024">
        <v>1.3526</v>
      </c>
      <c r="E5024">
        <v>107.94</v>
      </c>
      <c r="F5024">
        <v>327.39999999999998</v>
      </c>
      <c r="K5024" s="3"/>
      <c r="O5024" s="3"/>
    </row>
    <row r="5025" spans="1:15">
      <c r="A5025" s="3">
        <v>41549</v>
      </c>
      <c r="B5025" s="3">
        <v>41549</v>
      </c>
      <c r="C5025">
        <v>154.1</v>
      </c>
      <c r="D5025">
        <v>1.3579000000000001</v>
      </c>
      <c r="E5025">
        <v>109.19</v>
      </c>
      <c r="F5025">
        <v>331.6</v>
      </c>
      <c r="K5025" s="3"/>
      <c r="O5025" s="3"/>
    </row>
    <row r="5026" spans="1:15">
      <c r="A5026" s="3">
        <v>41550</v>
      </c>
      <c r="B5026" s="3">
        <v>41550</v>
      </c>
      <c r="C5026">
        <v>154.15</v>
      </c>
      <c r="D5026">
        <v>1.3619000000000001</v>
      </c>
      <c r="E5026">
        <v>109</v>
      </c>
      <c r="F5026">
        <v>326.85000000000002</v>
      </c>
      <c r="K5026" s="3"/>
      <c r="O5026" s="3"/>
    </row>
    <row r="5027" spans="1:15">
      <c r="A5027" s="3">
        <v>41551</v>
      </c>
      <c r="B5027" s="3">
        <v>41551</v>
      </c>
      <c r="C5027">
        <v>154.26</v>
      </c>
      <c r="D5027">
        <v>1.3557999999999999</v>
      </c>
      <c r="E5027">
        <v>109.46</v>
      </c>
      <c r="F5027">
        <v>330.1</v>
      </c>
      <c r="K5027" s="3"/>
      <c r="O5027" s="3"/>
    </row>
    <row r="5028" spans="1:15">
      <c r="A5028" s="3">
        <v>41552</v>
      </c>
      <c r="B5028" s="3">
        <v>41552</v>
      </c>
      <c r="C5028">
        <v>154.26</v>
      </c>
      <c r="D5028">
        <v>1.3557999999999999</v>
      </c>
      <c r="E5028">
        <v>109.46</v>
      </c>
      <c r="F5028">
        <v>330.1</v>
      </c>
      <c r="K5028" s="3"/>
      <c r="O5028" s="3"/>
    </row>
    <row r="5029" spans="1:15">
      <c r="A5029" s="3">
        <v>41553</v>
      </c>
      <c r="B5029" s="3">
        <v>41553</v>
      </c>
      <c r="C5029">
        <v>154.26</v>
      </c>
      <c r="D5029">
        <v>1.3557999999999999</v>
      </c>
      <c r="E5029">
        <v>109.46</v>
      </c>
      <c r="F5029">
        <v>330.1</v>
      </c>
      <c r="K5029" s="3"/>
      <c r="O5029" s="3"/>
    </row>
    <row r="5030" spans="1:15">
      <c r="A5030" s="3">
        <v>41554</v>
      </c>
      <c r="B5030" s="3">
        <v>41554</v>
      </c>
      <c r="C5030">
        <v>154.30000000000001</v>
      </c>
      <c r="D5030">
        <v>1.3581000000000001</v>
      </c>
      <c r="E5030">
        <v>109.68</v>
      </c>
      <c r="F5030">
        <v>329.65</v>
      </c>
      <c r="K5030" s="3"/>
      <c r="O5030" s="3"/>
    </row>
    <row r="5031" spans="1:15">
      <c r="A5031" s="3">
        <v>41555</v>
      </c>
      <c r="B5031" s="3">
        <v>41555</v>
      </c>
      <c r="C5031">
        <v>154.18</v>
      </c>
      <c r="D5031">
        <v>1.3573</v>
      </c>
      <c r="E5031">
        <v>110.16</v>
      </c>
      <c r="F5031">
        <v>329.25</v>
      </c>
      <c r="K5031" s="3"/>
      <c r="O5031" s="3"/>
    </row>
    <row r="5032" spans="1:15">
      <c r="A5032" s="3">
        <v>41556</v>
      </c>
      <c r="B5032" s="3">
        <v>41556</v>
      </c>
      <c r="C5032">
        <v>154.41999999999999</v>
      </c>
      <c r="D5032">
        <v>1.3524</v>
      </c>
      <c r="E5032">
        <v>109.06</v>
      </c>
      <c r="F5032">
        <v>323.10000000000002</v>
      </c>
      <c r="K5032" s="3"/>
      <c r="O5032" s="3"/>
    </row>
    <row r="5033" spans="1:15">
      <c r="A5033" s="3">
        <v>41557</v>
      </c>
      <c r="B5033" s="3">
        <v>41557</v>
      </c>
      <c r="C5033">
        <v>154.04</v>
      </c>
      <c r="D5033">
        <v>1.3520000000000001</v>
      </c>
      <c r="E5033">
        <v>111.8</v>
      </c>
      <c r="F5033">
        <v>324.85000000000002</v>
      </c>
      <c r="K5033" s="3"/>
      <c r="O5033" s="3"/>
    </row>
    <row r="5034" spans="1:15">
      <c r="A5034" s="3">
        <v>41558</v>
      </c>
      <c r="B5034" s="3">
        <v>41558</v>
      </c>
      <c r="C5034">
        <v>153.74</v>
      </c>
      <c r="D5034">
        <v>1.3544</v>
      </c>
      <c r="E5034">
        <v>111.28</v>
      </c>
      <c r="F5034">
        <v>326.89999999999998</v>
      </c>
      <c r="K5034" s="3"/>
      <c r="O5034" s="3"/>
    </row>
    <row r="5035" spans="1:15">
      <c r="A5035" s="3">
        <v>41559</v>
      </c>
      <c r="B5035" s="3">
        <v>41559</v>
      </c>
      <c r="C5035">
        <v>153.74</v>
      </c>
      <c r="D5035">
        <v>1.3544</v>
      </c>
      <c r="E5035">
        <v>111.28</v>
      </c>
      <c r="F5035">
        <v>326.89999999999998</v>
      </c>
      <c r="K5035" s="3"/>
      <c r="O5035" s="3"/>
    </row>
    <row r="5036" spans="1:15">
      <c r="A5036" s="3">
        <v>41560</v>
      </c>
      <c r="B5036" s="3">
        <v>41560</v>
      </c>
      <c r="C5036">
        <v>153.74</v>
      </c>
      <c r="D5036">
        <v>1.3544</v>
      </c>
      <c r="E5036">
        <v>111.28</v>
      </c>
      <c r="F5036">
        <v>326.89999999999998</v>
      </c>
      <c r="K5036" s="3"/>
      <c r="O5036" s="3"/>
    </row>
    <row r="5037" spans="1:15">
      <c r="A5037" s="3">
        <v>41561</v>
      </c>
      <c r="B5037" s="3">
        <v>41561</v>
      </c>
      <c r="C5037">
        <v>153.78</v>
      </c>
      <c r="D5037">
        <v>1.3561000000000001</v>
      </c>
      <c r="E5037">
        <v>111.04</v>
      </c>
      <c r="F5037">
        <v>330.3</v>
      </c>
      <c r="K5037" s="3"/>
      <c r="O5037" s="3"/>
    </row>
    <row r="5038" spans="1:15">
      <c r="A5038" s="3">
        <v>41562</v>
      </c>
      <c r="B5038" s="3">
        <v>41562</v>
      </c>
      <c r="C5038">
        <v>153.78</v>
      </c>
      <c r="D5038">
        <v>1.3524</v>
      </c>
      <c r="E5038">
        <v>109.96</v>
      </c>
      <c r="F5038">
        <v>330.75</v>
      </c>
      <c r="K5038" s="3"/>
      <c r="O5038" s="3"/>
    </row>
    <row r="5039" spans="1:15">
      <c r="A5039" s="3">
        <v>41563</v>
      </c>
      <c r="B5039" s="3">
        <v>41563</v>
      </c>
      <c r="C5039">
        <v>153.87</v>
      </c>
      <c r="D5039">
        <v>1.3533999999999999</v>
      </c>
      <c r="E5039">
        <v>110.86</v>
      </c>
      <c r="F5039">
        <v>330.8</v>
      </c>
      <c r="K5039" s="3"/>
      <c r="O5039" s="3"/>
    </row>
    <row r="5040" spans="1:15">
      <c r="A5040" s="3">
        <v>41564</v>
      </c>
      <c r="B5040" s="3">
        <v>41564</v>
      </c>
      <c r="C5040">
        <v>153.91</v>
      </c>
      <c r="D5040">
        <v>1.3674999999999999</v>
      </c>
      <c r="E5040">
        <v>109.11</v>
      </c>
      <c r="F5040">
        <v>329.7</v>
      </c>
      <c r="K5040" s="3"/>
      <c r="O5040" s="3"/>
    </row>
    <row r="5041" spans="1:15">
      <c r="A5041" s="3">
        <v>41565</v>
      </c>
      <c r="B5041" s="3">
        <v>41565</v>
      </c>
      <c r="C5041">
        <v>153.99</v>
      </c>
      <c r="D5041">
        <v>1.3687</v>
      </c>
      <c r="E5041">
        <v>109.94</v>
      </c>
      <c r="F5041">
        <v>329.9</v>
      </c>
      <c r="K5041" s="3"/>
      <c r="O5041" s="3"/>
    </row>
    <row r="5042" spans="1:15">
      <c r="A5042" s="3">
        <v>41566</v>
      </c>
      <c r="B5042" s="3">
        <v>41566</v>
      </c>
      <c r="C5042">
        <v>153.99</v>
      </c>
      <c r="D5042">
        <v>1.3687</v>
      </c>
      <c r="E5042">
        <v>109.94</v>
      </c>
      <c r="F5042">
        <v>329.9</v>
      </c>
      <c r="K5042" s="3"/>
      <c r="O5042" s="3"/>
    </row>
    <row r="5043" spans="1:15">
      <c r="A5043" s="3">
        <v>41567</v>
      </c>
      <c r="B5043" s="3">
        <v>41567</v>
      </c>
      <c r="C5043">
        <v>153.99</v>
      </c>
      <c r="D5043">
        <v>1.3687</v>
      </c>
      <c r="E5043">
        <v>109.94</v>
      </c>
      <c r="F5043">
        <v>329.9</v>
      </c>
      <c r="K5043" s="3"/>
      <c r="O5043" s="3"/>
    </row>
    <row r="5044" spans="1:15">
      <c r="A5044" s="3">
        <v>41568</v>
      </c>
      <c r="B5044" s="3">
        <v>41568</v>
      </c>
      <c r="C5044">
        <v>153.83000000000001</v>
      </c>
      <c r="D5044">
        <v>1.3681000000000001</v>
      </c>
      <c r="E5044">
        <v>109.64</v>
      </c>
      <c r="F5044">
        <v>330.35</v>
      </c>
      <c r="K5044" s="3"/>
      <c r="O5044" s="3"/>
    </row>
    <row r="5045" spans="1:15">
      <c r="A5045" s="3">
        <v>41569</v>
      </c>
      <c r="B5045" s="3">
        <v>41569</v>
      </c>
      <c r="C5045">
        <v>153.81</v>
      </c>
      <c r="D5045">
        <v>1.3781000000000001</v>
      </c>
      <c r="E5045">
        <v>109.97</v>
      </c>
      <c r="F5045">
        <v>333.55</v>
      </c>
      <c r="K5045" s="3"/>
      <c r="O5045" s="3"/>
    </row>
    <row r="5046" spans="1:15">
      <c r="A5046" s="3">
        <v>41570</v>
      </c>
      <c r="B5046" s="3">
        <v>41570</v>
      </c>
      <c r="C5046">
        <v>153.88</v>
      </c>
      <c r="D5046">
        <v>1.3775999999999999</v>
      </c>
      <c r="E5046">
        <v>107.8</v>
      </c>
      <c r="F5046">
        <v>326.75</v>
      </c>
      <c r="K5046" s="3"/>
      <c r="O5046" s="3"/>
    </row>
    <row r="5047" spans="1:15">
      <c r="A5047" s="3">
        <v>41571</v>
      </c>
      <c r="B5047" s="3">
        <v>41571</v>
      </c>
      <c r="C5047">
        <v>153.72999999999999</v>
      </c>
      <c r="D5047">
        <v>1.3801000000000001</v>
      </c>
      <c r="E5047">
        <v>106.99</v>
      </c>
      <c r="F5047">
        <v>326.35000000000002</v>
      </c>
      <c r="K5047" s="3"/>
      <c r="O5047" s="3"/>
    </row>
    <row r="5048" spans="1:15">
      <c r="A5048" s="3">
        <v>41572</v>
      </c>
      <c r="B5048" s="3">
        <v>41572</v>
      </c>
      <c r="C5048">
        <v>153.94</v>
      </c>
      <c r="D5048">
        <v>1.3802000000000001</v>
      </c>
      <c r="E5048">
        <v>106.93</v>
      </c>
      <c r="F5048">
        <v>326.89999999999998</v>
      </c>
      <c r="K5048" s="3"/>
      <c r="O5048" s="3"/>
    </row>
    <row r="5049" spans="1:15">
      <c r="A5049" s="3">
        <v>41573</v>
      </c>
      <c r="B5049" s="3">
        <v>41573</v>
      </c>
      <c r="C5049">
        <v>153.94</v>
      </c>
      <c r="D5049">
        <v>1.3802000000000001</v>
      </c>
      <c r="E5049">
        <v>106.93</v>
      </c>
      <c r="F5049">
        <v>326.89999999999998</v>
      </c>
      <c r="K5049" s="3"/>
      <c r="O5049" s="3"/>
    </row>
    <row r="5050" spans="1:15">
      <c r="A5050" s="3">
        <v>41574</v>
      </c>
      <c r="B5050" s="3">
        <v>41574</v>
      </c>
      <c r="C5050">
        <v>153.94</v>
      </c>
      <c r="D5050">
        <v>1.3802000000000001</v>
      </c>
      <c r="E5050">
        <v>106.93</v>
      </c>
      <c r="F5050">
        <v>326.89999999999998</v>
      </c>
      <c r="K5050" s="3"/>
      <c r="O5050" s="3"/>
    </row>
    <row r="5051" spans="1:15">
      <c r="A5051" s="3">
        <v>41575</v>
      </c>
      <c r="B5051" s="3">
        <v>41575</v>
      </c>
      <c r="C5051">
        <v>154.4</v>
      </c>
      <c r="D5051">
        <v>1.3785000000000001</v>
      </c>
      <c r="E5051">
        <v>109.61</v>
      </c>
      <c r="F5051">
        <v>326.89999999999998</v>
      </c>
      <c r="K5051" s="3"/>
      <c r="O5051" s="3"/>
    </row>
    <row r="5052" spans="1:15">
      <c r="A5052" s="3">
        <v>41576</v>
      </c>
      <c r="B5052" s="3">
        <v>41576</v>
      </c>
      <c r="C5052">
        <v>154.26</v>
      </c>
      <c r="D5052">
        <v>1.3745000000000001</v>
      </c>
      <c r="E5052">
        <v>109.01</v>
      </c>
      <c r="F5052">
        <v>327.8</v>
      </c>
      <c r="K5052" s="3"/>
      <c r="O5052" s="3"/>
    </row>
    <row r="5053" spans="1:15">
      <c r="A5053" s="3">
        <v>41577</v>
      </c>
      <c r="B5053" s="3">
        <v>41577</v>
      </c>
      <c r="C5053">
        <v>154.29</v>
      </c>
      <c r="D5053">
        <v>1.3735999999999999</v>
      </c>
      <c r="E5053">
        <v>109.86</v>
      </c>
      <c r="F5053">
        <v>332.55</v>
      </c>
      <c r="K5053" s="3"/>
      <c r="O5053" s="3"/>
    </row>
    <row r="5054" spans="1:15">
      <c r="A5054" s="3">
        <v>41578</v>
      </c>
      <c r="B5054" s="3">
        <v>41578</v>
      </c>
      <c r="C5054">
        <v>154.22</v>
      </c>
      <c r="D5054">
        <v>1.3584000000000001</v>
      </c>
      <c r="E5054">
        <v>108.84</v>
      </c>
      <c r="F5054">
        <v>330.05</v>
      </c>
      <c r="K5054" s="3"/>
      <c r="O5054" s="3"/>
    </row>
    <row r="5055" spans="1:15">
      <c r="A5055" s="3">
        <v>41579</v>
      </c>
      <c r="B5055" s="3">
        <v>41579</v>
      </c>
      <c r="C5055">
        <v>154.38</v>
      </c>
      <c r="D5055">
        <v>1.3487</v>
      </c>
      <c r="E5055">
        <v>105.91</v>
      </c>
      <c r="F5055">
        <v>329.85</v>
      </c>
      <c r="K5055" s="3"/>
      <c r="O5055" s="3"/>
    </row>
    <row r="5056" spans="1:15">
      <c r="A5056" s="3">
        <v>41580</v>
      </c>
      <c r="B5056" s="3">
        <v>41580</v>
      </c>
      <c r="C5056">
        <v>154.38</v>
      </c>
      <c r="D5056">
        <v>1.3487</v>
      </c>
      <c r="E5056">
        <v>105.91</v>
      </c>
      <c r="F5056">
        <v>329.85</v>
      </c>
      <c r="K5056" s="3"/>
      <c r="O5056" s="3"/>
    </row>
    <row r="5057" spans="1:15">
      <c r="A5057" s="3">
        <v>41581</v>
      </c>
      <c r="B5057" s="3">
        <v>41581</v>
      </c>
      <c r="C5057">
        <v>154.38</v>
      </c>
      <c r="D5057">
        <v>1.3487</v>
      </c>
      <c r="E5057">
        <v>105.91</v>
      </c>
      <c r="F5057">
        <v>329.85</v>
      </c>
      <c r="K5057" s="3"/>
      <c r="O5057" s="3"/>
    </row>
    <row r="5058" spans="1:15">
      <c r="A5058" s="3">
        <v>41582</v>
      </c>
      <c r="B5058" s="3">
        <v>41582</v>
      </c>
      <c r="C5058">
        <v>154.32</v>
      </c>
      <c r="D5058">
        <v>1.3513999999999999</v>
      </c>
      <c r="E5058">
        <v>106.23</v>
      </c>
      <c r="F5058">
        <v>325.3</v>
      </c>
      <c r="K5058" s="3"/>
      <c r="O5058" s="3"/>
    </row>
    <row r="5059" spans="1:15">
      <c r="A5059" s="3">
        <v>41583</v>
      </c>
      <c r="B5059" s="3">
        <v>41583</v>
      </c>
      <c r="C5059">
        <v>154</v>
      </c>
      <c r="D5059">
        <v>1.3473999999999999</v>
      </c>
      <c r="E5059">
        <v>105.33</v>
      </c>
      <c r="F5059">
        <v>325.85000000000002</v>
      </c>
      <c r="K5059" s="3"/>
      <c r="O5059" s="3"/>
    </row>
    <row r="5060" spans="1:15">
      <c r="A5060" s="3">
        <v>41584</v>
      </c>
      <c r="B5060" s="3">
        <v>41584</v>
      </c>
      <c r="C5060">
        <v>153.84</v>
      </c>
      <c r="D5060">
        <v>1.3512999999999999</v>
      </c>
      <c r="E5060">
        <v>105.24</v>
      </c>
      <c r="F5060">
        <v>323.7</v>
      </c>
      <c r="K5060" s="3"/>
      <c r="O5060" s="3"/>
    </row>
    <row r="5061" spans="1:15">
      <c r="A5061" s="3">
        <v>41585</v>
      </c>
      <c r="B5061" s="3">
        <v>41585</v>
      </c>
      <c r="C5061">
        <v>153.76</v>
      </c>
      <c r="D5061">
        <v>1.3419000000000001</v>
      </c>
      <c r="E5061">
        <v>103.46</v>
      </c>
      <c r="F5061">
        <v>324.85000000000002</v>
      </c>
      <c r="K5061" s="3"/>
      <c r="O5061" s="3"/>
    </row>
    <row r="5062" spans="1:15">
      <c r="A5062" s="3">
        <v>41586</v>
      </c>
      <c r="B5062" s="3">
        <v>41586</v>
      </c>
      <c r="C5062">
        <v>153.41999999999999</v>
      </c>
      <c r="D5062">
        <v>1.3367</v>
      </c>
      <c r="E5062">
        <v>105.12</v>
      </c>
      <c r="F5062">
        <v>325.39999999999998</v>
      </c>
      <c r="K5062" s="3"/>
      <c r="O5062" s="3"/>
    </row>
    <row r="5063" spans="1:15">
      <c r="A5063" s="3">
        <v>41587</v>
      </c>
      <c r="B5063" s="3">
        <v>41587</v>
      </c>
      <c r="C5063">
        <v>153.41999999999999</v>
      </c>
      <c r="D5063">
        <v>1.3367</v>
      </c>
      <c r="E5063">
        <v>105.12</v>
      </c>
      <c r="F5063">
        <v>325.39999999999998</v>
      </c>
      <c r="K5063" s="3"/>
      <c r="O5063" s="3"/>
    </row>
    <row r="5064" spans="1:15">
      <c r="A5064" s="3">
        <v>41588</v>
      </c>
      <c r="B5064" s="3">
        <v>41588</v>
      </c>
      <c r="C5064">
        <v>153.41999999999999</v>
      </c>
      <c r="D5064">
        <v>1.3367</v>
      </c>
      <c r="E5064">
        <v>105.12</v>
      </c>
      <c r="F5064">
        <v>325.39999999999998</v>
      </c>
      <c r="K5064" s="3"/>
      <c r="O5064" s="3"/>
    </row>
    <row r="5065" spans="1:15">
      <c r="A5065" s="3">
        <v>41589</v>
      </c>
      <c r="B5065" s="3">
        <v>41589</v>
      </c>
      <c r="C5065">
        <v>153.19999999999999</v>
      </c>
      <c r="D5065">
        <v>1.3407</v>
      </c>
      <c r="E5065">
        <v>106.4</v>
      </c>
      <c r="F5065">
        <v>325.95</v>
      </c>
      <c r="K5065" s="3"/>
      <c r="O5065" s="3"/>
    </row>
    <row r="5066" spans="1:15">
      <c r="A5066" s="3">
        <v>41590</v>
      </c>
      <c r="B5066" s="3">
        <v>41590</v>
      </c>
      <c r="C5066">
        <v>153.41999999999999</v>
      </c>
      <c r="D5066">
        <v>1.3435999999999999</v>
      </c>
      <c r="E5066">
        <v>105.81</v>
      </c>
      <c r="F5066">
        <v>323.39999999999998</v>
      </c>
      <c r="K5066" s="3"/>
      <c r="O5066" s="3"/>
    </row>
    <row r="5067" spans="1:15">
      <c r="A5067" s="3">
        <v>41591</v>
      </c>
      <c r="B5067" s="3">
        <v>41591</v>
      </c>
      <c r="C5067">
        <v>153.06</v>
      </c>
      <c r="D5067">
        <v>1.3487</v>
      </c>
      <c r="E5067">
        <v>107.12</v>
      </c>
      <c r="F5067">
        <v>315.95</v>
      </c>
      <c r="K5067" s="3"/>
      <c r="O5067" s="3"/>
    </row>
    <row r="5068" spans="1:15">
      <c r="A5068" s="3">
        <v>41592</v>
      </c>
      <c r="B5068" s="3">
        <v>41592</v>
      </c>
      <c r="C5068">
        <v>153.28</v>
      </c>
      <c r="D5068">
        <v>1.3461000000000001</v>
      </c>
      <c r="E5068">
        <v>108.54</v>
      </c>
      <c r="F5068">
        <v>316.05</v>
      </c>
      <c r="K5068" s="3"/>
      <c r="O5068" s="3"/>
    </row>
    <row r="5069" spans="1:15">
      <c r="A5069" s="3">
        <v>41593</v>
      </c>
      <c r="B5069" s="3">
        <v>41593</v>
      </c>
      <c r="C5069">
        <v>153.38999999999999</v>
      </c>
      <c r="D5069">
        <v>1.3495999999999999</v>
      </c>
      <c r="E5069">
        <v>108.5</v>
      </c>
      <c r="F5069">
        <v>317.10000000000002</v>
      </c>
      <c r="K5069" s="3"/>
      <c r="O5069" s="3"/>
    </row>
    <row r="5070" spans="1:15">
      <c r="A5070" s="3">
        <v>41594</v>
      </c>
      <c r="B5070" s="3">
        <v>41594</v>
      </c>
      <c r="C5070">
        <v>153.38999999999999</v>
      </c>
      <c r="D5070">
        <v>1.3495999999999999</v>
      </c>
      <c r="E5070">
        <v>108.5</v>
      </c>
      <c r="F5070">
        <v>317.10000000000002</v>
      </c>
      <c r="K5070" s="3"/>
      <c r="O5070" s="3"/>
    </row>
    <row r="5071" spans="1:15">
      <c r="A5071" s="3">
        <v>41595</v>
      </c>
      <c r="B5071" s="3">
        <v>41595</v>
      </c>
      <c r="C5071">
        <v>153.38999999999999</v>
      </c>
      <c r="D5071">
        <v>1.3495999999999999</v>
      </c>
      <c r="E5071">
        <v>108.5</v>
      </c>
      <c r="F5071">
        <v>317.10000000000002</v>
      </c>
      <c r="K5071" s="3"/>
      <c r="O5071" s="3"/>
    </row>
    <row r="5072" spans="1:15">
      <c r="A5072" s="3">
        <v>41596</v>
      </c>
      <c r="B5072" s="3">
        <v>41596</v>
      </c>
      <c r="C5072">
        <v>153.32</v>
      </c>
      <c r="D5072">
        <v>1.3506</v>
      </c>
      <c r="E5072">
        <v>108.47</v>
      </c>
      <c r="F5072">
        <v>314.95</v>
      </c>
      <c r="K5072" s="3"/>
      <c r="O5072" s="3"/>
    </row>
    <row r="5073" spans="1:15">
      <c r="A5073" s="3">
        <v>41597</v>
      </c>
      <c r="B5073" s="3">
        <v>41597</v>
      </c>
      <c r="C5073">
        <v>153.07</v>
      </c>
      <c r="D5073">
        <v>1.3537999999999999</v>
      </c>
      <c r="E5073">
        <v>106.92</v>
      </c>
      <c r="F5073">
        <v>315.75</v>
      </c>
      <c r="K5073" s="3"/>
      <c r="O5073" s="3"/>
    </row>
    <row r="5074" spans="1:15">
      <c r="A5074" s="3">
        <v>41598</v>
      </c>
      <c r="B5074" s="3">
        <v>41598</v>
      </c>
      <c r="C5074">
        <v>152.88999999999999</v>
      </c>
      <c r="D5074">
        <v>1.3439000000000001</v>
      </c>
      <c r="E5074">
        <v>108.06</v>
      </c>
      <c r="F5074">
        <v>315.95</v>
      </c>
      <c r="K5074" s="3"/>
      <c r="O5074" s="3"/>
    </row>
    <row r="5075" spans="1:15">
      <c r="A5075" s="3">
        <v>41599</v>
      </c>
      <c r="B5075" s="3">
        <v>41599</v>
      </c>
      <c r="C5075">
        <v>152.86000000000001</v>
      </c>
      <c r="D5075">
        <v>1.3482000000000001</v>
      </c>
      <c r="E5075">
        <v>110.08</v>
      </c>
      <c r="F5075">
        <v>319.14999999999998</v>
      </c>
      <c r="K5075" s="3"/>
      <c r="O5075" s="3"/>
    </row>
    <row r="5076" spans="1:15">
      <c r="A5076" s="3">
        <v>41600</v>
      </c>
      <c r="B5076" s="3">
        <v>41600</v>
      </c>
      <c r="C5076">
        <v>152.91999999999999</v>
      </c>
      <c r="D5076">
        <v>1.3557999999999999</v>
      </c>
      <c r="E5076">
        <v>111.05</v>
      </c>
      <c r="F5076">
        <v>321.39999999999998</v>
      </c>
      <c r="K5076" s="3"/>
      <c r="O5076" s="3"/>
    </row>
    <row r="5077" spans="1:15">
      <c r="A5077" s="3">
        <v>41601</v>
      </c>
      <c r="B5077" s="3">
        <v>41601</v>
      </c>
      <c r="C5077">
        <v>152.91999999999999</v>
      </c>
      <c r="D5077">
        <v>1.3557999999999999</v>
      </c>
      <c r="E5077">
        <v>111.05</v>
      </c>
      <c r="F5077">
        <v>321.39999999999998</v>
      </c>
      <c r="K5077" s="3"/>
      <c r="O5077" s="3"/>
    </row>
    <row r="5078" spans="1:15">
      <c r="A5078" s="3">
        <v>41602</v>
      </c>
      <c r="B5078" s="3">
        <v>41602</v>
      </c>
      <c r="C5078">
        <v>152.91999999999999</v>
      </c>
      <c r="D5078">
        <v>1.3557999999999999</v>
      </c>
      <c r="E5078">
        <v>111.05</v>
      </c>
      <c r="F5078">
        <v>321.39999999999998</v>
      </c>
      <c r="K5078" s="3"/>
      <c r="O5078" s="3"/>
    </row>
    <row r="5079" spans="1:15">
      <c r="A5079" s="3">
        <v>41603</v>
      </c>
      <c r="B5079" s="3">
        <v>41603</v>
      </c>
      <c r="C5079">
        <v>152.93</v>
      </c>
      <c r="D5079">
        <v>1.3516999999999999</v>
      </c>
      <c r="E5079">
        <v>111</v>
      </c>
      <c r="F5079">
        <v>322.5</v>
      </c>
      <c r="K5079" s="3"/>
      <c r="O5079" s="3"/>
    </row>
    <row r="5080" spans="1:15">
      <c r="A5080" s="3">
        <v>41604</v>
      </c>
      <c r="B5080" s="3">
        <v>41604</v>
      </c>
      <c r="C5080">
        <v>153.13</v>
      </c>
      <c r="D5080">
        <v>1.3572</v>
      </c>
      <c r="E5080">
        <v>110.88</v>
      </c>
      <c r="F5080">
        <v>321.39999999999998</v>
      </c>
      <c r="K5080" s="3"/>
      <c r="O5080" s="3"/>
    </row>
    <row r="5081" spans="1:15">
      <c r="A5081" s="3">
        <v>41605</v>
      </c>
      <c r="B5081" s="3">
        <v>41605</v>
      </c>
      <c r="C5081">
        <v>153.63</v>
      </c>
      <c r="D5081">
        <v>1.3579000000000001</v>
      </c>
      <c r="E5081">
        <v>111.31</v>
      </c>
      <c r="F5081">
        <v>320.05</v>
      </c>
      <c r="K5081" s="3"/>
      <c r="O5081" s="3"/>
    </row>
    <row r="5082" spans="1:15">
      <c r="A5082" s="3">
        <v>41606</v>
      </c>
      <c r="B5082" s="3">
        <v>41606</v>
      </c>
      <c r="C5082">
        <v>153.66999999999999</v>
      </c>
      <c r="D5082">
        <v>1.3606</v>
      </c>
      <c r="E5082">
        <v>110.86</v>
      </c>
      <c r="F5082">
        <v>320.05</v>
      </c>
      <c r="K5082" s="3"/>
      <c r="O5082" s="3"/>
    </row>
    <row r="5083" spans="1:15">
      <c r="A5083" s="3">
        <v>41607</v>
      </c>
      <c r="B5083" s="3">
        <v>41607</v>
      </c>
      <c r="C5083">
        <v>154.29</v>
      </c>
      <c r="D5083">
        <v>1.3591</v>
      </c>
      <c r="E5083">
        <v>109.69</v>
      </c>
      <c r="F5083">
        <v>323.05</v>
      </c>
      <c r="K5083" s="3"/>
      <c r="O5083" s="3"/>
    </row>
    <row r="5084" spans="1:15">
      <c r="A5084" s="3">
        <v>41608</v>
      </c>
      <c r="B5084" s="3">
        <v>41608</v>
      </c>
      <c r="C5084">
        <v>154.29</v>
      </c>
      <c r="D5084">
        <v>1.3591</v>
      </c>
      <c r="E5084">
        <v>109.69</v>
      </c>
      <c r="F5084">
        <v>323.05</v>
      </c>
      <c r="K5084" s="3"/>
      <c r="O5084" s="3"/>
    </row>
    <row r="5085" spans="1:15">
      <c r="A5085" s="3">
        <v>41609</v>
      </c>
      <c r="B5085" s="3">
        <v>41609</v>
      </c>
      <c r="C5085">
        <v>154.29</v>
      </c>
      <c r="D5085">
        <v>1.3591</v>
      </c>
      <c r="E5085">
        <v>109.69</v>
      </c>
      <c r="F5085">
        <v>323.05</v>
      </c>
      <c r="K5085" s="3"/>
      <c r="O5085" s="3"/>
    </row>
    <row r="5086" spans="1:15">
      <c r="A5086" s="3">
        <v>41610</v>
      </c>
      <c r="B5086" s="3">
        <v>41610</v>
      </c>
      <c r="C5086">
        <v>154.26</v>
      </c>
      <c r="D5086">
        <v>1.3542000000000001</v>
      </c>
      <c r="E5086">
        <v>111.45</v>
      </c>
      <c r="F5086">
        <v>321.75</v>
      </c>
      <c r="K5086" s="3"/>
      <c r="O5086" s="3"/>
    </row>
    <row r="5087" spans="1:15">
      <c r="A5087" s="3">
        <v>41611</v>
      </c>
      <c r="B5087" s="3">
        <v>41611</v>
      </c>
      <c r="C5087">
        <v>154.52000000000001</v>
      </c>
      <c r="D5087">
        <v>1.3588</v>
      </c>
      <c r="E5087">
        <v>112.62</v>
      </c>
      <c r="F5087">
        <v>320.10000000000002</v>
      </c>
      <c r="K5087" s="3"/>
      <c r="O5087" s="3"/>
    </row>
    <row r="5088" spans="1:15">
      <c r="A5088" s="3">
        <v>41612</v>
      </c>
      <c r="B5088" s="3">
        <v>41612</v>
      </c>
      <c r="C5088">
        <v>154.52000000000001</v>
      </c>
      <c r="D5088">
        <v>1.3593</v>
      </c>
      <c r="E5088">
        <v>111.88</v>
      </c>
      <c r="F5088">
        <v>327.14999999999998</v>
      </c>
      <c r="K5088" s="3"/>
      <c r="O5088" s="3"/>
    </row>
    <row r="5089" spans="1:15">
      <c r="A5089" s="3">
        <v>41613</v>
      </c>
      <c r="B5089" s="3">
        <v>41613</v>
      </c>
      <c r="C5089">
        <v>154.22999999999999</v>
      </c>
      <c r="D5089">
        <v>1.3667</v>
      </c>
      <c r="E5089">
        <v>110.98</v>
      </c>
      <c r="F5089">
        <v>326.14999999999998</v>
      </c>
      <c r="K5089" s="3"/>
      <c r="O5089" s="3"/>
    </row>
    <row r="5090" spans="1:15">
      <c r="A5090" s="3">
        <v>41614</v>
      </c>
      <c r="B5090" s="3">
        <v>41614</v>
      </c>
      <c r="C5090">
        <v>154.24</v>
      </c>
      <c r="D5090">
        <v>1.3706</v>
      </c>
      <c r="E5090">
        <v>111.61</v>
      </c>
      <c r="F5090">
        <v>326.95</v>
      </c>
      <c r="K5090" s="3"/>
      <c r="O5090" s="3"/>
    </row>
    <row r="5091" spans="1:15">
      <c r="A5091" s="3">
        <v>41615</v>
      </c>
      <c r="B5091" s="3">
        <v>41615</v>
      </c>
      <c r="C5091">
        <v>154.24</v>
      </c>
      <c r="D5091">
        <v>1.3706</v>
      </c>
      <c r="E5091">
        <v>111.61</v>
      </c>
      <c r="F5091">
        <v>326.95</v>
      </c>
      <c r="K5091" s="3"/>
      <c r="O5091" s="3"/>
    </row>
    <row r="5092" spans="1:15">
      <c r="A5092" s="3">
        <v>41616</v>
      </c>
      <c r="B5092" s="3">
        <v>41616</v>
      </c>
      <c r="C5092">
        <v>154.24</v>
      </c>
      <c r="D5092">
        <v>1.3706</v>
      </c>
      <c r="E5092">
        <v>111.61</v>
      </c>
      <c r="F5092">
        <v>326.95</v>
      </c>
      <c r="K5092" s="3"/>
      <c r="O5092" s="3"/>
    </row>
    <row r="5093" spans="1:15">
      <c r="A5093" s="3">
        <v>41617</v>
      </c>
      <c r="B5093" s="3">
        <v>41617</v>
      </c>
      <c r="C5093">
        <v>154.35</v>
      </c>
      <c r="D5093">
        <v>1.3738999999999999</v>
      </c>
      <c r="E5093">
        <v>109.39</v>
      </c>
      <c r="F5093">
        <v>329.55</v>
      </c>
      <c r="K5093" s="3"/>
      <c r="O5093" s="3"/>
    </row>
    <row r="5094" spans="1:15">
      <c r="A5094" s="3">
        <v>41618</v>
      </c>
      <c r="B5094" s="3">
        <v>41618</v>
      </c>
      <c r="C5094">
        <v>154.47999999999999</v>
      </c>
      <c r="D5094">
        <v>1.3761000000000001</v>
      </c>
      <c r="E5094">
        <v>109.38</v>
      </c>
      <c r="F5094">
        <v>330.15</v>
      </c>
      <c r="K5094" s="3"/>
      <c r="O5094" s="3"/>
    </row>
    <row r="5095" spans="1:15">
      <c r="A5095" s="3">
        <v>41619</v>
      </c>
      <c r="B5095" s="3">
        <v>41619</v>
      </c>
      <c r="C5095">
        <v>154.47</v>
      </c>
      <c r="D5095">
        <v>1.3786</v>
      </c>
      <c r="E5095">
        <v>109.7</v>
      </c>
      <c r="F5095">
        <v>333.15</v>
      </c>
      <c r="K5095" s="3"/>
      <c r="O5095" s="3"/>
    </row>
    <row r="5096" spans="1:15">
      <c r="A5096" s="3">
        <v>41620</v>
      </c>
      <c r="B5096" s="3">
        <v>41620</v>
      </c>
      <c r="C5096">
        <v>154.21</v>
      </c>
      <c r="D5096">
        <v>1.3753</v>
      </c>
      <c r="E5096">
        <v>108.67</v>
      </c>
      <c r="F5096">
        <v>333.2</v>
      </c>
      <c r="K5096" s="3"/>
      <c r="O5096" s="3"/>
    </row>
    <row r="5097" spans="1:15">
      <c r="A5097" s="3">
        <v>41621</v>
      </c>
      <c r="B5097" s="3">
        <v>41621</v>
      </c>
      <c r="C5097">
        <v>154.05000000000001</v>
      </c>
      <c r="D5097">
        <v>1.3742000000000001</v>
      </c>
      <c r="E5097">
        <v>108.83</v>
      </c>
      <c r="F5097">
        <v>335.2</v>
      </c>
      <c r="K5097" s="3"/>
      <c r="O5097" s="3"/>
    </row>
    <row r="5098" spans="1:15">
      <c r="A5098" s="3">
        <v>41622</v>
      </c>
      <c r="B5098" s="3">
        <v>41622</v>
      </c>
      <c r="C5098">
        <v>154.05000000000001</v>
      </c>
      <c r="D5098">
        <v>1.3742000000000001</v>
      </c>
      <c r="E5098">
        <v>108.83</v>
      </c>
      <c r="F5098">
        <v>335.2</v>
      </c>
      <c r="K5098" s="3"/>
      <c r="O5098" s="3"/>
    </row>
    <row r="5099" spans="1:15">
      <c r="A5099" s="3">
        <v>41623</v>
      </c>
      <c r="B5099" s="3">
        <v>41623</v>
      </c>
      <c r="C5099">
        <v>154.05000000000001</v>
      </c>
      <c r="D5099">
        <v>1.3742000000000001</v>
      </c>
      <c r="E5099">
        <v>108.83</v>
      </c>
      <c r="F5099">
        <v>335.2</v>
      </c>
      <c r="K5099" s="3"/>
      <c r="O5099" s="3"/>
    </row>
    <row r="5100" spans="1:15">
      <c r="A5100" s="3">
        <v>41624</v>
      </c>
      <c r="B5100" s="3">
        <v>41624</v>
      </c>
      <c r="C5100">
        <v>154.04</v>
      </c>
      <c r="D5100">
        <v>1.3761000000000001</v>
      </c>
      <c r="E5100">
        <v>110.47</v>
      </c>
      <c r="F5100">
        <v>337.6</v>
      </c>
      <c r="K5100" s="3"/>
      <c r="O5100" s="3"/>
    </row>
    <row r="5101" spans="1:15">
      <c r="A5101" s="3">
        <v>41625</v>
      </c>
      <c r="B5101" s="3">
        <v>41625</v>
      </c>
      <c r="C5101">
        <v>154.04</v>
      </c>
      <c r="D5101">
        <v>1.3768</v>
      </c>
      <c r="E5101">
        <v>108.44</v>
      </c>
      <c r="F5101">
        <v>336.7</v>
      </c>
      <c r="K5101" s="3"/>
      <c r="O5101" s="3"/>
    </row>
    <row r="5102" spans="1:15">
      <c r="A5102" s="3">
        <v>41626</v>
      </c>
      <c r="B5102" s="3">
        <v>41626</v>
      </c>
      <c r="C5102">
        <v>154.13</v>
      </c>
      <c r="D5102">
        <v>1.3685</v>
      </c>
      <c r="E5102">
        <v>109.63</v>
      </c>
      <c r="F5102">
        <v>336.1</v>
      </c>
      <c r="K5102" s="3"/>
      <c r="O5102" s="3"/>
    </row>
    <row r="5103" spans="1:15">
      <c r="A5103" s="3">
        <v>41627</v>
      </c>
      <c r="B5103" s="3">
        <v>41627</v>
      </c>
      <c r="C5103">
        <v>153.88</v>
      </c>
      <c r="D5103">
        <v>1.3661000000000001</v>
      </c>
      <c r="E5103">
        <v>110.29</v>
      </c>
      <c r="F5103">
        <v>334.05</v>
      </c>
      <c r="K5103" s="3"/>
      <c r="O5103" s="3"/>
    </row>
    <row r="5104" spans="1:15">
      <c r="A5104" s="3">
        <v>41628</v>
      </c>
      <c r="B5104" s="3">
        <v>41628</v>
      </c>
      <c r="C5104">
        <v>153.71</v>
      </c>
      <c r="D5104">
        <v>1.3673</v>
      </c>
      <c r="E5104">
        <v>111.77</v>
      </c>
      <c r="F5104">
        <v>334.8</v>
      </c>
      <c r="K5104" s="3"/>
      <c r="O5104" s="3"/>
    </row>
    <row r="5105" spans="1:15">
      <c r="A5105" s="3">
        <v>41629</v>
      </c>
      <c r="B5105" s="3">
        <v>41629</v>
      </c>
      <c r="C5105">
        <v>153.71</v>
      </c>
      <c r="D5105">
        <v>1.3673</v>
      </c>
      <c r="E5105">
        <v>111.77</v>
      </c>
      <c r="F5105">
        <v>334.8</v>
      </c>
      <c r="K5105" s="3"/>
      <c r="O5105" s="3"/>
    </row>
    <row r="5106" spans="1:15">
      <c r="A5106" s="3">
        <v>41630</v>
      </c>
      <c r="B5106" s="3">
        <v>41630</v>
      </c>
      <c r="C5106">
        <v>153.71</v>
      </c>
      <c r="D5106">
        <v>1.3673</v>
      </c>
      <c r="E5106">
        <v>111.77</v>
      </c>
      <c r="F5106">
        <v>334.8</v>
      </c>
      <c r="K5106" s="3"/>
      <c r="O5106" s="3"/>
    </row>
    <row r="5107" spans="1:15">
      <c r="A5107" s="3">
        <v>41631</v>
      </c>
      <c r="B5107" s="3">
        <v>41631</v>
      </c>
      <c r="C5107">
        <v>154.08000000000001</v>
      </c>
      <c r="D5107">
        <v>1.3695999999999999</v>
      </c>
      <c r="E5107">
        <v>111.56</v>
      </c>
      <c r="F5107">
        <v>335.05</v>
      </c>
      <c r="K5107" s="3"/>
      <c r="O5107" s="3"/>
    </row>
    <row r="5108" spans="1:15">
      <c r="A5108" s="3">
        <v>41632</v>
      </c>
      <c r="B5108" s="3">
        <v>41632</v>
      </c>
      <c r="C5108">
        <v>153.93</v>
      </c>
      <c r="D5108">
        <v>1.3680000000000001</v>
      </c>
      <c r="E5108">
        <v>111.9</v>
      </c>
      <c r="F5108">
        <v>341.75</v>
      </c>
      <c r="K5108" s="3"/>
      <c r="O5108" s="3"/>
    </row>
    <row r="5109" spans="1:15">
      <c r="A5109" s="3">
        <v>41633</v>
      </c>
      <c r="B5109" s="3">
        <v>41633</v>
      </c>
      <c r="C5109">
        <v>154.01</v>
      </c>
      <c r="D5109">
        <v>1.3681000000000001</v>
      </c>
      <c r="E5109">
        <v>111.9</v>
      </c>
      <c r="F5109">
        <v>341.75</v>
      </c>
      <c r="K5109" s="3"/>
      <c r="O5109" s="3"/>
    </row>
    <row r="5110" spans="1:15">
      <c r="A5110" s="3">
        <v>41634</v>
      </c>
      <c r="B5110" s="3">
        <v>41634</v>
      </c>
      <c r="C5110">
        <v>153.91999999999999</v>
      </c>
      <c r="D5110">
        <v>1.3691</v>
      </c>
      <c r="E5110">
        <v>111.98</v>
      </c>
      <c r="F5110">
        <v>344.95</v>
      </c>
      <c r="K5110" s="3"/>
      <c r="O5110" s="3"/>
    </row>
    <row r="5111" spans="1:15">
      <c r="A5111" s="3">
        <v>41635</v>
      </c>
      <c r="B5111" s="3">
        <v>41635</v>
      </c>
      <c r="C5111">
        <v>154.1</v>
      </c>
      <c r="D5111">
        <v>1.3749</v>
      </c>
      <c r="E5111">
        <v>112.18</v>
      </c>
      <c r="F5111">
        <v>347</v>
      </c>
      <c r="K5111" s="3"/>
      <c r="O5111" s="3"/>
    </row>
    <row r="5112" spans="1:15">
      <c r="A5112" s="3">
        <v>41636</v>
      </c>
      <c r="B5112" s="3">
        <v>41636</v>
      </c>
      <c r="C5112">
        <v>154.1</v>
      </c>
      <c r="D5112">
        <v>1.3749</v>
      </c>
      <c r="E5112">
        <v>112.18</v>
      </c>
      <c r="F5112">
        <v>347</v>
      </c>
      <c r="K5112" s="3"/>
      <c r="O5112" s="3"/>
    </row>
    <row r="5113" spans="1:15">
      <c r="A5113" s="3">
        <v>41637</v>
      </c>
      <c r="B5113" s="3">
        <v>41637</v>
      </c>
      <c r="C5113">
        <v>154.1</v>
      </c>
      <c r="D5113">
        <v>1.3749</v>
      </c>
      <c r="E5113">
        <v>112.18</v>
      </c>
      <c r="F5113">
        <v>347</v>
      </c>
      <c r="K5113" s="3"/>
      <c r="O5113" s="3"/>
    </row>
    <row r="5114" spans="1:15">
      <c r="A5114" s="3">
        <v>41638</v>
      </c>
      <c r="B5114" s="3">
        <v>41638</v>
      </c>
      <c r="C5114">
        <v>153.68</v>
      </c>
      <c r="D5114">
        <v>1.3801000000000001</v>
      </c>
      <c r="E5114">
        <v>111.21</v>
      </c>
      <c r="F5114">
        <v>338.25</v>
      </c>
      <c r="K5114" s="3"/>
      <c r="O5114" s="3"/>
    </row>
    <row r="5115" spans="1:15">
      <c r="A5115" s="3">
        <v>41639</v>
      </c>
      <c r="B5115" s="3">
        <v>41639</v>
      </c>
      <c r="C5115">
        <v>154.27000000000001</v>
      </c>
      <c r="D5115">
        <v>1.3743000000000001</v>
      </c>
      <c r="E5115">
        <v>110.8</v>
      </c>
      <c r="F5115">
        <v>339.65</v>
      </c>
      <c r="K5115" s="3"/>
      <c r="O5115" s="3"/>
    </row>
    <row r="5116" spans="1:15">
      <c r="A5116" s="3">
        <v>41640</v>
      </c>
      <c r="B5116" s="3">
        <v>41640</v>
      </c>
      <c r="C5116">
        <v>154.35</v>
      </c>
      <c r="D5116">
        <v>1.3763000000000001</v>
      </c>
      <c r="E5116">
        <v>110.8</v>
      </c>
      <c r="F5116">
        <v>339.65</v>
      </c>
      <c r="K5116" s="3"/>
      <c r="O5116" s="3"/>
    </row>
    <row r="5117" spans="1:15">
      <c r="A5117" s="3">
        <v>41641</v>
      </c>
      <c r="B5117" s="3">
        <v>41641</v>
      </c>
      <c r="C5117">
        <v>154.35</v>
      </c>
      <c r="D5117">
        <v>1.3672</v>
      </c>
      <c r="E5117">
        <v>107.78</v>
      </c>
      <c r="F5117">
        <v>338.15</v>
      </c>
      <c r="K5117" s="3"/>
      <c r="O5117" s="3"/>
    </row>
    <row r="5118" spans="1:15">
      <c r="A5118" s="3">
        <v>41642</v>
      </c>
      <c r="B5118" s="3">
        <v>41642</v>
      </c>
      <c r="C5118">
        <v>154.35</v>
      </c>
      <c r="D5118">
        <v>1.3589</v>
      </c>
      <c r="E5118">
        <v>106.89</v>
      </c>
      <c r="F5118">
        <v>335.5</v>
      </c>
      <c r="K5118" s="3"/>
      <c r="O5118" s="3"/>
    </row>
    <row r="5119" spans="1:15">
      <c r="A5119" s="3">
        <v>41643</v>
      </c>
      <c r="B5119" s="3">
        <v>41643</v>
      </c>
      <c r="C5119">
        <v>154.35</v>
      </c>
      <c r="D5119">
        <v>1.3589</v>
      </c>
      <c r="E5119">
        <v>106.89</v>
      </c>
      <c r="F5119">
        <v>335.5</v>
      </c>
      <c r="K5119" s="3"/>
      <c r="O5119" s="3"/>
    </row>
    <row r="5120" spans="1:15">
      <c r="A5120" s="3">
        <v>41644</v>
      </c>
      <c r="B5120" s="3">
        <v>41644</v>
      </c>
      <c r="C5120">
        <v>154.35</v>
      </c>
      <c r="D5120">
        <v>1.3589</v>
      </c>
      <c r="E5120">
        <v>106.89</v>
      </c>
      <c r="F5120">
        <v>335.5</v>
      </c>
      <c r="K5120" s="3"/>
      <c r="O5120" s="3"/>
    </row>
    <row r="5121" spans="1:15">
      <c r="A5121" s="3">
        <v>41645</v>
      </c>
      <c r="B5121" s="3">
        <v>41645</v>
      </c>
      <c r="C5121">
        <v>154.52000000000001</v>
      </c>
      <c r="D5121">
        <v>1.3629</v>
      </c>
      <c r="E5121">
        <v>106.73</v>
      </c>
      <c r="F5121">
        <v>335.95</v>
      </c>
      <c r="K5121" s="3"/>
      <c r="O5121" s="3"/>
    </row>
    <row r="5122" spans="1:15">
      <c r="A5122" s="3">
        <v>41646</v>
      </c>
      <c r="B5122" s="3">
        <v>41646</v>
      </c>
      <c r="C5122">
        <v>154.52000000000001</v>
      </c>
      <c r="D5122">
        <v>1.3615999999999999</v>
      </c>
      <c r="E5122">
        <v>107.35</v>
      </c>
      <c r="F5122">
        <v>335.95</v>
      </c>
      <c r="K5122" s="3"/>
      <c r="O5122" s="3"/>
    </row>
    <row r="5123" spans="1:15">
      <c r="A5123" s="3">
        <v>41647</v>
      </c>
      <c r="B5123" s="3">
        <v>41647</v>
      </c>
      <c r="C5123">
        <v>154.43</v>
      </c>
      <c r="D5123">
        <v>1.3575999999999999</v>
      </c>
      <c r="E5123">
        <v>107.15</v>
      </c>
      <c r="F5123">
        <v>334.25</v>
      </c>
      <c r="K5123" s="3"/>
      <c r="O5123" s="3"/>
    </row>
    <row r="5124" spans="1:15">
      <c r="A5124" s="3">
        <v>41648</v>
      </c>
      <c r="B5124" s="3">
        <v>41648</v>
      </c>
      <c r="C5124">
        <v>154.52000000000001</v>
      </c>
      <c r="D5124">
        <v>1.3608</v>
      </c>
      <c r="E5124">
        <v>106.39</v>
      </c>
      <c r="F5124">
        <v>329.9</v>
      </c>
      <c r="K5124" s="3"/>
      <c r="O5124" s="3"/>
    </row>
    <row r="5125" spans="1:15">
      <c r="A5125" s="3">
        <v>41649</v>
      </c>
      <c r="B5125" s="3">
        <v>41649</v>
      </c>
      <c r="C5125">
        <v>154.6</v>
      </c>
      <c r="D5125">
        <v>1.367</v>
      </c>
      <c r="E5125">
        <v>107.25</v>
      </c>
      <c r="F5125">
        <v>334.15</v>
      </c>
      <c r="K5125" s="3"/>
      <c r="O5125" s="3"/>
    </row>
    <row r="5126" spans="1:15">
      <c r="A5126" s="3">
        <v>41650</v>
      </c>
      <c r="B5126" s="3">
        <v>41650</v>
      </c>
      <c r="C5126">
        <v>154.6</v>
      </c>
      <c r="D5126">
        <v>1.367</v>
      </c>
      <c r="E5126">
        <v>107.25</v>
      </c>
      <c r="F5126">
        <v>334.15</v>
      </c>
      <c r="K5126" s="3"/>
      <c r="O5126" s="3"/>
    </row>
    <row r="5127" spans="1:15">
      <c r="A5127" s="3">
        <v>41651</v>
      </c>
      <c r="B5127" s="3">
        <v>41651</v>
      </c>
      <c r="C5127">
        <v>154.6</v>
      </c>
      <c r="D5127">
        <v>1.367</v>
      </c>
      <c r="E5127">
        <v>107.25</v>
      </c>
      <c r="F5127">
        <v>334.15</v>
      </c>
      <c r="K5127" s="3"/>
      <c r="O5127" s="3"/>
    </row>
    <row r="5128" spans="1:15">
      <c r="A5128" s="3">
        <v>41652</v>
      </c>
      <c r="B5128" s="3">
        <v>41652</v>
      </c>
      <c r="C5128">
        <v>154.74</v>
      </c>
      <c r="D5128">
        <v>1.3671</v>
      </c>
      <c r="E5128">
        <v>106.75</v>
      </c>
      <c r="F5128">
        <v>334.65</v>
      </c>
      <c r="K5128" s="3"/>
      <c r="O5128" s="3"/>
    </row>
    <row r="5129" spans="1:15">
      <c r="A5129" s="3">
        <v>41653</v>
      </c>
      <c r="B5129" s="3">
        <v>41653</v>
      </c>
      <c r="C5129">
        <v>154.94</v>
      </c>
      <c r="D5129">
        <v>1.3678999999999999</v>
      </c>
      <c r="E5129">
        <v>106.39</v>
      </c>
      <c r="F5129">
        <v>333.6</v>
      </c>
      <c r="K5129" s="3"/>
      <c r="O5129" s="3"/>
    </row>
    <row r="5130" spans="1:15">
      <c r="A5130" s="3">
        <v>41654</v>
      </c>
      <c r="B5130" s="3">
        <v>41654</v>
      </c>
      <c r="C5130">
        <v>155.13</v>
      </c>
      <c r="D5130">
        <v>1.3605</v>
      </c>
      <c r="E5130">
        <v>107.13</v>
      </c>
      <c r="F5130">
        <v>335.8</v>
      </c>
      <c r="K5130" s="3"/>
      <c r="O5130" s="3"/>
    </row>
    <row r="5131" spans="1:15">
      <c r="A5131" s="3">
        <v>41655</v>
      </c>
      <c r="B5131" s="3">
        <v>41655</v>
      </c>
      <c r="C5131">
        <v>155.24</v>
      </c>
      <c r="D5131">
        <v>1.3620000000000001</v>
      </c>
      <c r="E5131">
        <v>107.09</v>
      </c>
      <c r="F5131">
        <v>334.25</v>
      </c>
      <c r="K5131" s="3"/>
      <c r="O5131" s="3"/>
    </row>
    <row r="5132" spans="1:15">
      <c r="A5132" s="3">
        <v>41656</v>
      </c>
      <c r="B5132" s="3">
        <v>41656</v>
      </c>
      <c r="C5132">
        <v>155.16999999999999</v>
      </c>
      <c r="D5132">
        <v>1.3541000000000001</v>
      </c>
      <c r="E5132">
        <v>106.48</v>
      </c>
      <c r="F5132">
        <v>334.45</v>
      </c>
      <c r="K5132" s="3"/>
      <c r="O5132" s="3"/>
    </row>
    <row r="5133" spans="1:15">
      <c r="A5133" s="3">
        <v>41657</v>
      </c>
      <c r="B5133" s="3">
        <v>41657</v>
      </c>
      <c r="C5133">
        <v>155.16999999999999</v>
      </c>
      <c r="D5133">
        <v>1.3541000000000001</v>
      </c>
      <c r="E5133">
        <v>106.48</v>
      </c>
      <c r="F5133">
        <v>334.45</v>
      </c>
      <c r="K5133" s="3"/>
      <c r="O5133" s="3"/>
    </row>
    <row r="5134" spans="1:15">
      <c r="A5134" s="3">
        <v>41658</v>
      </c>
      <c r="B5134" s="3">
        <v>41658</v>
      </c>
      <c r="C5134">
        <v>155.16999999999999</v>
      </c>
      <c r="D5134">
        <v>1.3541000000000001</v>
      </c>
      <c r="E5134">
        <v>106.48</v>
      </c>
      <c r="F5134">
        <v>334.45</v>
      </c>
      <c r="K5134" s="3"/>
      <c r="O5134" s="3"/>
    </row>
    <row r="5135" spans="1:15">
      <c r="A5135" s="3">
        <v>41659</v>
      </c>
      <c r="B5135" s="3">
        <v>41659</v>
      </c>
      <c r="C5135">
        <v>155.27000000000001</v>
      </c>
      <c r="D5135">
        <v>1.3552</v>
      </c>
      <c r="E5135">
        <v>106.35</v>
      </c>
      <c r="F5135">
        <v>334.45</v>
      </c>
      <c r="K5135" s="3"/>
      <c r="O5135" s="3"/>
    </row>
    <row r="5136" spans="1:15">
      <c r="A5136" s="3">
        <v>41660</v>
      </c>
      <c r="B5136" s="3">
        <v>41660</v>
      </c>
      <c r="C5136">
        <v>155.27000000000001</v>
      </c>
      <c r="D5136">
        <v>1.3561000000000001</v>
      </c>
      <c r="E5136">
        <v>106.73</v>
      </c>
      <c r="F5136">
        <v>335.1</v>
      </c>
      <c r="K5136" s="3"/>
      <c r="O5136" s="3"/>
    </row>
    <row r="5137" spans="1:15">
      <c r="A5137" s="3">
        <v>41661</v>
      </c>
      <c r="B5137" s="3">
        <v>41661</v>
      </c>
      <c r="C5137">
        <v>155.13999999999999</v>
      </c>
      <c r="D5137">
        <v>1.3547</v>
      </c>
      <c r="E5137">
        <v>108.27</v>
      </c>
      <c r="F5137">
        <v>333.7</v>
      </c>
      <c r="K5137" s="3"/>
      <c r="O5137" s="3"/>
    </row>
    <row r="5138" spans="1:15">
      <c r="A5138" s="3">
        <v>41662</v>
      </c>
      <c r="B5138" s="3">
        <v>41662</v>
      </c>
      <c r="C5138">
        <v>155.07</v>
      </c>
      <c r="D5138">
        <v>1.3695999999999999</v>
      </c>
      <c r="E5138">
        <v>107.58</v>
      </c>
      <c r="F5138">
        <v>328.55</v>
      </c>
      <c r="K5138" s="3"/>
      <c r="O5138" s="3"/>
    </row>
    <row r="5139" spans="1:15">
      <c r="A5139" s="3">
        <v>41663</v>
      </c>
      <c r="B5139" s="3">
        <v>41663</v>
      </c>
      <c r="C5139">
        <v>155.27000000000001</v>
      </c>
      <c r="D5139">
        <v>1.3677999999999999</v>
      </c>
      <c r="E5139">
        <v>107.88</v>
      </c>
      <c r="F5139">
        <v>327.14999999999998</v>
      </c>
      <c r="K5139" s="3"/>
      <c r="O5139" s="3"/>
    </row>
    <row r="5140" spans="1:15">
      <c r="A5140" s="3">
        <v>41664</v>
      </c>
      <c r="B5140" s="3">
        <v>41664</v>
      </c>
      <c r="C5140">
        <v>155.27000000000001</v>
      </c>
      <c r="D5140">
        <v>1.3677999999999999</v>
      </c>
      <c r="E5140">
        <v>107.88</v>
      </c>
      <c r="F5140">
        <v>327.14999999999998</v>
      </c>
      <c r="K5140" s="3"/>
      <c r="O5140" s="3"/>
    </row>
    <row r="5141" spans="1:15">
      <c r="A5141" s="3">
        <v>41665</v>
      </c>
      <c r="B5141" s="3">
        <v>41665</v>
      </c>
      <c r="C5141">
        <v>155.27000000000001</v>
      </c>
      <c r="D5141">
        <v>1.3677999999999999</v>
      </c>
      <c r="E5141">
        <v>107.88</v>
      </c>
      <c r="F5141">
        <v>327.14999999999998</v>
      </c>
      <c r="K5141" s="3"/>
      <c r="O5141" s="3"/>
    </row>
    <row r="5142" spans="1:15">
      <c r="A5142" s="3">
        <v>41666</v>
      </c>
      <c r="B5142" s="3">
        <v>41666</v>
      </c>
      <c r="C5142">
        <v>155.27000000000001</v>
      </c>
      <c r="D5142">
        <v>1.3673</v>
      </c>
      <c r="E5142">
        <v>106.69</v>
      </c>
      <c r="F5142">
        <v>325.89999999999998</v>
      </c>
      <c r="K5142" s="3"/>
      <c r="O5142" s="3"/>
    </row>
    <row r="5143" spans="1:15">
      <c r="A5143" s="3">
        <v>41667</v>
      </c>
      <c r="B5143" s="3">
        <v>41667</v>
      </c>
      <c r="C5143">
        <v>155.38</v>
      </c>
      <c r="D5143">
        <v>1.3671</v>
      </c>
      <c r="E5143">
        <v>107.41</v>
      </c>
      <c r="F5143">
        <v>325.3</v>
      </c>
      <c r="K5143" s="3"/>
      <c r="O5143" s="3"/>
    </row>
    <row r="5144" spans="1:15">
      <c r="A5144" s="3">
        <v>41668</v>
      </c>
      <c r="B5144" s="3">
        <v>41668</v>
      </c>
      <c r="C5144">
        <v>155.47999999999999</v>
      </c>
      <c r="D5144">
        <v>1.3663000000000001</v>
      </c>
      <c r="E5144">
        <v>107.85</v>
      </c>
      <c r="F5144">
        <v>324.05</v>
      </c>
      <c r="K5144" s="3"/>
      <c r="O5144" s="3"/>
    </row>
    <row r="5145" spans="1:15">
      <c r="A5145" s="3">
        <v>41669</v>
      </c>
      <c r="B5145" s="3">
        <v>41669</v>
      </c>
      <c r="C5145">
        <v>155.49</v>
      </c>
      <c r="D5145">
        <v>1.3554999999999999</v>
      </c>
      <c r="E5145">
        <v>107.95</v>
      </c>
      <c r="F5145">
        <v>322.64999999999998</v>
      </c>
      <c r="K5145" s="3"/>
      <c r="O5145" s="3"/>
    </row>
    <row r="5146" spans="1:15">
      <c r="A5146" s="3">
        <v>41670</v>
      </c>
      <c r="B5146" s="3">
        <v>41670</v>
      </c>
      <c r="C5146">
        <v>155.51</v>
      </c>
      <c r="D5146">
        <v>1.3486</v>
      </c>
      <c r="E5146">
        <v>106.4</v>
      </c>
      <c r="F5146">
        <v>319.7</v>
      </c>
      <c r="K5146" s="3"/>
      <c r="O5146" s="3"/>
    </row>
    <row r="5147" spans="1:15">
      <c r="A5147" s="3">
        <v>41671</v>
      </c>
      <c r="B5147" s="3">
        <v>41671</v>
      </c>
      <c r="C5147">
        <v>155.51</v>
      </c>
      <c r="D5147">
        <v>1.3486</v>
      </c>
      <c r="E5147">
        <v>106.4</v>
      </c>
      <c r="F5147">
        <v>319.7</v>
      </c>
      <c r="K5147" s="3"/>
      <c r="O5147" s="3"/>
    </row>
    <row r="5148" spans="1:15">
      <c r="A5148" s="3">
        <v>41672</v>
      </c>
      <c r="B5148" s="3">
        <v>41672</v>
      </c>
      <c r="C5148">
        <v>155.51</v>
      </c>
      <c r="D5148">
        <v>1.3486</v>
      </c>
      <c r="E5148">
        <v>106.4</v>
      </c>
      <c r="F5148">
        <v>319.7</v>
      </c>
      <c r="K5148" s="3"/>
      <c r="O5148" s="3"/>
    </row>
    <row r="5149" spans="1:15">
      <c r="A5149" s="3">
        <v>41673</v>
      </c>
      <c r="B5149" s="3">
        <v>41673</v>
      </c>
      <c r="C5149">
        <v>155.58000000000001</v>
      </c>
      <c r="D5149">
        <v>1.3525</v>
      </c>
      <c r="E5149">
        <v>106.04</v>
      </c>
      <c r="F5149">
        <v>318.35000000000002</v>
      </c>
      <c r="K5149" s="3"/>
      <c r="O5149" s="3"/>
    </row>
    <row r="5150" spans="1:15">
      <c r="A5150" s="3">
        <v>41674</v>
      </c>
      <c r="B5150" s="3">
        <v>41674</v>
      </c>
      <c r="C5150">
        <v>155.62</v>
      </c>
      <c r="D5150">
        <v>1.3519000000000001</v>
      </c>
      <c r="E5150">
        <v>105.78</v>
      </c>
      <c r="F5150">
        <v>319.2</v>
      </c>
      <c r="K5150" s="3"/>
      <c r="O5150" s="3"/>
    </row>
    <row r="5151" spans="1:15">
      <c r="A5151" s="3">
        <v>41675</v>
      </c>
      <c r="B5151" s="3">
        <v>41675</v>
      </c>
      <c r="C5151">
        <v>155.63999999999999</v>
      </c>
      <c r="D5151">
        <v>1.3532999999999999</v>
      </c>
      <c r="E5151">
        <v>106.25</v>
      </c>
      <c r="F5151">
        <v>318.85000000000002</v>
      </c>
      <c r="K5151" s="3"/>
      <c r="O5151" s="3"/>
    </row>
    <row r="5152" spans="1:15">
      <c r="A5152" s="3">
        <v>41676</v>
      </c>
      <c r="B5152" s="3">
        <v>41676</v>
      </c>
      <c r="C5152">
        <v>155.58000000000001</v>
      </c>
      <c r="D5152">
        <v>1.359</v>
      </c>
      <c r="E5152">
        <v>107.19</v>
      </c>
      <c r="F5152">
        <v>322.89999999999998</v>
      </c>
      <c r="K5152" s="3"/>
      <c r="O5152" s="3"/>
    </row>
    <row r="5153" spans="1:15">
      <c r="A5153" s="3">
        <v>41677</v>
      </c>
      <c r="B5153" s="3">
        <v>41677</v>
      </c>
      <c r="C5153">
        <v>155.66999999999999</v>
      </c>
      <c r="D5153">
        <v>1.3634999999999999</v>
      </c>
      <c r="E5153">
        <v>109.57</v>
      </c>
      <c r="F5153">
        <v>323.60000000000002</v>
      </c>
      <c r="K5153" s="3"/>
      <c r="O5153" s="3"/>
    </row>
    <row r="5154" spans="1:15">
      <c r="A5154" s="3">
        <v>41678</v>
      </c>
      <c r="B5154" s="3">
        <v>41678</v>
      </c>
      <c r="C5154">
        <v>155.66999999999999</v>
      </c>
      <c r="D5154">
        <v>1.3634999999999999</v>
      </c>
      <c r="E5154">
        <v>109.57</v>
      </c>
      <c r="F5154">
        <v>323.60000000000002</v>
      </c>
      <c r="K5154" s="3"/>
      <c r="O5154" s="3"/>
    </row>
    <row r="5155" spans="1:15">
      <c r="A5155" s="3">
        <v>41679</v>
      </c>
      <c r="B5155" s="3">
        <v>41679</v>
      </c>
      <c r="C5155">
        <v>155.66999999999999</v>
      </c>
      <c r="D5155">
        <v>1.3634999999999999</v>
      </c>
      <c r="E5155">
        <v>109.57</v>
      </c>
      <c r="F5155">
        <v>323.60000000000002</v>
      </c>
      <c r="K5155" s="3"/>
      <c r="O5155" s="3"/>
    </row>
    <row r="5156" spans="1:15">
      <c r="A5156" s="3">
        <v>41680</v>
      </c>
      <c r="B5156" s="3">
        <v>41680</v>
      </c>
      <c r="C5156">
        <v>155.63</v>
      </c>
      <c r="D5156">
        <v>1.3646</v>
      </c>
      <c r="E5156">
        <v>108.63</v>
      </c>
      <c r="F5156">
        <v>322.45</v>
      </c>
      <c r="K5156" s="3"/>
      <c r="O5156" s="3"/>
    </row>
    <row r="5157" spans="1:15">
      <c r="A5157" s="3">
        <v>41681</v>
      </c>
      <c r="B5157" s="3">
        <v>41681</v>
      </c>
      <c r="C5157">
        <v>184.52</v>
      </c>
      <c r="D5157">
        <v>1.3637999999999999</v>
      </c>
      <c r="E5157">
        <v>108.68</v>
      </c>
      <c r="F5157">
        <v>321.5</v>
      </c>
      <c r="K5157" s="3"/>
      <c r="O5157" s="3"/>
    </row>
    <row r="5158" spans="1:15">
      <c r="A5158" s="3">
        <v>41682</v>
      </c>
      <c r="B5158" s="3">
        <v>41682</v>
      </c>
      <c r="C5158">
        <v>184.54</v>
      </c>
      <c r="D5158">
        <v>1.3593</v>
      </c>
      <c r="E5158">
        <v>108.79</v>
      </c>
      <c r="F5158">
        <v>325.60000000000002</v>
      </c>
      <c r="K5158" s="3"/>
      <c r="O5158" s="3"/>
    </row>
    <row r="5159" spans="1:15">
      <c r="A5159" s="3">
        <v>41683</v>
      </c>
      <c r="B5159" s="3">
        <v>41683</v>
      </c>
      <c r="C5159">
        <v>184.52</v>
      </c>
      <c r="D5159">
        <v>1.3681000000000001</v>
      </c>
      <c r="E5159">
        <v>108.73</v>
      </c>
      <c r="F5159">
        <v>325</v>
      </c>
      <c r="K5159" s="3"/>
      <c r="O5159" s="3"/>
    </row>
    <row r="5160" spans="1:15">
      <c r="A5160" s="3">
        <v>41684</v>
      </c>
      <c r="B5160" s="3">
        <v>41684</v>
      </c>
      <c r="C5160">
        <v>184.54</v>
      </c>
      <c r="D5160">
        <v>1.3693</v>
      </c>
      <c r="E5160">
        <v>109.08</v>
      </c>
      <c r="F5160">
        <v>326.45</v>
      </c>
      <c r="K5160" s="3"/>
      <c r="O5160" s="3"/>
    </row>
    <row r="5161" spans="1:15">
      <c r="A5161" s="3">
        <v>41685</v>
      </c>
      <c r="B5161" s="3">
        <v>41685</v>
      </c>
      <c r="C5161">
        <v>184.54</v>
      </c>
      <c r="D5161">
        <v>1.3693</v>
      </c>
      <c r="E5161">
        <v>109.08</v>
      </c>
      <c r="F5161">
        <v>326.45</v>
      </c>
      <c r="K5161" s="3"/>
      <c r="O5161" s="3"/>
    </row>
    <row r="5162" spans="1:15">
      <c r="A5162" s="3">
        <v>41686</v>
      </c>
      <c r="B5162" s="3">
        <v>41686</v>
      </c>
      <c r="C5162">
        <v>184.54</v>
      </c>
      <c r="D5162">
        <v>1.3693</v>
      </c>
      <c r="E5162">
        <v>109.08</v>
      </c>
      <c r="F5162">
        <v>326.45</v>
      </c>
      <c r="K5162" s="3"/>
      <c r="O5162" s="3"/>
    </row>
    <row r="5163" spans="1:15">
      <c r="A5163" s="3">
        <v>41687</v>
      </c>
      <c r="B5163" s="3">
        <v>41687</v>
      </c>
      <c r="C5163">
        <v>184.53</v>
      </c>
      <c r="D5163">
        <v>1.3707</v>
      </c>
      <c r="E5163">
        <v>109.18</v>
      </c>
      <c r="F5163">
        <v>326.45</v>
      </c>
      <c r="K5163" s="3"/>
      <c r="O5163" s="3"/>
    </row>
    <row r="5164" spans="1:15">
      <c r="A5164" s="3">
        <v>41688</v>
      </c>
      <c r="B5164" s="3">
        <v>41688</v>
      </c>
      <c r="C5164">
        <v>184.52</v>
      </c>
      <c r="D5164">
        <v>1.3758999999999999</v>
      </c>
      <c r="E5164">
        <v>110.46</v>
      </c>
      <c r="F5164">
        <v>328.55</v>
      </c>
      <c r="K5164" s="3"/>
      <c r="O5164" s="3"/>
    </row>
    <row r="5165" spans="1:15">
      <c r="A5165" s="3">
        <v>41689</v>
      </c>
      <c r="B5165" s="3">
        <v>41689</v>
      </c>
      <c r="C5165">
        <v>184.67</v>
      </c>
      <c r="D5165">
        <v>1.3733</v>
      </c>
      <c r="E5165">
        <v>110.47</v>
      </c>
      <c r="F5165">
        <v>328.55</v>
      </c>
      <c r="K5165" s="3"/>
      <c r="O5165" s="3"/>
    </row>
    <row r="5166" spans="1:15">
      <c r="A5166" s="3">
        <v>41690</v>
      </c>
      <c r="B5166" s="3">
        <v>41690</v>
      </c>
      <c r="C5166">
        <v>186.08</v>
      </c>
      <c r="D5166">
        <v>1.3718999999999999</v>
      </c>
      <c r="E5166">
        <v>110.3</v>
      </c>
      <c r="F5166">
        <v>327.9</v>
      </c>
      <c r="K5166" s="3"/>
      <c r="O5166" s="3"/>
    </row>
    <row r="5167" spans="1:15">
      <c r="A5167" s="3">
        <v>41691</v>
      </c>
      <c r="B5167" s="3">
        <v>41691</v>
      </c>
      <c r="C5167">
        <v>184.42</v>
      </c>
      <c r="D5167">
        <v>1.3746</v>
      </c>
      <c r="E5167">
        <v>109.85</v>
      </c>
      <c r="F5167">
        <v>329.1</v>
      </c>
      <c r="K5167" s="3"/>
      <c r="O5167" s="3"/>
    </row>
    <row r="5168" spans="1:15">
      <c r="A5168" s="3">
        <v>41692</v>
      </c>
      <c r="B5168" s="3">
        <v>41692</v>
      </c>
      <c r="C5168">
        <v>184.42</v>
      </c>
      <c r="D5168">
        <v>1.3746</v>
      </c>
      <c r="E5168">
        <v>109.85</v>
      </c>
      <c r="F5168">
        <v>329.1</v>
      </c>
      <c r="K5168" s="3"/>
      <c r="O5168" s="3"/>
    </row>
    <row r="5169" spans="1:15">
      <c r="A5169" s="3">
        <v>41693</v>
      </c>
      <c r="B5169" s="3">
        <v>41693</v>
      </c>
      <c r="C5169">
        <v>184.42</v>
      </c>
      <c r="D5169">
        <v>1.3746</v>
      </c>
      <c r="E5169">
        <v>109.85</v>
      </c>
      <c r="F5169">
        <v>329.1</v>
      </c>
      <c r="K5169" s="3"/>
      <c r="O5169" s="3"/>
    </row>
    <row r="5170" spans="1:15">
      <c r="A5170" s="3">
        <v>41694</v>
      </c>
      <c r="B5170" s="3">
        <v>41694</v>
      </c>
      <c r="C5170">
        <v>184.48</v>
      </c>
      <c r="D5170">
        <v>1.3734999999999999</v>
      </c>
      <c r="E5170">
        <v>110.64</v>
      </c>
      <c r="F5170">
        <v>327</v>
      </c>
      <c r="K5170" s="3"/>
      <c r="O5170" s="3"/>
    </row>
    <row r="5171" spans="1:15">
      <c r="A5171" s="3">
        <v>41695</v>
      </c>
      <c r="B5171" s="3">
        <v>41695</v>
      </c>
      <c r="C5171">
        <v>184.52</v>
      </c>
      <c r="D5171">
        <v>1.3745000000000001</v>
      </c>
      <c r="E5171">
        <v>109.51</v>
      </c>
      <c r="F5171">
        <v>325.85000000000002</v>
      </c>
      <c r="K5171" s="3"/>
      <c r="O5171" s="3"/>
    </row>
    <row r="5172" spans="1:15">
      <c r="A5172" s="3">
        <v>41696</v>
      </c>
      <c r="B5172" s="3">
        <v>41696</v>
      </c>
      <c r="C5172">
        <v>184.9</v>
      </c>
      <c r="D5172">
        <v>1.3687</v>
      </c>
      <c r="E5172">
        <v>109.52</v>
      </c>
      <c r="F5172">
        <v>324.45</v>
      </c>
      <c r="K5172" s="3"/>
      <c r="O5172" s="3"/>
    </row>
    <row r="5173" spans="1:15">
      <c r="A5173" s="3">
        <v>41697</v>
      </c>
      <c r="B5173" s="3">
        <v>41697</v>
      </c>
      <c r="C5173">
        <v>184.27</v>
      </c>
      <c r="D5173">
        <v>1.371</v>
      </c>
      <c r="E5173">
        <v>108.96</v>
      </c>
      <c r="F5173">
        <v>323.64999999999998</v>
      </c>
      <c r="K5173" s="3"/>
      <c r="O5173" s="3"/>
    </row>
    <row r="5174" spans="1:15">
      <c r="A5174" s="3">
        <v>41698</v>
      </c>
      <c r="B5174" s="3">
        <v>41698</v>
      </c>
      <c r="C5174">
        <v>184.42</v>
      </c>
      <c r="D5174">
        <v>1.3802000000000001</v>
      </c>
      <c r="E5174">
        <v>109.07</v>
      </c>
      <c r="F5174">
        <v>323.85000000000002</v>
      </c>
      <c r="K5174" s="3"/>
      <c r="O5174" s="3"/>
    </row>
    <row r="5175" spans="1:15">
      <c r="A5175" s="3">
        <v>41699</v>
      </c>
      <c r="B5175" s="3">
        <v>41699</v>
      </c>
      <c r="C5175">
        <v>184.42</v>
      </c>
      <c r="D5175">
        <v>1.3802000000000001</v>
      </c>
      <c r="E5175">
        <v>109.07</v>
      </c>
      <c r="F5175">
        <v>323.85000000000002</v>
      </c>
      <c r="K5175" s="3"/>
      <c r="O5175" s="3"/>
    </row>
    <row r="5176" spans="1:15">
      <c r="A5176" s="3">
        <v>41700</v>
      </c>
      <c r="B5176" s="3">
        <v>41700</v>
      </c>
      <c r="C5176">
        <v>184.42</v>
      </c>
      <c r="D5176">
        <v>1.3802000000000001</v>
      </c>
      <c r="E5176">
        <v>109.07</v>
      </c>
      <c r="F5176">
        <v>323.85000000000002</v>
      </c>
      <c r="K5176" s="3"/>
      <c r="O5176" s="3"/>
    </row>
    <row r="5177" spans="1:15">
      <c r="A5177" s="3">
        <v>41701</v>
      </c>
      <c r="B5177" s="3">
        <v>41701</v>
      </c>
      <c r="C5177">
        <v>182.97</v>
      </c>
      <c r="D5177">
        <v>1.3734999999999999</v>
      </c>
      <c r="E5177">
        <v>111.2</v>
      </c>
      <c r="F5177">
        <v>322.05</v>
      </c>
      <c r="K5177" s="3"/>
      <c r="O5177" s="3"/>
    </row>
    <row r="5178" spans="1:15">
      <c r="A5178" s="3">
        <v>41702</v>
      </c>
      <c r="B5178" s="3">
        <v>41702</v>
      </c>
      <c r="C5178">
        <v>181.9</v>
      </c>
      <c r="D5178">
        <v>1.3743000000000001</v>
      </c>
      <c r="E5178">
        <v>109.3</v>
      </c>
      <c r="F5178">
        <v>326.14999999999998</v>
      </c>
      <c r="K5178" s="3"/>
      <c r="O5178" s="3"/>
    </row>
    <row r="5179" spans="1:15">
      <c r="A5179" s="3">
        <v>41703</v>
      </c>
      <c r="B5179" s="3">
        <v>41703</v>
      </c>
      <c r="C5179">
        <v>182.52</v>
      </c>
      <c r="D5179">
        <v>1.3733</v>
      </c>
      <c r="E5179">
        <v>107.76</v>
      </c>
      <c r="F5179">
        <v>325.3</v>
      </c>
      <c r="K5179" s="3"/>
      <c r="O5179" s="3"/>
    </row>
    <row r="5180" spans="1:15">
      <c r="A5180" s="3">
        <v>41704</v>
      </c>
      <c r="B5180" s="3">
        <v>41704</v>
      </c>
      <c r="C5180">
        <v>182.52</v>
      </c>
      <c r="D5180">
        <v>1.3861000000000001</v>
      </c>
      <c r="E5180">
        <v>108.1</v>
      </c>
      <c r="F5180">
        <v>327.55</v>
      </c>
      <c r="K5180" s="3"/>
      <c r="O5180" s="3"/>
    </row>
    <row r="5181" spans="1:15">
      <c r="A5181" s="3">
        <v>41705</v>
      </c>
      <c r="B5181" s="3">
        <v>41705</v>
      </c>
      <c r="C5181">
        <v>182.05</v>
      </c>
      <c r="D5181">
        <v>1.3875</v>
      </c>
      <c r="E5181">
        <v>109</v>
      </c>
      <c r="F5181">
        <v>315.64999999999998</v>
      </c>
      <c r="K5181" s="3"/>
      <c r="O5181" s="3"/>
    </row>
    <row r="5182" spans="1:15">
      <c r="A5182" s="3">
        <v>41706</v>
      </c>
      <c r="B5182" s="3">
        <v>41706</v>
      </c>
      <c r="C5182">
        <v>182.05</v>
      </c>
      <c r="D5182">
        <v>1.3875</v>
      </c>
      <c r="E5182">
        <v>109</v>
      </c>
      <c r="F5182">
        <v>315.64999999999998</v>
      </c>
      <c r="K5182" s="3"/>
      <c r="O5182" s="3"/>
    </row>
    <row r="5183" spans="1:15">
      <c r="A5183" s="3">
        <v>41707</v>
      </c>
      <c r="B5183" s="3">
        <v>41707</v>
      </c>
      <c r="C5183">
        <v>182.05</v>
      </c>
      <c r="D5183">
        <v>1.3875</v>
      </c>
      <c r="E5183">
        <v>109</v>
      </c>
      <c r="F5183">
        <v>315.64999999999998</v>
      </c>
      <c r="K5183" s="3"/>
      <c r="O5183" s="3"/>
    </row>
    <row r="5184" spans="1:15">
      <c r="A5184" s="3">
        <v>41708</v>
      </c>
      <c r="B5184" s="3">
        <v>41708</v>
      </c>
      <c r="C5184">
        <v>182.05</v>
      </c>
      <c r="D5184">
        <v>1.3876999999999999</v>
      </c>
      <c r="E5184">
        <v>108.08</v>
      </c>
      <c r="F5184">
        <v>311.05</v>
      </c>
      <c r="K5184" s="3"/>
      <c r="O5184" s="3"/>
    </row>
    <row r="5185" spans="1:15">
      <c r="A5185" s="3">
        <v>41709</v>
      </c>
      <c r="B5185" s="3">
        <v>41709</v>
      </c>
      <c r="C5185">
        <v>182.4</v>
      </c>
      <c r="D5185">
        <v>1.3859999999999999</v>
      </c>
      <c r="E5185">
        <v>108.55</v>
      </c>
      <c r="F5185">
        <v>303.10000000000002</v>
      </c>
      <c r="K5185" s="3"/>
      <c r="O5185" s="3"/>
    </row>
    <row r="5186" spans="1:15">
      <c r="A5186" s="3">
        <v>41710</v>
      </c>
      <c r="B5186" s="3">
        <v>41710</v>
      </c>
      <c r="C5186">
        <v>182.49</v>
      </c>
      <c r="D5186">
        <v>1.3903000000000001</v>
      </c>
      <c r="E5186">
        <v>108.02</v>
      </c>
      <c r="F5186">
        <v>302.60000000000002</v>
      </c>
      <c r="K5186" s="3"/>
      <c r="O5186" s="3"/>
    </row>
    <row r="5187" spans="1:15">
      <c r="A5187" s="3">
        <v>41711</v>
      </c>
      <c r="B5187" s="3">
        <v>41711</v>
      </c>
      <c r="C5187">
        <v>182.15</v>
      </c>
      <c r="D5187">
        <v>1.3868</v>
      </c>
      <c r="E5187">
        <v>107.39</v>
      </c>
      <c r="F5187">
        <v>299.05</v>
      </c>
      <c r="K5187" s="3"/>
      <c r="O5187" s="3"/>
    </row>
    <row r="5188" spans="1:15">
      <c r="A5188" s="3">
        <v>41712</v>
      </c>
      <c r="B5188" s="3">
        <v>41712</v>
      </c>
      <c r="C5188">
        <v>182.73</v>
      </c>
      <c r="D5188">
        <v>1.3914</v>
      </c>
      <c r="E5188">
        <v>108.57</v>
      </c>
      <c r="F5188">
        <v>301.3</v>
      </c>
      <c r="K5188" s="3"/>
      <c r="O5188" s="3"/>
    </row>
    <row r="5189" spans="1:15">
      <c r="A5189" s="3">
        <v>41713</v>
      </c>
      <c r="B5189" s="3">
        <v>41713</v>
      </c>
      <c r="C5189">
        <v>182.73</v>
      </c>
      <c r="D5189">
        <v>1.3914</v>
      </c>
      <c r="E5189">
        <v>108.57</v>
      </c>
      <c r="F5189">
        <v>301.3</v>
      </c>
      <c r="K5189" s="3"/>
      <c r="O5189" s="3"/>
    </row>
    <row r="5190" spans="1:15">
      <c r="A5190" s="3">
        <v>41714</v>
      </c>
      <c r="B5190" s="3">
        <v>41714</v>
      </c>
      <c r="C5190">
        <v>182.73</v>
      </c>
      <c r="D5190">
        <v>1.3914</v>
      </c>
      <c r="E5190">
        <v>108.57</v>
      </c>
      <c r="F5190">
        <v>301.3</v>
      </c>
      <c r="K5190" s="3"/>
      <c r="O5190" s="3"/>
    </row>
    <row r="5191" spans="1:15">
      <c r="A5191" s="3">
        <v>41715</v>
      </c>
      <c r="B5191" s="3">
        <v>41715</v>
      </c>
      <c r="C5191">
        <v>182.18</v>
      </c>
      <c r="D5191">
        <v>1.3922000000000001</v>
      </c>
      <c r="E5191">
        <v>106.24</v>
      </c>
      <c r="F5191">
        <v>300.2</v>
      </c>
      <c r="K5191" s="3"/>
      <c r="O5191" s="3"/>
    </row>
    <row r="5192" spans="1:15">
      <c r="A5192" s="3">
        <v>41716</v>
      </c>
      <c r="B5192" s="3">
        <v>41716</v>
      </c>
      <c r="C5192">
        <v>182.37</v>
      </c>
      <c r="D5192">
        <v>1.3934</v>
      </c>
      <c r="E5192">
        <v>106.79</v>
      </c>
      <c r="F5192">
        <v>299.45</v>
      </c>
      <c r="K5192" s="3"/>
      <c r="O5192" s="3"/>
    </row>
    <row r="5193" spans="1:15">
      <c r="A5193" s="3">
        <v>41717</v>
      </c>
      <c r="B5193" s="3">
        <v>41717</v>
      </c>
      <c r="C5193">
        <v>182.13</v>
      </c>
      <c r="D5193">
        <v>1.3833</v>
      </c>
      <c r="E5193">
        <v>105.85</v>
      </c>
      <c r="F5193">
        <v>302.8</v>
      </c>
      <c r="K5193" s="3"/>
      <c r="O5193" s="3"/>
    </row>
    <row r="5194" spans="1:15">
      <c r="A5194" s="3">
        <v>41718</v>
      </c>
      <c r="B5194" s="3">
        <v>41718</v>
      </c>
      <c r="C5194">
        <v>182.48</v>
      </c>
      <c r="D5194">
        <v>1.3778999999999999</v>
      </c>
      <c r="E5194">
        <v>106.45</v>
      </c>
      <c r="F5194">
        <v>297.60000000000002</v>
      </c>
      <c r="K5194" s="3"/>
      <c r="O5194" s="3"/>
    </row>
    <row r="5195" spans="1:15">
      <c r="A5195" s="3">
        <v>41719</v>
      </c>
      <c r="B5195" s="3">
        <v>41719</v>
      </c>
      <c r="C5195">
        <v>182.3</v>
      </c>
      <c r="D5195">
        <v>1.3794</v>
      </c>
      <c r="E5195">
        <v>106.92</v>
      </c>
      <c r="F5195">
        <v>299.39999999999998</v>
      </c>
      <c r="K5195" s="3"/>
      <c r="O5195" s="3"/>
    </row>
    <row r="5196" spans="1:15">
      <c r="A5196" s="3">
        <v>41720</v>
      </c>
      <c r="B5196" s="3">
        <v>41720</v>
      </c>
      <c r="C5196">
        <v>182.3</v>
      </c>
      <c r="D5196">
        <v>1.3794</v>
      </c>
      <c r="E5196">
        <v>106.92</v>
      </c>
      <c r="F5196">
        <v>299.39999999999998</v>
      </c>
      <c r="K5196" s="3"/>
      <c r="O5196" s="3"/>
    </row>
    <row r="5197" spans="1:15">
      <c r="A5197" s="3">
        <v>41721</v>
      </c>
      <c r="B5197" s="3">
        <v>41721</v>
      </c>
      <c r="C5197">
        <v>182.3</v>
      </c>
      <c r="D5197">
        <v>1.3794</v>
      </c>
      <c r="E5197">
        <v>106.92</v>
      </c>
      <c r="F5197">
        <v>299.39999999999998</v>
      </c>
      <c r="K5197" s="3"/>
      <c r="O5197" s="3"/>
    </row>
    <row r="5198" spans="1:15">
      <c r="A5198" s="3">
        <v>41722</v>
      </c>
      <c r="B5198" s="3">
        <v>41722</v>
      </c>
      <c r="C5198">
        <v>182.3</v>
      </c>
      <c r="D5198">
        <v>1.3838999999999999</v>
      </c>
      <c r="E5198">
        <v>106.81</v>
      </c>
      <c r="F5198">
        <v>298.95</v>
      </c>
      <c r="K5198" s="3"/>
      <c r="O5198" s="3"/>
    </row>
    <row r="5199" spans="1:15">
      <c r="A5199" s="3">
        <v>41723</v>
      </c>
      <c r="B5199" s="3">
        <v>41723</v>
      </c>
      <c r="C5199">
        <v>182.29</v>
      </c>
      <c r="D5199">
        <v>1.3826000000000001</v>
      </c>
      <c r="E5199">
        <v>106.99</v>
      </c>
      <c r="F5199">
        <v>304.55</v>
      </c>
      <c r="K5199" s="3"/>
      <c r="O5199" s="3"/>
    </row>
    <row r="5200" spans="1:15">
      <c r="A5200" s="3">
        <v>41724</v>
      </c>
      <c r="B5200" s="3">
        <v>41724</v>
      </c>
      <c r="C5200">
        <v>182.07</v>
      </c>
      <c r="D5200">
        <v>1.3781000000000001</v>
      </c>
      <c r="E5200">
        <v>107.03</v>
      </c>
      <c r="F5200">
        <v>301.05</v>
      </c>
      <c r="K5200" s="3"/>
      <c r="O5200" s="3"/>
    </row>
    <row r="5201" spans="1:15">
      <c r="A5201" s="3">
        <v>41725</v>
      </c>
      <c r="B5201" s="3">
        <v>41725</v>
      </c>
      <c r="C5201">
        <v>182.11</v>
      </c>
      <c r="D5201">
        <v>1.3740000000000001</v>
      </c>
      <c r="E5201">
        <v>107.83</v>
      </c>
      <c r="F5201">
        <v>303.64999999999998</v>
      </c>
      <c r="K5201" s="3"/>
      <c r="O5201" s="3"/>
    </row>
    <row r="5202" spans="1:15">
      <c r="A5202" s="3">
        <v>41726</v>
      </c>
      <c r="B5202" s="3">
        <v>41726</v>
      </c>
      <c r="C5202">
        <v>182.08</v>
      </c>
      <c r="D5202">
        <v>1.3752</v>
      </c>
      <c r="E5202">
        <v>108.07</v>
      </c>
      <c r="F5202">
        <v>304.14999999999998</v>
      </c>
      <c r="K5202" s="3"/>
      <c r="O5202" s="3"/>
    </row>
    <row r="5203" spans="1:15">
      <c r="A5203" s="3">
        <v>41727</v>
      </c>
      <c r="B5203" s="3">
        <v>41727</v>
      </c>
      <c r="C5203">
        <v>182.08</v>
      </c>
      <c r="D5203">
        <v>1.3752</v>
      </c>
      <c r="E5203">
        <v>108.07</v>
      </c>
      <c r="F5203">
        <v>304.14999999999998</v>
      </c>
      <c r="K5203" s="3"/>
      <c r="O5203" s="3"/>
    </row>
    <row r="5204" spans="1:15">
      <c r="A5204" s="3">
        <v>41728</v>
      </c>
      <c r="B5204" s="3">
        <v>41728</v>
      </c>
      <c r="C5204">
        <v>182.08</v>
      </c>
      <c r="D5204">
        <v>1.3752</v>
      </c>
      <c r="E5204">
        <v>108.07</v>
      </c>
      <c r="F5204">
        <v>304.14999999999998</v>
      </c>
      <c r="K5204" s="3"/>
      <c r="O5204" s="3"/>
    </row>
    <row r="5205" spans="1:15">
      <c r="A5205" s="3">
        <v>41729</v>
      </c>
      <c r="B5205" s="3">
        <v>41729</v>
      </c>
      <c r="C5205">
        <v>182.08</v>
      </c>
      <c r="D5205">
        <v>1.3769</v>
      </c>
      <c r="E5205">
        <v>107.76</v>
      </c>
      <c r="F5205">
        <v>302.55</v>
      </c>
      <c r="K5205" s="3"/>
      <c r="O5205" s="3"/>
    </row>
    <row r="5206" spans="1:15">
      <c r="A5206" s="3">
        <v>41730</v>
      </c>
      <c r="B5206" s="3">
        <v>41730</v>
      </c>
      <c r="C5206">
        <v>182.12</v>
      </c>
      <c r="D5206">
        <v>1.3793</v>
      </c>
      <c r="E5206">
        <v>105.62</v>
      </c>
      <c r="F5206">
        <v>303.45</v>
      </c>
      <c r="K5206" s="3"/>
      <c r="O5206" s="3"/>
    </row>
    <row r="5207" spans="1:15">
      <c r="A5207" s="3">
        <v>41731</v>
      </c>
      <c r="B5207" s="3">
        <v>41731</v>
      </c>
      <c r="C5207">
        <v>182.03</v>
      </c>
      <c r="D5207">
        <v>1.3767</v>
      </c>
      <c r="E5207">
        <v>104.79</v>
      </c>
      <c r="F5207">
        <v>304.55</v>
      </c>
      <c r="K5207" s="3"/>
      <c r="O5207" s="3"/>
    </row>
    <row r="5208" spans="1:15">
      <c r="A5208" s="3">
        <v>41732</v>
      </c>
      <c r="B5208" s="3">
        <v>41732</v>
      </c>
      <c r="C5208">
        <v>182.06</v>
      </c>
      <c r="D5208">
        <v>1.3720000000000001</v>
      </c>
      <c r="E5208">
        <v>106.15</v>
      </c>
      <c r="F5208">
        <v>302.7</v>
      </c>
      <c r="K5208" s="3"/>
      <c r="O5208" s="3"/>
    </row>
    <row r="5209" spans="1:15">
      <c r="A5209" s="3">
        <v>41733</v>
      </c>
      <c r="B5209" s="3">
        <v>41733</v>
      </c>
      <c r="C5209">
        <v>182.08</v>
      </c>
      <c r="D5209">
        <v>1.3705000000000001</v>
      </c>
      <c r="E5209">
        <v>106.72</v>
      </c>
      <c r="F5209">
        <v>302.25</v>
      </c>
      <c r="K5209" s="3"/>
      <c r="O5209" s="3"/>
    </row>
    <row r="5210" spans="1:15">
      <c r="A5210" s="3">
        <v>41734</v>
      </c>
      <c r="B5210" s="3">
        <v>41734</v>
      </c>
      <c r="C5210">
        <v>182.08</v>
      </c>
      <c r="D5210">
        <v>1.3705000000000001</v>
      </c>
      <c r="E5210">
        <v>106.72</v>
      </c>
      <c r="F5210">
        <v>302.25</v>
      </c>
      <c r="K5210" s="3"/>
      <c r="O5210" s="3"/>
    </row>
    <row r="5211" spans="1:15">
      <c r="A5211" s="3">
        <v>41735</v>
      </c>
      <c r="B5211" s="3">
        <v>41735</v>
      </c>
      <c r="C5211">
        <v>182.08</v>
      </c>
      <c r="D5211">
        <v>1.3705000000000001</v>
      </c>
      <c r="E5211">
        <v>106.72</v>
      </c>
      <c r="F5211">
        <v>302.25</v>
      </c>
      <c r="K5211" s="3"/>
      <c r="O5211" s="3"/>
    </row>
    <row r="5212" spans="1:15">
      <c r="A5212" s="3">
        <v>41736</v>
      </c>
      <c r="B5212" s="3">
        <v>41736</v>
      </c>
      <c r="C5212">
        <v>182.03</v>
      </c>
      <c r="D5212">
        <v>1.3742000000000001</v>
      </c>
      <c r="E5212">
        <v>105.82</v>
      </c>
      <c r="F5212">
        <v>303.95</v>
      </c>
      <c r="K5212" s="3"/>
      <c r="O5212" s="3"/>
    </row>
    <row r="5213" spans="1:15">
      <c r="A5213" s="3">
        <v>41737</v>
      </c>
      <c r="B5213" s="3">
        <v>41737</v>
      </c>
      <c r="C5213">
        <v>182.07</v>
      </c>
      <c r="D5213">
        <v>1.3796999999999999</v>
      </c>
      <c r="E5213">
        <v>107.67</v>
      </c>
      <c r="F5213">
        <v>305.10000000000002</v>
      </c>
      <c r="K5213" s="3"/>
      <c r="O5213" s="3"/>
    </row>
    <row r="5214" spans="1:15">
      <c r="A5214" s="3">
        <v>41738</v>
      </c>
      <c r="B5214" s="3">
        <v>41738</v>
      </c>
      <c r="C5214">
        <v>182.04</v>
      </c>
      <c r="D5214">
        <v>1.3855</v>
      </c>
      <c r="E5214">
        <v>107.98</v>
      </c>
      <c r="F5214">
        <v>303.7</v>
      </c>
      <c r="K5214" s="3"/>
      <c r="O5214" s="3"/>
    </row>
    <row r="5215" spans="1:15">
      <c r="A5215" s="3">
        <v>41739</v>
      </c>
      <c r="B5215" s="3">
        <v>41739</v>
      </c>
      <c r="C5215">
        <v>182.04</v>
      </c>
      <c r="D5215">
        <v>1.3886000000000001</v>
      </c>
      <c r="E5215">
        <v>107.46</v>
      </c>
      <c r="F5215">
        <v>304.5</v>
      </c>
      <c r="K5215" s="3"/>
      <c r="O5215" s="3"/>
    </row>
    <row r="5216" spans="1:15">
      <c r="A5216" s="3">
        <v>41740</v>
      </c>
      <c r="B5216" s="3">
        <v>41740</v>
      </c>
      <c r="C5216">
        <v>181.99</v>
      </c>
      <c r="D5216">
        <v>1.3885000000000001</v>
      </c>
      <c r="E5216">
        <v>107.33</v>
      </c>
      <c r="F5216">
        <v>304.14999999999998</v>
      </c>
      <c r="K5216" s="3"/>
      <c r="O5216" s="3"/>
    </row>
    <row r="5217" spans="1:15">
      <c r="A5217" s="3">
        <v>41741</v>
      </c>
      <c r="B5217" s="3">
        <v>41741</v>
      </c>
      <c r="C5217">
        <v>181.99</v>
      </c>
      <c r="D5217">
        <v>1.3885000000000001</v>
      </c>
      <c r="E5217">
        <v>107.33</v>
      </c>
      <c r="F5217">
        <v>304.14999999999998</v>
      </c>
      <c r="K5217" s="3"/>
      <c r="O5217" s="3"/>
    </row>
    <row r="5218" spans="1:15">
      <c r="A5218" s="3">
        <v>41742</v>
      </c>
      <c r="B5218" s="3">
        <v>41742</v>
      </c>
      <c r="C5218">
        <v>181.99</v>
      </c>
      <c r="D5218">
        <v>1.3885000000000001</v>
      </c>
      <c r="E5218">
        <v>107.33</v>
      </c>
      <c r="F5218">
        <v>304.14999999999998</v>
      </c>
      <c r="K5218" s="3"/>
      <c r="O5218" s="3"/>
    </row>
    <row r="5219" spans="1:15">
      <c r="A5219" s="3">
        <v>41743</v>
      </c>
      <c r="B5219" s="3">
        <v>41743</v>
      </c>
      <c r="C5219">
        <v>182.07</v>
      </c>
      <c r="D5219">
        <v>1.3821000000000001</v>
      </c>
      <c r="E5219">
        <v>109.07</v>
      </c>
      <c r="F5219">
        <v>304.75</v>
      </c>
      <c r="K5219" s="3"/>
      <c r="O5219" s="3"/>
    </row>
    <row r="5220" spans="1:15">
      <c r="A5220" s="3">
        <v>41744</v>
      </c>
      <c r="B5220" s="3">
        <v>41744</v>
      </c>
      <c r="C5220">
        <v>182.05</v>
      </c>
      <c r="D5220">
        <v>1.3815</v>
      </c>
      <c r="E5220">
        <v>108.74</v>
      </c>
      <c r="F5220">
        <v>298.75</v>
      </c>
      <c r="K5220" s="3"/>
      <c r="O5220" s="3"/>
    </row>
    <row r="5221" spans="1:15">
      <c r="A5221" s="3">
        <v>41745</v>
      </c>
      <c r="B5221" s="3">
        <v>41745</v>
      </c>
      <c r="C5221">
        <v>182.04</v>
      </c>
      <c r="D5221">
        <v>1.3815999999999999</v>
      </c>
      <c r="E5221">
        <v>109.6</v>
      </c>
      <c r="F5221">
        <v>302.55</v>
      </c>
      <c r="K5221" s="3"/>
      <c r="O5221" s="3"/>
    </row>
    <row r="5222" spans="1:15">
      <c r="A5222" s="3">
        <v>41746</v>
      </c>
      <c r="B5222" s="3">
        <v>41746</v>
      </c>
      <c r="C5222">
        <v>182.05</v>
      </c>
      <c r="D5222">
        <v>1.3814</v>
      </c>
      <c r="E5222">
        <v>109.53</v>
      </c>
      <c r="F5222">
        <v>304.5</v>
      </c>
      <c r="K5222" s="3"/>
      <c r="O5222" s="3"/>
    </row>
    <row r="5223" spans="1:15">
      <c r="A5223" s="3">
        <v>41747</v>
      </c>
      <c r="B5223" s="3">
        <v>41747</v>
      </c>
      <c r="C5223">
        <v>182.07</v>
      </c>
      <c r="D5223">
        <v>1.3813</v>
      </c>
      <c r="E5223">
        <v>109.53</v>
      </c>
      <c r="F5223">
        <v>304.5</v>
      </c>
      <c r="K5223" s="3"/>
      <c r="O5223" s="3"/>
    </row>
    <row r="5224" spans="1:15">
      <c r="A5224" s="3">
        <v>41748</v>
      </c>
      <c r="B5224" s="3">
        <v>41748</v>
      </c>
      <c r="C5224">
        <v>182.07</v>
      </c>
      <c r="D5224">
        <v>1.3813</v>
      </c>
      <c r="E5224">
        <v>109.53</v>
      </c>
      <c r="F5224">
        <v>304.5</v>
      </c>
      <c r="K5224" s="3"/>
      <c r="O5224" s="3"/>
    </row>
    <row r="5225" spans="1:15">
      <c r="A5225" s="3">
        <v>41749</v>
      </c>
      <c r="B5225" s="3">
        <v>41749</v>
      </c>
      <c r="C5225">
        <v>182.07</v>
      </c>
      <c r="D5225">
        <v>1.3813</v>
      </c>
      <c r="E5225">
        <v>109.53</v>
      </c>
      <c r="F5225">
        <v>304.5</v>
      </c>
      <c r="K5225" s="3"/>
      <c r="O5225" s="3"/>
    </row>
    <row r="5226" spans="1:15">
      <c r="A5226" s="3">
        <v>41750</v>
      </c>
      <c r="B5226" s="3">
        <v>41750</v>
      </c>
      <c r="C5226">
        <v>182.05</v>
      </c>
      <c r="D5226">
        <v>1.3793</v>
      </c>
      <c r="E5226">
        <v>109.95</v>
      </c>
      <c r="F5226">
        <v>304.3</v>
      </c>
      <c r="K5226" s="3"/>
      <c r="O5226" s="3"/>
    </row>
    <row r="5227" spans="1:15">
      <c r="A5227" s="3">
        <v>41751</v>
      </c>
      <c r="B5227" s="3">
        <v>41751</v>
      </c>
      <c r="C5227">
        <v>182.05</v>
      </c>
      <c r="D5227">
        <v>1.3805000000000001</v>
      </c>
      <c r="E5227">
        <v>109.27</v>
      </c>
      <c r="F5227">
        <v>305.35000000000002</v>
      </c>
      <c r="K5227" s="3"/>
      <c r="O5227" s="3"/>
    </row>
    <row r="5228" spans="1:15">
      <c r="A5228" s="3">
        <v>41752</v>
      </c>
      <c r="B5228" s="3">
        <v>41752</v>
      </c>
      <c r="C5228">
        <v>182.05</v>
      </c>
      <c r="D5228">
        <v>1.3816999999999999</v>
      </c>
      <c r="E5228">
        <v>109.11</v>
      </c>
      <c r="F5228">
        <v>305.89999999999998</v>
      </c>
      <c r="K5228" s="3"/>
      <c r="O5228" s="3"/>
    </row>
    <row r="5229" spans="1:15">
      <c r="A5229" s="3">
        <v>41753</v>
      </c>
      <c r="B5229" s="3">
        <v>41753</v>
      </c>
      <c r="C5229">
        <v>182.03</v>
      </c>
      <c r="D5229">
        <v>1.3831</v>
      </c>
      <c r="E5229">
        <v>110.33</v>
      </c>
      <c r="F5229">
        <v>312.05</v>
      </c>
      <c r="K5229" s="3"/>
      <c r="O5229" s="3"/>
    </row>
    <row r="5230" spans="1:15">
      <c r="A5230" s="3">
        <v>41754</v>
      </c>
      <c r="B5230" s="3">
        <v>41754</v>
      </c>
      <c r="C5230">
        <v>182.05</v>
      </c>
      <c r="D5230">
        <v>1.3834</v>
      </c>
      <c r="E5230">
        <v>109.58</v>
      </c>
      <c r="F5230">
        <v>312.45</v>
      </c>
      <c r="K5230" s="3"/>
      <c r="O5230" s="3"/>
    </row>
    <row r="5231" spans="1:15">
      <c r="A5231" s="3">
        <v>41755</v>
      </c>
      <c r="B5231" s="3">
        <v>41755</v>
      </c>
      <c r="C5231">
        <v>182.05</v>
      </c>
      <c r="D5231">
        <v>1.3834</v>
      </c>
      <c r="E5231">
        <v>109.58</v>
      </c>
      <c r="F5231">
        <v>312.45</v>
      </c>
      <c r="K5231" s="3"/>
      <c r="O5231" s="3"/>
    </row>
    <row r="5232" spans="1:15">
      <c r="A5232" s="3">
        <v>41756</v>
      </c>
      <c r="B5232" s="3">
        <v>41756</v>
      </c>
      <c r="C5232">
        <v>182.05</v>
      </c>
      <c r="D5232">
        <v>1.3834</v>
      </c>
      <c r="E5232">
        <v>109.58</v>
      </c>
      <c r="F5232">
        <v>312.45</v>
      </c>
      <c r="K5232" s="3"/>
      <c r="O5232" s="3"/>
    </row>
    <row r="5233" spans="1:15">
      <c r="A5233" s="3">
        <v>41757</v>
      </c>
      <c r="B5233" s="3">
        <v>41757</v>
      </c>
      <c r="C5233">
        <v>182.55</v>
      </c>
      <c r="D5233">
        <v>1.3851</v>
      </c>
      <c r="E5233">
        <v>108.12</v>
      </c>
      <c r="F5233">
        <v>311</v>
      </c>
      <c r="K5233" s="3"/>
      <c r="O5233" s="3"/>
    </row>
    <row r="5234" spans="1:15">
      <c r="A5234" s="3">
        <v>41758</v>
      </c>
      <c r="B5234" s="3">
        <v>41758</v>
      </c>
      <c r="C5234">
        <v>182.07</v>
      </c>
      <c r="D5234">
        <v>1.3812</v>
      </c>
      <c r="E5234">
        <v>108.98</v>
      </c>
      <c r="F5234">
        <v>307.25</v>
      </c>
      <c r="K5234" s="3"/>
      <c r="O5234" s="3"/>
    </row>
    <row r="5235" spans="1:15">
      <c r="A5235" s="3">
        <v>41759</v>
      </c>
      <c r="B5235" s="3">
        <v>41759</v>
      </c>
      <c r="C5235">
        <v>182.07</v>
      </c>
      <c r="D5235">
        <v>1.3867</v>
      </c>
      <c r="E5235">
        <v>108.07</v>
      </c>
      <c r="F5235">
        <v>302.95</v>
      </c>
      <c r="K5235" s="3"/>
      <c r="O5235" s="3"/>
    </row>
    <row r="5236" spans="1:15">
      <c r="A5236" s="3">
        <v>41760</v>
      </c>
      <c r="B5236" s="3">
        <v>41760</v>
      </c>
      <c r="C5236">
        <v>182.07</v>
      </c>
      <c r="D5236">
        <v>1.387</v>
      </c>
      <c r="E5236">
        <v>107.76</v>
      </c>
      <c r="F5236">
        <v>302.89999999999998</v>
      </c>
      <c r="K5236" s="3"/>
      <c r="O5236" s="3"/>
    </row>
    <row r="5237" spans="1:15">
      <c r="A5237" s="3">
        <v>41761</v>
      </c>
      <c r="B5237" s="3">
        <v>41761</v>
      </c>
      <c r="C5237">
        <v>182.07</v>
      </c>
      <c r="D5237">
        <v>1.3869</v>
      </c>
      <c r="E5237">
        <v>108.59</v>
      </c>
      <c r="F5237">
        <v>308.14999999999998</v>
      </c>
      <c r="K5237" s="3"/>
      <c r="O5237" s="3"/>
    </row>
    <row r="5238" spans="1:15">
      <c r="A5238" s="3">
        <v>41762</v>
      </c>
      <c r="B5238" s="3">
        <v>41762</v>
      </c>
      <c r="C5238">
        <v>182.07</v>
      </c>
      <c r="D5238">
        <v>1.3869</v>
      </c>
      <c r="E5238">
        <v>108.59</v>
      </c>
      <c r="F5238">
        <v>308.14999999999998</v>
      </c>
      <c r="K5238" s="3"/>
      <c r="O5238" s="3"/>
    </row>
    <row r="5239" spans="1:15">
      <c r="A5239" s="3">
        <v>41763</v>
      </c>
      <c r="B5239" s="3">
        <v>41763</v>
      </c>
      <c r="C5239">
        <v>182.07</v>
      </c>
      <c r="D5239">
        <v>1.3869</v>
      </c>
      <c r="E5239">
        <v>108.59</v>
      </c>
      <c r="F5239">
        <v>308.14999999999998</v>
      </c>
      <c r="K5239" s="3"/>
      <c r="O5239" s="3"/>
    </row>
    <row r="5240" spans="1:15">
      <c r="A5240" s="3">
        <v>41764</v>
      </c>
      <c r="B5240" s="3">
        <v>41764</v>
      </c>
      <c r="C5240">
        <v>182.05</v>
      </c>
      <c r="D5240">
        <v>1.3875</v>
      </c>
      <c r="E5240">
        <v>107.72</v>
      </c>
      <c r="F5240">
        <v>307.10000000000002</v>
      </c>
      <c r="K5240" s="3"/>
      <c r="O5240" s="3"/>
    </row>
    <row r="5241" spans="1:15">
      <c r="A5241" s="3">
        <v>41765</v>
      </c>
      <c r="B5241" s="3">
        <v>41765</v>
      </c>
      <c r="C5241">
        <v>182.05</v>
      </c>
      <c r="D5241">
        <v>1.3928</v>
      </c>
      <c r="E5241">
        <v>107.06</v>
      </c>
      <c r="F5241">
        <v>307.5</v>
      </c>
      <c r="K5241" s="3"/>
      <c r="O5241" s="3"/>
    </row>
    <row r="5242" spans="1:15">
      <c r="A5242" s="3">
        <v>41766</v>
      </c>
      <c r="B5242" s="3">
        <v>41766</v>
      </c>
      <c r="C5242">
        <v>182.05</v>
      </c>
      <c r="D5242">
        <v>1.391</v>
      </c>
      <c r="E5242">
        <v>108.13</v>
      </c>
      <c r="F5242">
        <v>305.05</v>
      </c>
      <c r="K5242" s="3"/>
      <c r="O5242" s="3"/>
    </row>
    <row r="5243" spans="1:15">
      <c r="A5243" s="3">
        <v>41767</v>
      </c>
      <c r="B5243" s="3">
        <v>41767</v>
      </c>
      <c r="C5243">
        <v>182.05</v>
      </c>
      <c r="D5243">
        <v>1.3839999999999999</v>
      </c>
      <c r="E5243">
        <v>108.04</v>
      </c>
      <c r="F5243">
        <v>308.25</v>
      </c>
      <c r="K5243" s="3"/>
      <c r="O5243" s="3"/>
    </row>
    <row r="5244" spans="1:15">
      <c r="A5244" s="3">
        <v>41768</v>
      </c>
      <c r="B5244" s="3">
        <v>41768</v>
      </c>
      <c r="C5244">
        <v>182.07</v>
      </c>
      <c r="D5244">
        <v>1.3757999999999999</v>
      </c>
      <c r="E5244">
        <v>107.89</v>
      </c>
      <c r="F5244">
        <v>310.05</v>
      </c>
      <c r="K5244" s="3"/>
      <c r="O5244" s="3"/>
    </row>
    <row r="5245" spans="1:15">
      <c r="A5245" s="3">
        <v>41769</v>
      </c>
      <c r="B5245" s="3">
        <v>41769</v>
      </c>
      <c r="C5245">
        <v>182.07</v>
      </c>
      <c r="D5245">
        <v>1.3757999999999999</v>
      </c>
      <c r="E5245">
        <v>107.89</v>
      </c>
      <c r="F5245">
        <v>310.05</v>
      </c>
      <c r="K5245" s="3"/>
      <c r="O5245" s="3"/>
    </row>
    <row r="5246" spans="1:15">
      <c r="A5246" s="3">
        <v>41770</v>
      </c>
      <c r="B5246" s="3">
        <v>41770</v>
      </c>
      <c r="C5246">
        <v>182.07</v>
      </c>
      <c r="D5246">
        <v>1.3757999999999999</v>
      </c>
      <c r="E5246">
        <v>107.89</v>
      </c>
      <c r="F5246">
        <v>310.05</v>
      </c>
      <c r="K5246" s="3"/>
      <c r="O5246" s="3"/>
    </row>
    <row r="5247" spans="1:15">
      <c r="A5247" s="3">
        <v>41771</v>
      </c>
      <c r="B5247" s="3">
        <v>41771</v>
      </c>
      <c r="C5247">
        <v>182.04</v>
      </c>
      <c r="D5247">
        <v>1.3756999999999999</v>
      </c>
      <c r="E5247">
        <v>108.41</v>
      </c>
      <c r="F5247">
        <v>316.64999999999998</v>
      </c>
      <c r="K5247" s="3"/>
      <c r="O5247" s="3"/>
    </row>
    <row r="5248" spans="1:15">
      <c r="A5248" s="3">
        <v>41772</v>
      </c>
      <c r="B5248" s="3">
        <v>41772</v>
      </c>
      <c r="C5248">
        <v>182.06</v>
      </c>
      <c r="D5248">
        <v>1.3704000000000001</v>
      </c>
      <c r="E5248">
        <v>109.24</v>
      </c>
      <c r="F5248">
        <v>314.95</v>
      </c>
      <c r="K5248" s="3"/>
      <c r="O5248" s="3"/>
    </row>
    <row r="5249" spans="1:15">
      <c r="A5249" s="3">
        <v>41773</v>
      </c>
      <c r="B5249" s="3">
        <v>41773</v>
      </c>
      <c r="C5249">
        <v>182.08</v>
      </c>
      <c r="D5249">
        <v>1.3714999999999999</v>
      </c>
      <c r="E5249">
        <v>110.19</v>
      </c>
      <c r="F5249">
        <v>317.39999999999998</v>
      </c>
      <c r="K5249" s="3"/>
      <c r="O5249" s="3"/>
    </row>
    <row r="5250" spans="1:15">
      <c r="A5250" s="3">
        <v>41774</v>
      </c>
      <c r="B5250" s="3">
        <v>41774</v>
      </c>
      <c r="C5250">
        <v>182.07</v>
      </c>
      <c r="D5250">
        <v>1.371</v>
      </c>
      <c r="E5250">
        <v>110.44</v>
      </c>
      <c r="F5250">
        <v>316.2</v>
      </c>
      <c r="K5250" s="3"/>
      <c r="O5250" s="3"/>
    </row>
    <row r="5251" spans="1:15">
      <c r="A5251" s="3">
        <v>41775</v>
      </c>
      <c r="B5251" s="3">
        <v>41775</v>
      </c>
      <c r="C5251">
        <v>182.07</v>
      </c>
      <c r="D5251">
        <v>1.3694</v>
      </c>
      <c r="E5251">
        <v>109.75</v>
      </c>
      <c r="F5251">
        <v>316.10000000000002</v>
      </c>
      <c r="K5251" s="3"/>
      <c r="O5251" s="3"/>
    </row>
    <row r="5252" spans="1:15">
      <c r="A5252" s="3">
        <v>41776</v>
      </c>
      <c r="B5252" s="3">
        <v>41776</v>
      </c>
      <c r="C5252">
        <v>182.07</v>
      </c>
      <c r="D5252">
        <v>1.3694</v>
      </c>
      <c r="E5252">
        <v>109.75</v>
      </c>
      <c r="F5252">
        <v>316.10000000000002</v>
      </c>
      <c r="K5252" s="3"/>
      <c r="O5252" s="3"/>
    </row>
    <row r="5253" spans="1:15">
      <c r="A5253" s="3">
        <v>41777</v>
      </c>
      <c r="B5253" s="3">
        <v>41777</v>
      </c>
      <c r="C5253">
        <v>182.07</v>
      </c>
      <c r="D5253">
        <v>1.3694</v>
      </c>
      <c r="E5253">
        <v>109.75</v>
      </c>
      <c r="F5253">
        <v>316.10000000000002</v>
      </c>
      <c r="K5253" s="3"/>
      <c r="O5253" s="3"/>
    </row>
    <row r="5254" spans="1:15">
      <c r="A5254" s="3">
        <v>41778</v>
      </c>
      <c r="B5254" s="3">
        <v>41778</v>
      </c>
      <c r="C5254">
        <v>182.14</v>
      </c>
      <c r="D5254">
        <v>1.3709</v>
      </c>
      <c r="E5254">
        <v>109.37</v>
      </c>
      <c r="F5254">
        <v>317.95</v>
      </c>
      <c r="K5254" s="3"/>
      <c r="O5254" s="3"/>
    </row>
    <row r="5255" spans="1:15">
      <c r="A5255" s="3">
        <v>41779</v>
      </c>
      <c r="B5255" s="3">
        <v>41779</v>
      </c>
      <c r="C5255">
        <v>182.45</v>
      </c>
      <c r="D5255">
        <v>1.3702000000000001</v>
      </c>
      <c r="E5255">
        <v>109.69</v>
      </c>
      <c r="F5255">
        <v>315.60000000000002</v>
      </c>
      <c r="K5255" s="3"/>
      <c r="O5255" s="3"/>
    </row>
    <row r="5256" spans="1:15">
      <c r="A5256" s="3">
        <v>41780</v>
      </c>
      <c r="B5256" s="3">
        <v>41780</v>
      </c>
      <c r="C5256">
        <v>182.37</v>
      </c>
      <c r="D5256">
        <v>1.3687</v>
      </c>
      <c r="E5256">
        <v>110.55</v>
      </c>
      <c r="F5256">
        <v>313.05</v>
      </c>
      <c r="K5256" s="3"/>
      <c r="O5256" s="3"/>
    </row>
    <row r="5257" spans="1:15">
      <c r="A5257" s="3">
        <v>41781</v>
      </c>
      <c r="B5257" s="3">
        <v>41781</v>
      </c>
      <c r="C5257">
        <v>182.71</v>
      </c>
      <c r="D5257">
        <v>1.3655999999999999</v>
      </c>
      <c r="E5257">
        <v>110.36</v>
      </c>
      <c r="F5257">
        <v>315.2</v>
      </c>
      <c r="K5257" s="3"/>
      <c r="O5257" s="3"/>
    </row>
    <row r="5258" spans="1:15">
      <c r="A5258" s="3">
        <v>41782</v>
      </c>
      <c r="B5258" s="3">
        <v>41782</v>
      </c>
      <c r="C5258">
        <v>182.92</v>
      </c>
      <c r="D5258">
        <v>1.3629</v>
      </c>
      <c r="E5258">
        <v>110.54</v>
      </c>
      <c r="F5258">
        <v>318</v>
      </c>
      <c r="K5258" s="3"/>
      <c r="O5258" s="3"/>
    </row>
    <row r="5259" spans="1:15">
      <c r="A5259" s="3">
        <v>41783</v>
      </c>
      <c r="B5259" s="3">
        <v>41783</v>
      </c>
      <c r="C5259">
        <v>182.92</v>
      </c>
      <c r="D5259">
        <v>1.3629</v>
      </c>
      <c r="E5259">
        <v>110.54</v>
      </c>
      <c r="F5259">
        <v>318</v>
      </c>
      <c r="K5259" s="3"/>
      <c r="O5259" s="3"/>
    </row>
    <row r="5260" spans="1:15">
      <c r="A5260" s="3">
        <v>41784</v>
      </c>
      <c r="B5260" s="3">
        <v>41784</v>
      </c>
      <c r="C5260">
        <v>182.92</v>
      </c>
      <c r="D5260">
        <v>1.3629</v>
      </c>
      <c r="E5260">
        <v>110.54</v>
      </c>
      <c r="F5260">
        <v>318</v>
      </c>
      <c r="K5260" s="3"/>
      <c r="O5260" s="3"/>
    </row>
    <row r="5261" spans="1:15">
      <c r="A5261" s="3">
        <v>41785</v>
      </c>
      <c r="B5261" s="3">
        <v>41785</v>
      </c>
      <c r="C5261">
        <v>183.21</v>
      </c>
      <c r="D5261">
        <v>1.3646</v>
      </c>
      <c r="E5261">
        <v>110.32</v>
      </c>
      <c r="F5261">
        <v>318</v>
      </c>
      <c r="K5261" s="3"/>
      <c r="O5261" s="3"/>
    </row>
    <row r="5262" spans="1:15">
      <c r="A5262" s="3">
        <v>41786</v>
      </c>
      <c r="B5262" s="3">
        <v>41786</v>
      </c>
      <c r="C5262">
        <v>184.67</v>
      </c>
      <c r="D5262">
        <v>1.3634999999999999</v>
      </c>
      <c r="E5262">
        <v>110.02</v>
      </c>
      <c r="F5262">
        <v>319.35000000000002</v>
      </c>
      <c r="K5262" s="3"/>
      <c r="O5262" s="3"/>
    </row>
    <row r="5263" spans="1:15">
      <c r="A5263" s="3">
        <v>41787</v>
      </c>
      <c r="B5263" s="3">
        <v>41787</v>
      </c>
      <c r="C5263">
        <v>183.92</v>
      </c>
      <c r="D5263">
        <v>1.3591</v>
      </c>
      <c r="E5263">
        <v>109.81</v>
      </c>
      <c r="F5263">
        <v>318.85000000000002</v>
      </c>
      <c r="K5263" s="3"/>
      <c r="O5263" s="3"/>
    </row>
    <row r="5264" spans="1:15">
      <c r="A5264" s="3">
        <v>41788</v>
      </c>
      <c r="B5264" s="3">
        <v>41788</v>
      </c>
      <c r="C5264">
        <v>183.51</v>
      </c>
      <c r="D5264">
        <v>1.3602000000000001</v>
      </c>
      <c r="E5264">
        <v>109.97</v>
      </c>
      <c r="F5264">
        <v>314.45</v>
      </c>
      <c r="K5264" s="3"/>
      <c r="O5264" s="3"/>
    </row>
    <row r="5265" spans="1:15">
      <c r="A5265" s="3">
        <v>41789</v>
      </c>
      <c r="B5265" s="3">
        <v>41789</v>
      </c>
      <c r="C5265">
        <v>183.77</v>
      </c>
      <c r="D5265">
        <v>1.3634999999999999</v>
      </c>
      <c r="E5265">
        <v>109.41</v>
      </c>
      <c r="F5265">
        <v>312.35000000000002</v>
      </c>
      <c r="K5265" s="3"/>
      <c r="O5265" s="3"/>
    </row>
    <row r="5266" spans="1:15">
      <c r="A5266" s="3">
        <v>41790</v>
      </c>
      <c r="B5266" s="3">
        <v>41790</v>
      </c>
      <c r="C5266">
        <v>183.77</v>
      </c>
      <c r="D5266">
        <v>1.3634999999999999</v>
      </c>
      <c r="E5266">
        <v>109.41</v>
      </c>
      <c r="F5266">
        <v>312.35000000000002</v>
      </c>
      <c r="K5266" s="3"/>
      <c r="O5266" s="3"/>
    </row>
    <row r="5267" spans="1:15">
      <c r="A5267" s="3">
        <v>41791</v>
      </c>
      <c r="B5267" s="3">
        <v>41791</v>
      </c>
      <c r="C5267">
        <v>183.77</v>
      </c>
      <c r="D5267">
        <v>1.3634999999999999</v>
      </c>
      <c r="E5267">
        <v>109.41</v>
      </c>
      <c r="F5267">
        <v>312.35000000000002</v>
      </c>
      <c r="K5267" s="3"/>
      <c r="O5267" s="3"/>
    </row>
    <row r="5268" spans="1:15">
      <c r="A5268" s="3">
        <v>41792</v>
      </c>
      <c r="B5268" s="3">
        <v>41792</v>
      </c>
      <c r="C5268">
        <v>183.51</v>
      </c>
      <c r="D5268">
        <v>1.3596999999999999</v>
      </c>
      <c r="E5268">
        <v>108.83</v>
      </c>
      <c r="F5268">
        <v>317.05</v>
      </c>
      <c r="K5268" s="3"/>
      <c r="O5268" s="3"/>
    </row>
    <row r="5269" spans="1:15">
      <c r="A5269" s="3">
        <v>41793</v>
      </c>
      <c r="B5269" s="3">
        <v>41793</v>
      </c>
      <c r="C5269">
        <v>183.52</v>
      </c>
      <c r="D5269">
        <v>1.3628</v>
      </c>
      <c r="E5269">
        <v>108.82</v>
      </c>
      <c r="F5269">
        <v>313.7</v>
      </c>
      <c r="K5269" s="3"/>
      <c r="O5269" s="3"/>
    </row>
    <row r="5270" spans="1:15">
      <c r="A5270" s="3">
        <v>41794</v>
      </c>
      <c r="B5270" s="3">
        <v>41794</v>
      </c>
      <c r="C5270">
        <v>183.59</v>
      </c>
      <c r="D5270">
        <v>1.3599000000000001</v>
      </c>
      <c r="E5270">
        <v>108.4</v>
      </c>
      <c r="F5270">
        <v>309.3</v>
      </c>
      <c r="K5270" s="3"/>
      <c r="O5270" s="3"/>
    </row>
    <row r="5271" spans="1:15">
      <c r="A5271" s="3">
        <v>41795</v>
      </c>
      <c r="B5271" s="3">
        <v>41795</v>
      </c>
      <c r="C5271">
        <v>183.51</v>
      </c>
      <c r="D5271">
        <v>1.3660000000000001</v>
      </c>
      <c r="E5271">
        <v>108.79</v>
      </c>
      <c r="F5271">
        <v>309.05</v>
      </c>
      <c r="K5271" s="3"/>
      <c r="O5271" s="3"/>
    </row>
    <row r="5272" spans="1:15">
      <c r="A5272" s="3">
        <v>41796</v>
      </c>
      <c r="B5272" s="3">
        <v>41796</v>
      </c>
      <c r="C5272">
        <v>183.56</v>
      </c>
      <c r="D5272">
        <v>1.3643000000000001</v>
      </c>
      <c r="E5272">
        <v>108.61</v>
      </c>
      <c r="F5272">
        <v>305.10000000000002</v>
      </c>
      <c r="K5272" s="3"/>
      <c r="O5272" s="3"/>
    </row>
    <row r="5273" spans="1:15">
      <c r="A5273" s="3">
        <v>41797</v>
      </c>
      <c r="B5273" s="3">
        <v>41797</v>
      </c>
      <c r="C5273">
        <v>183.56</v>
      </c>
      <c r="D5273">
        <v>1.3643000000000001</v>
      </c>
      <c r="E5273">
        <v>108.61</v>
      </c>
      <c r="F5273">
        <v>305.10000000000002</v>
      </c>
      <c r="K5273" s="3"/>
      <c r="O5273" s="3"/>
    </row>
    <row r="5274" spans="1:15">
      <c r="A5274" s="3">
        <v>41798</v>
      </c>
      <c r="B5274" s="3">
        <v>41798</v>
      </c>
      <c r="C5274">
        <v>183.56</v>
      </c>
      <c r="D5274">
        <v>1.3643000000000001</v>
      </c>
      <c r="E5274">
        <v>108.61</v>
      </c>
      <c r="F5274">
        <v>305.10000000000002</v>
      </c>
      <c r="K5274" s="3"/>
      <c r="O5274" s="3"/>
    </row>
    <row r="5275" spans="1:15">
      <c r="A5275" s="3">
        <v>41799</v>
      </c>
      <c r="B5275" s="3">
        <v>41799</v>
      </c>
      <c r="C5275">
        <v>183.56</v>
      </c>
      <c r="D5275">
        <v>1.3593999999999999</v>
      </c>
      <c r="E5275">
        <v>109.99</v>
      </c>
      <c r="F5275">
        <v>304.35000000000002</v>
      </c>
      <c r="K5275" s="3"/>
      <c r="O5275" s="3"/>
    </row>
    <row r="5276" spans="1:15">
      <c r="A5276" s="3">
        <v>41800</v>
      </c>
      <c r="B5276" s="3">
        <v>41800</v>
      </c>
      <c r="C5276">
        <v>183.55</v>
      </c>
      <c r="D5276">
        <v>1.3547</v>
      </c>
      <c r="E5276">
        <v>109.52</v>
      </c>
      <c r="F5276">
        <v>305.3</v>
      </c>
      <c r="K5276" s="3"/>
      <c r="O5276" s="3"/>
    </row>
    <row r="5277" spans="1:15">
      <c r="A5277" s="3">
        <v>41801</v>
      </c>
      <c r="B5277" s="3">
        <v>41801</v>
      </c>
      <c r="C5277">
        <v>183.53</v>
      </c>
      <c r="D5277">
        <v>1.3532</v>
      </c>
      <c r="E5277">
        <v>109.95</v>
      </c>
      <c r="F5277">
        <v>304.05</v>
      </c>
      <c r="K5277" s="3"/>
      <c r="O5277" s="3"/>
    </row>
    <row r="5278" spans="1:15">
      <c r="A5278" s="3">
        <v>41802</v>
      </c>
      <c r="B5278" s="3">
        <v>41802</v>
      </c>
      <c r="C5278">
        <v>183.53</v>
      </c>
      <c r="D5278">
        <v>1.3552</v>
      </c>
      <c r="E5278">
        <v>113.02</v>
      </c>
      <c r="F5278">
        <v>301.55</v>
      </c>
      <c r="K5278" s="3"/>
      <c r="O5278" s="3"/>
    </row>
    <row r="5279" spans="1:15">
      <c r="A5279" s="3">
        <v>41803</v>
      </c>
      <c r="B5279" s="3">
        <v>41803</v>
      </c>
      <c r="C5279">
        <v>183.54</v>
      </c>
      <c r="D5279">
        <v>1.3540000000000001</v>
      </c>
      <c r="E5279">
        <v>113.41</v>
      </c>
      <c r="F5279">
        <v>302.95</v>
      </c>
      <c r="K5279" s="3"/>
      <c r="O5279" s="3"/>
    </row>
    <row r="5280" spans="1:15">
      <c r="A5280" s="3">
        <v>41804</v>
      </c>
      <c r="B5280" s="3">
        <v>41804</v>
      </c>
      <c r="C5280">
        <v>183.54</v>
      </c>
      <c r="D5280">
        <v>1.3540000000000001</v>
      </c>
      <c r="E5280">
        <v>113.41</v>
      </c>
      <c r="F5280">
        <v>302.95</v>
      </c>
      <c r="K5280" s="3"/>
      <c r="O5280" s="3"/>
    </row>
    <row r="5281" spans="1:15">
      <c r="A5281" s="3">
        <v>41805</v>
      </c>
      <c r="B5281" s="3">
        <v>41805</v>
      </c>
      <c r="C5281">
        <v>183.54</v>
      </c>
      <c r="D5281">
        <v>1.3540000000000001</v>
      </c>
      <c r="E5281">
        <v>113.41</v>
      </c>
      <c r="F5281">
        <v>302.95</v>
      </c>
      <c r="K5281" s="3"/>
      <c r="O5281" s="3"/>
    </row>
    <row r="5282" spans="1:15">
      <c r="A5282" s="3">
        <v>41806</v>
      </c>
      <c r="B5282" s="3">
        <v>41806</v>
      </c>
      <c r="C5282">
        <v>183.52</v>
      </c>
      <c r="D5282">
        <v>1.3573999999999999</v>
      </c>
      <c r="E5282">
        <v>112.94</v>
      </c>
      <c r="F5282">
        <v>305</v>
      </c>
      <c r="K5282" s="3"/>
      <c r="O5282" s="3"/>
    </row>
    <row r="5283" spans="1:15">
      <c r="A5283" s="3">
        <v>41807</v>
      </c>
      <c r="B5283" s="3">
        <v>41807</v>
      </c>
      <c r="C5283">
        <v>183.54</v>
      </c>
      <c r="D5283">
        <v>1.3547</v>
      </c>
      <c r="E5283">
        <v>113.45</v>
      </c>
      <c r="F5283">
        <v>306.10000000000002</v>
      </c>
      <c r="K5283" s="3"/>
      <c r="O5283" s="3"/>
    </row>
    <row r="5284" spans="1:15">
      <c r="A5284" s="3">
        <v>41808</v>
      </c>
      <c r="B5284" s="3">
        <v>41808</v>
      </c>
      <c r="C5284">
        <v>183.45</v>
      </c>
      <c r="D5284">
        <v>1.3594999999999999</v>
      </c>
      <c r="E5284">
        <v>114.26</v>
      </c>
      <c r="F5284">
        <v>306</v>
      </c>
      <c r="K5284" s="3"/>
      <c r="O5284" s="3"/>
    </row>
    <row r="5285" spans="1:15">
      <c r="A5285" s="3">
        <v>41809</v>
      </c>
      <c r="B5285" s="3">
        <v>41809</v>
      </c>
      <c r="C5285">
        <v>183.52</v>
      </c>
      <c r="D5285">
        <v>1.3608</v>
      </c>
      <c r="E5285">
        <v>115.06</v>
      </c>
      <c r="F5285">
        <v>307.85000000000002</v>
      </c>
      <c r="K5285" s="3"/>
      <c r="O5285" s="3"/>
    </row>
    <row r="5286" spans="1:15">
      <c r="A5286" s="3">
        <v>41810</v>
      </c>
      <c r="B5286" s="3">
        <v>41810</v>
      </c>
      <c r="C5286">
        <v>183.51</v>
      </c>
      <c r="D5286">
        <v>1.36</v>
      </c>
      <c r="E5286">
        <v>114.81</v>
      </c>
      <c r="F5286">
        <v>312.14999999999998</v>
      </c>
      <c r="K5286" s="3"/>
      <c r="O5286" s="3"/>
    </row>
    <row r="5287" spans="1:15">
      <c r="A5287" s="3">
        <v>41811</v>
      </c>
      <c r="B5287" s="3">
        <v>41811</v>
      </c>
      <c r="C5287">
        <v>183.51</v>
      </c>
      <c r="D5287">
        <v>1.36</v>
      </c>
      <c r="E5287">
        <v>114.81</v>
      </c>
      <c r="F5287">
        <v>312.14999999999998</v>
      </c>
      <c r="K5287" s="3"/>
      <c r="O5287" s="3"/>
    </row>
    <row r="5288" spans="1:15">
      <c r="A5288" s="3">
        <v>41812</v>
      </c>
      <c r="B5288" s="3">
        <v>41812</v>
      </c>
      <c r="C5288">
        <v>183.51</v>
      </c>
      <c r="D5288">
        <v>1.36</v>
      </c>
      <c r="E5288">
        <v>114.81</v>
      </c>
      <c r="F5288">
        <v>312.14999999999998</v>
      </c>
      <c r="K5288" s="3"/>
      <c r="O5288" s="3"/>
    </row>
    <row r="5289" spans="1:15">
      <c r="A5289" s="3">
        <v>41813</v>
      </c>
      <c r="B5289" s="3">
        <v>41813</v>
      </c>
      <c r="C5289">
        <v>183.49</v>
      </c>
      <c r="D5289">
        <v>1.3605</v>
      </c>
      <c r="E5289">
        <v>114.12</v>
      </c>
      <c r="F5289">
        <v>314.95</v>
      </c>
      <c r="K5289" s="3"/>
      <c r="O5289" s="3"/>
    </row>
    <row r="5290" spans="1:15">
      <c r="A5290" s="3">
        <v>41814</v>
      </c>
      <c r="B5290" s="3">
        <v>41814</v>
      </c>
      <c r="C5290">
        <v>183.61</v>
      </c>
      <c r="D5290">
        <v>1.3606</v>
      </c>
      <c r="E5290">
        <v>114.46</v>
      </c>
      <c r="F5290">
        <v>315.10000000000002</v>
      </c>
      <c r="K5290" s="3"/>
      <c r="O5290" s="3"/>
    </row>
    <row r="5291" spans="1:15">
      <c r="A5291" s="3">
        <v>41815</v>
      </c>
      <c r="B5291" s="3">
        <v>41815</v>
      </c>
      <c r="C5291">
        <v>183.52</v>
      </c>
      <c r="D5291">
        <v>1.3629</v>
      </c>
      <c r="E5291">
        <v>114</v>
      </c>
      <c r="F5291">
        <v>316.7</v>
      </c>
      <c r="K5291" s="3"/>
      <c r="O5291" s="3"/>
    </row>
    <row r="5292" spans="1:15">
      <c r="A5292" s="3">
        <v>41816</v>
      </c>
      <c r="B5292" s="3">
        <v>41816</v>
      </c>
      <c r="C5292">
        <v>183.51</v>
      </c>
      <c r="D5292">
        <v>1.3612</v>
      </c>
      <c r="E5292">
        <v>113.21</v>
      </c>
      <c r="F5292">
        <v>316.55</v>
      </c>
      <c r="K5292" s="3"/>
      <c r="O5292" s="3"/>
    </row>
    <row r="5293" spans="1:15">
      <c r="A5293" s="3">
        <v>41817</v>
      </c>
      <c r="B5293" s="3">
        <v>41817</v>
      </c>
      <c r="C5293">
        <v>183.57</v>
      </c>
      <c r="D5293">
        <v>1.3649</v>
      </c>
      <c r="E5293">
        <v>113.3</v>
      </c>
      <c r="F5293">
        <v>314.89999999999998</v>
      </c>
      <c r="K5293" s="3"/>
      <c r="O5293" s="3"/>
    </row>
    <row r="5294" spans="1:15">
      <c r="A5294" s="3">
        <v>41818</v>
      </c>
      <c r="B5294" s="3">
        <v>41818</v>
      </c>
      <c r="C5294">
        <v>183.57</v>
      </c>
      <c r="D5294">
        <v>1.3649</v>
      </c>
      <c r="E5294">
        <v>113.3</v>
      </c>
      <c r="F5294">
        <v>314.89999999999998</v>
      </c>
      <c r="K5294" s="3"/>
      <c r="O5294" s="3"/>
    </row>
    <row r="5295" spans="1:15">
      <c r="A5295" s="3">
        <v>41819</v>
      </c>
      <c r="B5295" s="3">
        <v>41819</v>
      </c>
      <c r="C5295">
        <v>183.57</v>
      </c>
      <c r="D5295">
        <v>1.3649</v>
      </c>
      <c r="E5295">
        <v>113.3</v>
      </c>
      <c r="F5295">
        <v>314.89999999999998</v>
      </c>
      <c r="K5295" s="3"/>
      <c r="O5295" s="3"/>
    </row>
    <row r="5296" spans="1:15">
      <c r="A5296" s="3">
        <v>41820</v>
      </c>
      <c r="B5296" s="3">
        <v>41820</v>
      </c>
      <c r="C5296">
        <v>183.51</v>
      </c>
      <c r="D5296">
        <v>1.3692</v>
      </c>
      <c r="E5296">
        <v>112.36</v>
      </c>
      <c r="F5296">
        <v>318.8</v>
      </c>
      <c r="K5296" s="3"/>
      <c r="O5296" s="3"/>
    </row>
    <row r="5297" spans="1:15">
      <c r="A5297" s="3">
        <v>41821</v>
      </c>
      <c r="B5297" s="3">
        <v>41821</v>
      </c>
      <c r="C5297">
        <v>183.52</v>
      </c>
      <c r="D5297">
        <v>1.3678999999999999</v>
      </c>
      <c r="E5297">
        <v>112.29</v>
      </c>
      <c r="F5297">
        <v>319.10000000000002</v>
      </c>
      <c r="K5297" s="3"/>
      <c r="O5297" s="3"/>
    </row>
    <row r="5298" spans="1:15">
      <c r="A5298" s="3">
        <v>41822</v>
      </c>
      <c r="B5298" s="3">
        <v>41822</v>
      </c>
      <c r="C5298">
        <v>183.58</v>
      </c>
      <c r="D5298">
        <v>1.3660000000000001</v>
      </c>
      <c r="E5298">
        <v>111.24</v>
      </c>
      <c r="F5298">
        <v>325.25</v>
      </c>
      <c r="K5298" s="3"/>
      <c r="O5298" s="3"/>
    </row>
    <row r="5299" spans="1:15">
      <c r="A5299" s="3">
        <v>41823</v>
      </c>
      <c r="B5299" s="3">
        <v>41823</v>
      </c>
      <c r="C5299">
        <v>183.55</v>
      </c>
      <c r="D5299">
        <v>1.361</v>
      </c>
      <c r="E5299">
        <v>111</v>
      </c>
      <c r="F5299">
        <v>326.5</v>
      </c>
      <c r="K5299" s="3"/>
      <c r="O5299" s="3"/>
    </row>
    <row r="5300" spans="1:15">
      <c r="A5300" s="3">
        <v>41824</v>
      </c>
      <c r="B5300" s="3">
        <v>41824</v>
      </c>
      <c r="C5300">
        <v>183.53</v>
      </c>
      <c r="D5300">
        <v>1.3594999999999999</v>
      </c>
      <c r="E5300">
        <v>110.64</v>
      </c>
      <c r="F5300">
        <v>326.5</v>
      </c>
      <c r="K5300" s="3"/>
      <c r="O5300" s="3"/>
    </row>
    <row r="5301" spans="1:15">
      <c r="A5301" s="3">
        <v>41825</v>
      </c>
      <c r="B5301" s="3">
        <v>41825</v>
      </c>
      <c r="C5301">
        <v>183.53</v>
      </c>
      <c r="D5301">
        <v>1.3594999999999999</v>
      </c>
      <c r="E5301">
        <v>110.64</v>
      </c>
      <c r="F5301">
        <v>326.5</v>
      </c>
      <c r="K5301" s="3"/>
      <c r="O5301" s="3"/>
    </row>
    <row r="5302" spans="1:15">
      <c r="A5302" s="3">
        <v>41826</v>
      </c>
      <c r="B5302" s="3">
        <v>41826</v>
      </c>
      <c r="C5302">
        <v>183.53</v>
      </c>
      <c r="D5302">
        <v>1.3594999999999999</v>
      </c>
      <c r="E5302">
        <v>110.64</v>
      </c>
      <c r="F5302">
        <v>326.5</v>
      </c>
      <c r="K5302" s="3"/>
      <c r="O5302" s="3"/>
    </row>
    <row r="5303" spans="1:15">
      <c r="A5303" s="3">
        <v>41827</v>
      </c>
      <c r="B5303" s="3">
        <v>41827</v>
      </c>
      <c r="C5303">
        <v>183.53</v>
      </c>
      <c r="D5303">
        <v>1.3605</v>
      </c>
      <c r="E5303">
        <v>110.24</v>
      </c>
      <c r="F5303">
        <v>324.85000000000002</v>
      </c>
      <c r="K5303" s="3"/>
      <c r="O5303" s="3"/>
    </row>
    <row r="5304" spans="1:15">
      <c r="A5304" s="3">
        <v>41828</v>
      </c>
      <c r="B5304" s="3">
        <v>41828</v>
      </c>
      <c r="C5304">
        <v>183.55</v>
      </c>
      <c r="D5304">
        <v>1.3612</v>
      </c>
      <c r="E5304">
        <v>108.94</v>
      </c>
      <c r="F5304">
        <v>324.3</v>
      </c>
      <c r="K5304" s="3"/>
      <c r="O5304" s="3"/>
    </row>
    <row r="5305" spans="1:15">
      <c r="A5305" s="3">
        <v>41829</v>
      </c>
      <c r="B5305" s="3">
        <v>41829</v>
      </c>
      <c r="C5305">
        <v>183.54</v>
      </c>
      <c r="D5305">
        <v>1.3642000000000001</v>
      </c>
      <c r="E5305">
        <v>108.28</v>
      </c>
      <c r="F5305">
        <v>323.64999999999998</v>
      </c>
      <c r="K5305" s="3"/>
      <c r="O5305" s="3"/>
    </row>
    <row r="5306" spans="1:15">
      <c r="A5306" s="3">
        <v>41830</v>
      </c>
      <c r="B5306" s="3">
        <v>41830</v>
      </c>
      <c r="C5306">
        <v>183.52</v>
      </c>
      <c r="D5306">
        <v>1.3609</v>
      </c>
      <c r="E5306">
        <v>108.67</v>
      </c>
      <c r="F5306">
        <v>325.60000000000002</v>
      </c>
      <c r="K5306" s="3"/>
      <c r="O5306" s="3"/>
    </row>
    <row r="5307" spans="1:15">
      <c r="A5307" s="3">
        <v>41831</v>
      </c>
      <c r="B5307" s="3">
        <v>41831</v>
      </c>
      <c r="C5307">
        <v>183.52</v>
      </c>
      <c r="D5307">
        <v>1.3608</v>
      </c>
      <c r="E5307">
        <v>106.66</v>
      </c>
      <c r="F5307">
        <v>325.85000000000002</v>
      </c>
      <c r="K5307" s="3"/>
      <c r="O5307" s="3"/>
    </row>
    <row r="5308" spans="1:15">
      <c r="A5308" s="3">
        <v>41832</v>
      </c>
      <c r="B5308" s="3">
        <v>41832</v>
      </c>
      <c r="C5308">
        <v>183.52</v>
      </c>
      <c r="D5308">
        <v>1.3608</v>
      </c>
      <c r="E5308">
        <v>106.66</v>
      </c>
      <c r="F5308">
        <v>325.85000000000002</v>
      </c>
      <c r="K5308" s="3"/>
      <c r="O5308" s="3"/>
    </row>
    <row r="5309" spans="1:15">
      <c r="A5309" s="3">
        <v>41833</v>
      </c>
      <c r="B5309" s="3">
        <v>41833</v>
      </c>
      <c r="C5309">
        <v>183.52</v>
      </c>
      <c r="D5309">
        <v>1.3608</v>
      </c>
      <c r="E5309">
        <v>106.66</v>
      </c>
      <c r="F5309">
        <v>325.85000000000002</v>
      </c>
      <c r="K5309" s="3"/>
      <c r="O5309" s="3"/>
    </row>
    <row r="5310" spans="1:15">
      <c r="A5310" s="3">
        <v>41834</v>
      </c>
      <c r="B5310" s="3">
        <v>41834</v>
      </c>
      <c r="C5310">
        <v>183.63</v>
      </c>
      <c r="D5310">
        <v>1.3619000000000001</v>
      </c>
      <c r="E5310">
        <v>106.98</v>
      </c>
      <c r="F5310">
        <v>323.85000000000002</v>
      </c>
      <c r="K5310" s="3"/>
      <c r="O5310" s="3"/>
    </row>
    <row r="5311" spans="1:15">
      <c r="A5311" s="3">
        <v>41835</v>
      </c>
      <c r="B5311" s="3">
        <v>41835</v>
      </c>
      <c r="C5311">
        <v>183.6</v>
      </c>
      <c r="D5311">
        <v>1.3568</v>
      </c>
      <c r="E5311">
        <v>106.02</v>
      </c>
      <c r="F5311">
        <v>323.85000000000002</v>
      </c>
      <c r="K5311" s="3"/>
      <c r="O5311" s="3"/>
    </row>
    <row r="5312" spans="1:15">
      <c r="A5312" s="3">
        <v>41836</v>
      </c>
      <c r="B5312" s="3">
        <v>41836</v>
      </c>
      <c r="C5312">
        <v>183.52</v>
      </c>
      <c r="D5312">
        <v>1.3525</v>
      </c>
      <c r="E5312">
        <v>105.85</v>
      </c>
      <c r="F5312">
        <v>320.5</v>
      </c>
      <c r="K5312" s="3"/>
      <c r="O5312" s="3"/>
    </row>
    <row r="5313" spans="1:15">
      <c r="A5313" s="3">
        <v>41837</v>
      </c>
      <c r="B5313" s="3">
        <v>41837</v>
      </c>
      <c r="C5313">
        <v>183.52</v>
      </c>
      <c r="D5313">
        <v>1.3526</v>
      </c>
      <c r="E5313">
        <v>107.89</v>
      </c>
      <c r="F5313">
        <v>320.89999999999998</v>
      </c>
      <c r="K5313" s="3"/>
      <c r="O5313" s="3"/>
    </row>
    <row r="5314" spans="1:15">
      <c r="A5314" s="3">
        <v>41838</v>
      </c>
      <c r="B5314" s="3">
        <v>41838</v>
      </c>
      <c r="C5314">
        <v>183.68</v>
      </c>
      <c r="D5314">
        <v>1.3524</v>
      </c>
      <c r="E5314">
        <v>107.24</v>
      </c>
      <c r="F5314">
        <v>317.39999999999998</v>
      </c>
      <c r="K5314" s="3"/>
      <c r="O5314" s="3"/>
    </row>
    <row r="5315" spans="1:15">
      <c r="A5315" s="3">
        <v>41839</v>
      </c>
      <c r="B5315" s="3">
        <v>41839</v>
      </c>
      <c r="C5315">
        <v>183.68</v>
      </c>
      <c r="D5315">
        <v>1.3524</v>
      </c>
      <c r="E5315">
        <v>107.24</v>
      </c>
      <c r="F5315">
        <v>317.39999999999998</v>
      </c>
      <c r="K5315" s="3"/>
      <c r="O5315" s="3"/>
    </row>
    <row r="5316" spans="1:15">
      <c r="A5316" s="3">
        <v>41840</v>
      </c>
      <c r="B5316" s="3">
        <v>41840</v>
      </c>
      <c r="C5316">
        <v>183.68</v>
      </c>
      <c r="D5316">
        <v>1.3524</v>
      </c>
      <c r="E5316">
        <v>107.24</v>
      </c>
      <c r="F5316">
        <v>317.39999999999998</v>
      </c>
      <c r="K5316" s="3"/>
      <c r="O5316" s="3"/>
    </row>
    <row r="5317" spans="1:15">
      <c r="A5317" s="3">
        <v>41841</v>
      </c>
      <c r="B5317" s="3">
        <v>41841</v>
      </c>
      <c r="C5317">
        <v>183.59</v>
      </c>
      <c r="D5317">
        <v>1.3524</v>
      </c>
      <c r="E5317">
        <v>107.68</v>
      </c>
      <c r="F5317">
        <v>318.64999999999998</v>
      </c>
      <c r="K5317" s="3"/>
      <c r="O5317" s="3"/>
    </row>
    <row r="5318" spans="1:15">
      <c r="A5318" s="3">
        <v>41842</v>
      </c>
      <c r="B5318" s="3">
        <v>41842</v>
      </c>
      <c r="C5318">
        <v>183.56</v>
      </c>
      <c r="D5318">
        <v>1.3466</v>
      </c>
      <c r="E5318">
        <v>107.33</v>
      </c>
      <c r="F5318">
        <v>319.55</v>
      </c>
      <c r="K5318" s="3"/>
      <c r="O5318" s="3"/>
    </row>
    <row r="5319" spans="1:15">
      <c r="A5319" s="3">
        <v>41843</v>
      </c>
      <c r="B5319" s="3">
        <v>41843</v>
      </c>
      <c r="C5319">
        <v>183.52</v>
      </c>
      <c r="D5319">
        <v>1.3464</v>
      </c>
      <c r="E5319">
        <v>108.03</v>
      </c>
      <c r="F5319">
        <v>319.5</v>
      </c>
      <c r="K5319" s="3"/>
      <c r="O5319" s="3"/>
    </row>
    <row r="5320" spans="1:15">
      <c r="A5320" s="3">
        <v>41844</v>
      </c>
      <c r="B5320" s="3">
        <v>41844</v>
      </c>
      <c r="C5320">
        <v>183.54</v>
      </c>
      <c r="D5320">
        <v>1.3464</v>
      </c>
      <c r="E5320">
        <v>107.07</v>
      </c>
      <c r="F5320">
        <v>325.39999999999998</v>
      </c>
      <c r="K5320" s="3"/>
      <c r="O5320" s="3"/>
    </row>
    <row r="5321" spans="1:15">
      <c r="A5321" s="3">
        <v>41845</v>
      </c>
      <c r="B5321" s="3">
        <v>41845</v>
      </c>
      <c r="C5321">
        <v>183.59</v>
      </c>
      <c r="D5321">
        <v>1.343</v>
      </c>
      <c r="E5321">
        <v>108.39</v>
      </c>
      <c r="F5321">
        <v>322.7</v>
      </c>
      <c r="K5321" s="3"/>
      <c r="O5321" s="3"/>
    </row>
    <row r="5322" spans="1:15">
      <c r="A5322" s="3">
        <v>41846</v>
      </c>
      <c r="B5322" s="3">
        <v>41846</v>
      </c>
      <c r="C5322">
        <v>183.59</v>
      </c>
      <c r="D5322">
        <v>1.343</v>
      </c>
      <c r="E5322">
        <v>108.39</v>
      </c>
      <c r="F5322">
        <v>322.7</v>
      </c>
      <c r="K5322" s="3"/>
      <c r="O5322" s="3"/>
    </row>
    <row r="5323" spans="1:15">
      <c r="A5323" s="3">
        <v>41847</v>
      </c>
      <c r="B5323" s="3">
        <v>41847</v>
      </c>
      <c r="C5323">
        <v>183.59</v>
      </c>
      <c r="D5323">
        <v>1.343</v>
      </c>
      <c r="E5323">
        <v>108.39</v>
      </c>
      <c r="F5323">
        <v>322.7</v>
      </c>
      <c r="K5323" s="3"/>
      <c r="O5323" s="3"/>
    </row>
    <row r="5324" spans="1:15">
      <c r="A5324" s="3">
        <v>41848</v>
      </c>
      <c r="B5324" s="3">
        <v>41848</v>
      </c>
      <c r="C5324">
        <v>183.56</v>
      </c>
      <c r="D5324">
        <v>1.3440000000000001</v>
      </c>
      <c r="E5324">
        <v>107.57</v>
      </c>
      <c r="F5324">
        <v>323.10000000000002</v>
      </c>
      <c r="K5324" s="3"/>
      <c r="O5324" s="3"/>
    </row>
    <row r="5325" spans="1:15">
      <c r="A5325" s="3">
        <v>41849</v>
      </c>
      <c r="B5325" s="3">
        <v>41849</v>
      </c>
      <c r="C5325">
        <v>183.52</v>
      </c>
      <c r="D5325">
        <v>1.3409</v>
      </c>
      <c r="E5325">
        <v>107.72</v>
      </c>
      <c r="F5325">
        <v>320.95</v>
      </c>
      <c r="K5325" s="3"/>
      <c r="O5325" s="3"/>
    </row>
    <row r="5326" spans="1:15">
      <c r="A5326" s="3">
        <v>41850</v>
      </c>
      <c r="B5326" s="3">
        <v>41850</v>
      </c>
      <c r="C5326">
        <v>183.55</v>
      </c>
      <c r="D5326">
        <v>1.3396999999999999</v>
      </c>
      <c r="E5326">
        <v>106.51</v>
      </c>
      <c r="F5326">
        <v>324.14999999999998</v>
      </c>
      <c r="K5326" s="3"/>
      <c r="O5326" s="3"/>
    </row>
    <row r="5327" spans="1:15">
      <c r="A5327" s="3">
        <v>41851</v>
      </c>
      <c r="B5327" s="3">
        <v>41851</v>
      </c>
      <c r="C5327">
        <v>183.32</v>
      </c>
      <c r="D5327">
        <v>1.339</v>
      </c>
      <c r="E5327">
        <v>106.02</v>
      </c>
      <c r="F5327">
        <v>323.10000000000002</v>
      </c>
      <c r="K5327" s="3"/>
      <c r="O5327" s="3"/>
    </row>
    <row r="5328" spans="1:15">
      <c r="A5328" s="3">
        <v>41852</v>
      </c>
      <c r="B5328" s="3">
        <v>41852</v>
      </c>
      <c r="C5328">
        <v>182.55</v>
      </c>
      <c r="D5328">
        <v>1.3427</v>
      </c>
      <c r="E5328">
        <v>104.84</v>
      </c>
      <c r="F5328">
        <v>321.45</v>
      </c>
      <c r="K5328" s="3"/>
      <c r="O5328" s="3"/>
    </row>
    <row r="5329" spans="1:15">
      <c r="A5329" s="3">
        <v>41853</v>
      </c>
      <c r="B5329" s="3">
        <v>41853</v>
      </c>
      <c r="C5329">
        <v>182.55</v>
      </c>
      <c r="D5329">
        <v>1.3427</v>
      </c>
      <c r="E5329">
        <v>104.84</v>
      </c>
      <c r="F5329">
        <v>321.45</v>
      </c>
      <c r="K5329" s="3"/>
      <c r="O5329" s="3"/>
    </row>
    <row r="5330" spans="1:15">
      <c r="A5330" s="3">
        <v>41854</v>
      </c>
      <c r="B5330" s="3">
        <v>41854</v>
      </c>
      <c r="C5330">
        <v>182.55</v>
      </c>
      <c r="D5330">
        <v>1.3427</v>
      </c>
      <c r="E5330">
        <v>104.84</v>
      </c>
      <c r="F5330">
        <v>321.45</v>
      </c>
      <c r="K5330" s="3"/>
      <c r="O5330" s="3"/>
    </row>
    <row r="5331" spans="1:15">
      <c r="A5331" s="3">
        <v>41855</v>
      </c>
      <c r="B5331" s="3">
        <v>41855</v>
      </c>
      <c r="C5331">
        <v>182.1</v>
      </c>
      <c r="D5331">
        <v>1.3422000000000001</v>
      </c>
      <c r="E5331">
        <v>105.41</v>
      </c>
      <c r="F5331">
        <v>324.39999999999998</v>
      </c>
      <c r="K5331" s="3"/>
      <c r="O5331" s="3"/>
    </row>
    <row r="5332" spans="1:15">
      <c r="A5332" s="3">
        <v>41856</v>
      </c>
      <c r="B5332" s="3">
        <v>41856</v>
      </c>
      <c r="C5332">
        <v>182.02</v>
      </c>
      <c r="D5332">
        <v>1.3375999999999999</v>
      </c>
      <c r="E5332">
        <v>104.61</v>
      </c>
      <c r="F5332">
        <v>320.45</v>
      </c>
      <c r="K5332" s="3"/>
      <c r="O5332" s="3"/>
    </row>
    <row r="5333" spans="1:15">
      <c r="A5333" s="3">
        <v>41857</v>
      </c>
      <c r="B5333" s="3">
        <v>41857</v>
      </c>
      <c r="C5333">
        <v>182.01</v>
      </c>
      <c r="D5333">
        <v>1.3383</v>
      </c>
      <c r="E5333">
        <v>104.59</v>
      </c>
      <c r="F5333">
        <v>316.60000000000002</v>
      </c>
      <c r="K5333" s="3"/>
      <c r="O5333" s="3"/>
    </row>
    <row r="5334" spans="1:15">
      <c r="A5334" s="3">
        <v>41858</v>
      </c>
      <c r="B5334" s="3">
        <v>41858</v>
      </c>
      <c r="C5334">
        <v>182.05</v>
      </c>
      <c r="D5334">
        <v>1.3364</v>
      </c>
      <c r="E5334">
        <v>105.44</v>
      </c>
      <c r="F5334">
        <v>317.60000000000002</v>
      </c>
      <c r="K5334" s="3"/>
      <c r="O5334" s="3"/>
    </row>
    <row r="5335" spans="1:15">
      <c r="A5335" s="3">
        <v>41859</v>
      </c>
      <c r="B5335" s="3">
        <v>41859</v>
      </c>
      <c r="C5335">
        <v>182.06</v>
      </c>
      <c r="D5335">
        <v>1.341</v>
      </c>
      <c r="E5335">
        <v>105.02</v>
      </c>
      <c r="F5335">
        <v>317.35000000000002</v>
      </c>
      <c r="K5335" s="3"/>
      <c r="O5335" s="3"/>
    </row>
    <row r="5336" spans="1:15">
      <c r="A5336" s="3">
        <v>41860</v>
      </c>
      <c r="B5336" s="3">
        <v>41860</v>
      </c>
      <c r="C5336">
        <v>182.06</v>
      </c>
      <c r="D5336">
        <v>1.341</v>
      </c>
      <c r="E5336">
        <v>105.02</v>
      </c>
      <c r="F5336">
        <v>317.35000000000002</v>
      </c>
      <c r="K5336" s="3"/>
      <c r="O5336" s="3"/>
    </row>
    <row r="5337" spans="1:15">
      <c r="A5337" s="3">
        <v>41861</v>
      </c>
      <c r="B5337" s="3">
        <v>41861</v>
      </c>
      <c r="C5337">
        <v>182.06</v>
      </c>
      <c r="D5337">
        <v>1.341</v>
      </c>
      <c r="E5337">
        <v>105.02</v>
      </c>
      <c r="F5337">
        <v>317.35000000000002</v>
      </c>
      <c r="K5337" s="3"/>
      <c r="O5337" s="3"/>
    </row>
    <row r="5338" spans="1:15">
      <c r="A5338" s="3">
        <v>41862</v>
      </c>
      <c r="B5338" s="3">
        <v>41862</v>
      </c>
      <c r="C5338">
        <v>182.03</v>
      </c>
      <c r="D5338">
        <v>1.3385</v>
      </c>
      <c r="E5338">
        <v>104.68</v>
      </c>
      <c r="F5338">
        <v>317.45</v>
      </c>
      <c r="K5338" s="3"/>
      <c r="O5338" s="3"/>
    </row>
    <row r="5339" spans="1:15">
      <c r="A5339" s="3">
        <v>41863</v>
      </c>
      <c r="B5339" s="3">
        <v>41863</v>
      </c>
      <c r="C5339">
        <v>181.99</v>
      </c>
      <c r="D5339">
        <v>1.3369</v>
      </c>
      <c r="E5339">
        <v>103.02</v>
      </c>
      <c r="F5339">
        <v>315.45</v>
      </c>
      <c r="K5339" s="3"/>
      <c r="O5339" s="3"/>
    </row>
    <row r="5340" spans="1:15">
      <c r="A5340" s="3">
        <v>41864</v>
      </c>
      <c r="B5340" s="3">
        <v>41864</v>
      </c>
      <c r="C5340">
        <v>182.04</v>
      </c>
      <c r="D5340">
        <v>1.3364</v>
      </c>
      <c r="E5340">
        <v>104.28</v>
      </c>
      <c r="F5340">
        <v>311.2</v>
      </c>
      <c r="K5340" s="3"/>
      <c r="O5340" s="3"/>
    </row>
    <row r="5341" spans="1:15">
      <c r="A5341" s="3">
        <v>41865</v>
      </c>
      <c r="B5341" s="3">
        <v>41865</v>
      </c>
      <c r="C5341">
        <v>182.02</v>
      </c>
      <c r="D5341">
        <v>1.3365</v>
      </c>
      <c r="E5341">
        <v>102.01</v>
      </c>
      <c r="F5341">
        <v>309.10000000000002</v>
      </c>
      <c r="K5341" s="3"/>
      <c r="O5341" s="3"/>
    </row>
    <row r="5342" spans="1:15">
      <c r="A5342" s="3">
        <v>41866</v>
      </c>
      <c r="B5342" s="3">
        <v>41866</v>
      </c>
      <c r="C5342">
        <v>182.04</v>
      </c>
      <c r="D5342">
        <v>1.3401000000000001</v>
      </c>
      <c r="E5342">
        <v>103.53</v>
      </c>
      <c r="F5342">
        <v>310.3</v>
      </c>
      <c r="K5342" s="3"/>
      <c r="O5342" s="3"/>
    </row>
    <row r="5343" spans="1:15">
      <c r="A5343" s="3">
        <v>41867</v>
      </c>
      <c r="B5343" s="3">
        <v>41867</v>
      </c>
      <c r="C5343">
        <v>182.04</v>
      </c>
      <c r="D5343">
        <v>1.3401000000000001</v>
      </c>
      <c r="E5343">
        <v>103.53</v>
      </c>
      <c r="F5343">
        <v>310.3</v>
      </c>
      <c r="K5343" s="3"/>
      <c r="O5343" s="3"/>
    </row>
    <row r="5344" spans="1:15">
      <c r="A5344" s="3">
        <v>41868</v>
      </c>
      <c r="B5344" s="3">
        <v>41868</v>
      </c>
      <c r="C5344">
        <v>182.04</v>
      </c>
      <c r="D5344">
        <v>1.3401000000000001</v>
      </c>
      <c r="E5344">
        <v>103.53</v>
      </c>
      <c r="F5344">
        <v>310.3</v>
      </c>
      <c r="K5344" s="3"/>
      <c r="O5344" s="3"/>
    </row>
    <row r="5345" spans="1:15">
      <c r="A5345" s="3">
        <v>41869</v>
      </c>
      <c r="B5345" s="3">
        <v>41869</v>
      </c>
      <c r="C5345">
        <v>182.03</v>
      </c>
      <c r="D5345">
        <v>1.3364</v>
      </c>
      <c r="E5345">
        <v>101.6</v>
      </c>
      <c r="F5345">
        <v>310.89999999999998</v>
      </c>
      <c r="K5345" s="3"/>
      <c r="O5345" s="3"/>
    </row>
    <row r="5346" spans="1:15">
      <c r="A5346" s="3">
        <v>41870</v>
      </c>
      <c r="B5346" s="3">
        <v>41870</v>
      </c>
      <c r="C5346">
        <v>182.02</v>
      </c>
      <c r="D5346">
        <v>1.3320000000000001</v>
      </c>
      <c r="E5346">
        <v>101.56</v>
      </c>
      <c r="F5346">
        <v>308.85000000000002</v>
      </c>
      <c r="K5346" s="3"/>
      <c r="O5346" s="3"/>
    </row>
    <row r="5347" spans="1:15">
      <c r="A5347" s="3">
        <v>41871</v>
      </c>
      <c r="B5347" s="3">
        <v>41871</v>
      </c>
      <c r="C5347">
        <v>182.01</v>
      </c>
      <c r="D5347">
        <v>1.3259000000000001</v>
      </c>
      <c r="E5347">
        <v>102.28</v>
      </c>
      <c r="F5347">
        <v>317.7</v>
      </c>
      <c r="K5347" s="3"/>
      <c r="O5347" s="3"/>
    </row>
    <row r="5348" spans="1:15">
      <c r="A5348" s="3">
        <v>41872</v>
      </c>
      <c r="B5348" s="3">
        <v>41872</v>
      </c>
      <c r="C5348">
        <v>182.01</v>
      </c>
      <c r="D5348">
        <v>1.3281000000000001</v>
      </c>
      <c r="E5348">
        <v>102.63</v>
      </c>
      <c r="F5348">
        <v>317.60000000000002</v>
      </c>
      <c r="K5348" s="3"/>
      <c r="O5348" s="3"/>
    </row>
    <row r="5349" spans="1:15">
      <c r="A5349" s="3">
        <v>41873</v>
      </c>
      <c r="B5349" s="3">
        <v>41873</v>
      </c>
      <c r="C5349">
        <v>182.12</v>
      </c>
      <c r="D5349">
        <v>1.3242</v>
      </c>
      <c r="E5349">
        <v>102.29</v>
      </c>
      <c r="F5349">
        <v>320.45</v>
      </c>
      <c r="K5349" s="3"/>
      <c r="O5349" s="3"/>
    </row>
    <row r="5350" spans="1:15">
      <c r="A5350" s="3">
        <v>41874</v>
      </c>
      <c r="B5350" s="3">
        <v>41874</v>
      </c>
      <c r="C5350">
        <v>182.12</v>
      </c>
      <c r="D5350">
        <v>1.3242</v>
      </c>
      <c r="E5350">
        <v>102.29</v>
      </c>
      <c r="F5350">
        <v>320.45</v>
      </c>
      <c r="K5350" s="3"/>
      <c r="O5350" s="3"/>
    </row>
    <row r="5351" spans="1:15">
      <c r="A5351" s="3">
        <v>41875</v>
      </c>
      <c r="B5351" s="3">
        <v>41875</v>
      </c>
      <c r="C5351">
        <v>182.12</v>
      </c>
      <c r="D5351">
        <v>1.3242</v>
      </c>
      <c r="E5351">
        <v>102.29</v>
      </c>
      <c r="F5351">
        <v>320.45</v>
      </c>
      <c r="K5351" s="3"/>
      <c r="O5351" s="3"/>
    </row>
    <row r="5352" spans="1:15">
      <c r="A5352" s="3">
        <v>41876</v>
      </c>
      <c r="B5352" s="3">
        <v>41876</v>
      </c>
      <c r="C5352">
        <v>182.01</v>
      </c>
      <c r="D5352">
        <v>1.3191999999999999</v>
      </c>
      <c r="E5352">
        <v>102.65</v>
      </c>
      <c r="F5352">
        <v>321.8</v>
      </c>
      <c r="K5352" s="3"/>
      <c r="O5352" s="3"/>
    </row>
    <row r="5353" spans="1:15">
      <c r="A5353" s="3">
        <v>41877</v>
      </c>
      <c r="B5353" s="3">
        <v>41877</v>
      </c>
      <c r="C5353">
        <v>182</v>
      </c>
      <c r="D5353">
        <v>1.3167</v>
      </c>
      <c r="E5353">
        <v>102.5</v>
      </c>
      <c r="F5353">
        <v>318.60000000000002</v>
      </c>
      <c r="K5353" s="3"/>
      <c r="O5353" s="3"/>
    </row>
    <row r="5354" spans="1:15">
      <c r="A5354" s="3">
        <v>41878</v>
      </c>
      <c r="B5354" s="3">
        <v>41878</v>
      </c>
      <c r="C5354">
        <v>182</v>
      </c>
      <c r="D5354">
        <v>1.3192999999999999</v>
      </c>
      <c r="E5354">
        <v>102.72</v>
      </c>
      <c r="F5354">
        <v>317.8</v>
      </c>
      <c r="K5354" s="3"/>
      <c r="O5354" s="3"/>
    </row>
    <row r="5355" spans="1:15">
      <c r="A5355" s="3">
        <v>41879</v>
      </c>
      <c r="B5355" s="3">
        <v>41879</v>
      </c>
      <c r="C5355">
        <v>182.01</v>
      </c>
      <c r="D5355">
        <v>1.3182</v>
      </c>
      <c r="E5355">
        <v>102.46</v>
      </c>
      <c r="F5355">
        <v>312.64999999999998</v>
      </c>
      <c r="K5355" s="3"/>
      <c r="O5355" s="3"/>
    </row>
    <row r="5356" spans="1:15">
      <c r="A5356" s="3">
        <v>41880</v>
      </c>
      <c r="B5356" s="3">
        <v>41880</v>
      </c>
      <c r="C5356">
        <v>182.07</v>
      </c>
      <c r="D5356">
        <v>1.3131999999999999</v>
      </c>
      <c r="E5356">
        <v>103.19</v>
      </c>
      <c r="F5356">
        <v>313.5</v>
      </c>
      <c r="K5356" s="3"/>
      <c r="O5356" s="3"/>
    </row>
    <row r="5357" spans="1:15">
      <c r="A5357" s="3">
        <v>41881</v>
      </c>
      <c r="B5357" s="3">
        <v>41881</v>
      </c>
      <c r="C5357">
        <v>182.07</v>
      </c>
      <c r="D5357">
        <v>1.3131999999999999</v>
      </c>
      <c r="E5357">
        <v>103.19</v>
      </c>
      <c r="F5357">
        <v>313.5</v>
      </c>
      <c r="K5357" s="3"/>
      <c r="O5357" s="3"/>
    </row>
    <row r="5358" spans="1:15">
      <c r="A5358" s="3">
        <v>41882</v>
      </c>
      <c r="B5358" s="3">
        <v>41882</v>
      </c>
      <c r="C5358">
        <v>182.07</v>
      </c>
      <c r="D5358">
        <v>1.3131999999999999</v>
      </c>
      <c r="E5358">
        <v>103.19</v>
      </c>
      <c r="F5358">
        <v>313.5</v>
      </c>
      <c r="K5358" s="3"/>
      <c r="O5358" s="3"/>
    </row>
    <row r="5359" spans="1:15">
      <c r="A5359" s="3">
        <v>41883</v>
      </c>
      <c r="B5359" s="3">
        <v>41883</v>
      </c>
      <c r="C5359">
        <v>182.1</v>
      </c>
      <c r="D5359">
        <v>1.3128</v>
      </c>
      <c r="E5359">
        <v>102.79</v>
      </c>
      <c r="F5359">
        <v>313.5</v>
      </c>
      <c r="K5359" s="3"/>
      <c r="O5359" s="3"/>
    </row>
    <row r="5360" spans="1:15">
      <c r="A5360" s="3">
        <v>41884</v>
      </c>
      <c r="B5360" s="3">
        <v>41884</v>
      </c>
      <c r="C5360">
        <v>182.06</v>
      </c>
      <c r="D5360">
        <v>1.3132999999999999</v>
      </c>
      <c r="E5360">
        <v>100.34</v>
      </c>
      <c r="F5360">
        <v>313.45</v>
      </c>
      <c r="K5360" s="3"/>
      <c r="O5360" s="3"/>
    </row>
    <row r="5361" spans="1:15">
      <c r="A5361" s="3">
        <v>41885</v>
      </c>
      <c r="B5361" s="3">
        <v>41885</v>
      </c>
      <c r="C5361">
        <v>182.02</v>
      </c>
      <c r="D5361">
        <v>1.3149999999999999</v>
      </c>
      <c r="E5361">
        <v>102.77</v>
      </c>
      <c r="F5361">
        <v>311.14999999999998</v>
      </c>
      <c r="K5361" s="3"/>
      <c r="O5361" s="3"/>
    </row>
    <row r="5362" spans="1:15">
      <c r="A5362" s="3">
        <v>41886</v>
      </c>
      <c r="B5362" s="3">
        <v>41886</v>
      </c>
      <c r="C5362">
        <v>182.01</v>
      </c>
      <c r="D5362">
        <v>1.2944</v>
      </c>
      <c r="E5362">
        <v>101.83</v>
      </c>
      <c r="F5362">
        <v>313.85000000000002</v>
      </c>
      <c r="K5362" s="3"/>
      <c r="O5362" s="3"/>
    </row>
    <row r="5363" spans="1:15">
      <c r="A5363" s="3">
        <v>41887</v>
      </c>
      <c r="B5363" s="3">
        <v>41887</v>
      </c>
      <c r="C5363">
        <v>182.11</v>
      </c>
      <c r="D5363">
        <v>1.2950999999999999</v>
      </c>
      <c r="E5363">
        <v>100.82</v>
      </c>
      <c r="F5363">
        <v>315.8</v>
      </c>
      <c r="K5363" s="3"/>
      <c r="O5363" s="3"/>
    </row>
    <row r="5364" spans="1:15">
      <c r="A5364" s="3">
        <v>41888</v>
      </c>
      <c r="B5364" s="3">
        <v>41888</v>
      </c>
      <c r="C5364">
        <v>182.11</v>
      </c>
      <c r="D5364">
        <v>1.2950999999999999</v>
      </c>
      <c r="E5364">
        <v>100.82</v>
      </c>
      <c r="F5364">
        <v>315.8</v>
      </c>
      <c r="K5364" s="3"/>
      <c r="O5364" s="3"/>
    </row>
    <row r="5365" spans="1:15">
      <c r="A5365" s="3">
        <v>41889</v>
      </c>
      <c r="B5365" s="3">
        <v>41889</v>
      </c>
      <c r="C5365">
        <v>182.11</v>
      </c>
      <c r="D5365">
        <v>1.2950999999999999</v>
      </c>
      <c r="E5365">
        <v>100.82</v>
      </c>
      <c r="F5365">
        <v>315.8</v>
      </c>
      <c r="K5365" s="3"/>
      <c r="O5365" s="3"/>
    </row>
    <row r="5366" spans="1:15">
      <c r="A5366" s="3">
        <v>41890</v>
      </c>
      <c r="B5366" s="3">
        <v>41890</v>
      </c>
      <c r="C5366">
        <v>182.01</v>
      </c>
      <c r="D5366">
        <v>1.2895000000000001</v>
      </c>
      <c r="E5366">
        <v>100.2</v>
      </c>
      <c r="F5366">
        <v>315.75</v>
      </c>
      <c r="K5366" s="3"/>
      <c r="O5366" s="3"/>
    </row>
    <row r="5367" spans="1:15">
      <c r="A5367" s="3">
        <v>41891</v>
      </c>
      <c r="B5367" s="3">
        <v>41891</v>
      </c>
      <c r="C5367">
        <v>182.01</v>
      </c>
      <c r="D5367">
        <v>1.2937000000000001</v>
      </c>
      <c r="E5367">
        <v>99.16</v>
      </c>
      <c r="F5367">
        <v>309.45</v>
      </c>
      <c r="K5367" s="3"/>
      <c r="O5367" s="3"/>
    </row>
    <row r="5368" spans="1:15">
      <c r="A5368" s="3">
        <v>41892</v>
      </c>
      <c r="B5368" s="3">
        <v>41892</v>
      </c>
      <c r="C5368">
        <v>181.99</v>
      </c>
      <c r="D5368">
        <v>1.2917000000000001</v>
      </c>
      <c r="E5368">
        <v>98.04</v>
      </c>
      <c r="F5368">
        <v>310.45</v>
      </c>
      <c r="K5368" s="3"/>
      <c r="O5368" s="3"/>
    </row>
    <row r="5369" spans="1:15">
      <c r="A5369" s="3">
        <v>41893</v>
      </c>
      <c r="B5369" s="3">
        <v>41893</v>
      </c>
      <c r="C5369">
        <v>182.01</v>
      </c>
      <c r="D5369">
        <v>1.2925</v>
      </c>
      <c r="E5369">
        <v>98.08</v>
      </c>
      <c r="F5369">
        <v>308.7</v>
      </c>
      <c r="K5369" s="3"/>
      <c r="O5369" s="3"/>
    </row>
    <row r="5370" spans="1:15">
      <c r="A5370" s="3">
        <v>41894</v>
      </c>
      <c r="B5370" s="3">
        <v>41894</v>
      </c>
      <c r="C5370">
        <v>181.89</v>
      </c>
      <c r="D5370">
        <v>1.2963</v>
      </c>
      <c r="E5370">
        <v>97.11</v>
      </c>
      <c r="F5370">
        <v>310.2</v>
      </c>
      <c r="K5370" s="3"/>
      <c r="O5370" s="3"/>
    </row>
    <row r="5371" spans="1:15">
      <c r="A5371" s="3">
        <v>41895</v>
      </c>
      <c r="B5371" s="3">
        <v>41895</v>
      </c>
      <c r="C5371">
        <v>181.89</v>
      </c>
      <c r="D5371">
        <v>1.2963</v>
      </c>
      <c r="E5371">
        <v>97.11</v>
      </c>
      <c r="F5371">
        <v>310.2</v>
      </c>
      <c r="K5371" s="3"/>
      <c r="O5371" s="3"/>
    </row>
    <row r="5372" spans="1:15">
      <c r="A5372" s="3">
        <v>41896</v>
      </c>
      <c r="B5372" s="3">
        <v>41896</v>
      </c>
      <c r="C5372">
        <v>181.89</v>
      </c>
      <c r="D5372">
        <v>1.2963</v>
      </c>
      <c r="E5372">
        <v>97.11</v>
      </c>
      <c r="F5372">
        <v>310.2</v>
      </c>
      <c r="K5372" s="3"/>
      <c r="O5372" s="3"/>
    </row>
    <row r="5373" spans="1:15">
      <c r="A5373" s="3">
        <v>41897</v>
      </c>
      <c r="B5373" s="3">
        <v>41897</v>
      </c>
      <c r="C5373">
        <v>181.99</v>
      </c>
      <c r="D5373">
        <v>1.294</v>
      </c>
      <c r="E5373">
        <v>96.65</v>
      </c>
      <c r="F5373">
        <v>308.10000000000002</v>
      </c>
      <c r="K5373" s="3"/>
      <c r="O5373" s="3"/>
    </row>
    <row r="5374" spans="1:15">
      <c r="A5374" s="3">
        <v>41898</v>
      </c>
      <c r="B5374" s="3">
        <v>41898</v>
      </c>
      <c r="C5374">
        <v>182.02</v>
      </c>
      <c r="D5374">
        <v>1.296</v>
      </c>
      <c r="E5374">
        <v>99.05</v>
      </c>
      <c r="F5374">
        <v>316</v>
      </c>
      <c r="K5374" s="3"/>
      <c r="O5374" s="3"/>
    </row>
    <row r="5375" spans="1:15">
      <c r="A5375" s="3">
        <v>41899</v>
      </c>
      <c r="B5375" s="3">
        <v>41899</v>
      </c>
      <c r="C5375">
        <v>181.96</v>
      </c>
      <c r="D5375">
        <v>1.2865</v>
      </c>
      <c r="E5375">
        <v>98.97</v>
      </c>
      <c r="F5375">
        <v>314.14999999999998</v>
      </c>
      <c r="K5375" s="3"/>
      <c r="O5375" s="3"/>
    </row>
    <row r="5376" spans="1:15">
      <c r="A5376" s="3">
        <v>41900</v>
      </c>
      <c r="B5376" s="3">
        <v>41900</v>
      </c>
      <c r="C5376">
        <v>181.95</v>
      </c>
      <c r="D5376">
        <v>1.2923</v>
      </c>
      <c r="E5376">
        <v>97.7</v>
      </c>
      <c r="F5376">
        <v>309.25</v>
      </c>
      <c r="K5376" s="3"/>
      <c r="O5376" s="3"/>
    </row>
    <row r="5377" spans="1:15">
      <c r="A5377" s="3">
        <v>41901</v>
      </c>
      <c r="B5377" s="3">
        <v>41901</v>
      </c>
      <c r="C5377">
        <v>181.95</v>
      </c>
      <c r="D5377">
        <v>1.2828999999999999</v>
      </c>
      <c r="E5377">
        <v>98.39</v>
      </c>
      <c r="F5377">
        <v>308.85000000000002</v>
      </c>
      <c r="K5377" s="3"/>
      <c r="O5377" s="3"/>
    </row>
    <row r="5378" spans="1:15">
      <c r="A5378" s="3">
        <v>41902</v>
      </c>
      <c r="B5378" s="3">
        <v>41902</v>
      </c>
      <c r="C5378">
        <v>181.95</v>
      </c>
      <c r="D5378">
        <v>1.2828999999999999</v>
      </c>
      <c r="E5378">
        <v>98.39</v>
      </c>
      <c r="F5378">
        <v>308.85000000000002</v>
      </c>
      <c r="K5378" s="3"/>
      <c r="O5378" s="3"/>
    </row>
    <row r="5379" spans="1:15">
      <c r="A5379" s="3">
        <v>41903</v>
      </c>
      <c r="B5379" s="3">
        <v>41903</v>
      </c>
      <c r="C5379">
        <v>181.95</v>
      </c>
      <c r="D5379">
        <v>1.2828999999999999</v>
      </c>
      <c r="E5379">
        <v>98.39</v>
      </c>
      <c r="F5379">
        <v>308.85000000000002</v>
      </c>
      <c r="K5379" s="3"/>
      <c r="O5379" s="3"/>
    </row>
    <row r="5380" spans="1:15">
      <c r="A5380" s="3">
        <v>41904</v>
      </c>
      <c r="B5380" s="3">
        <v>41904</v>
      </c>
      <c r="C5380">
        <v>181.98</v>
      </c>
      <c r="D5380">
        <v>1.2848999999999999</v>
      </c>
      <c r="E5380">
        <v>96.97</v>
      </c>
      <c r="F5380">
        <v>303.8</v>
      </c>
      <c r="K5380" s="3"/>
      <c r="O5380" s="3"/>
    </row>
    <row r="5381" spans="1:15">
      <c r="A5381" s="3">
        <v>41905</v>
      </c>
      <c r="B5381" s="3">
        <v>41905</v>
      </c>
      <c r="C5381">
        <v>181.72</v>
      </c>
      <c r="D5381">
        <v>1.2847</v>
      </c>
      <c r="E5381">
        <v>96.85</v>
      </c>
      <c r="F5381">
        <v>303.45</v>
      </c>
      <c r="K5381" s="3"/>
      <c r="O5381" s="3"/>
    </row>
    <row r="5382" spans="1:15">
      <c r="A5382" s="3">
        <v>41906</v>
      </c>
      <c r="B5382" s="3">
        <v>41906</v>
      </c>
      <c r="C5382">
        <v>181.9</v>
      </c>
      <c r="D5382">
        <v>1.278</v>
      </c>
      <c r="E5382">
        <v>96.95</v>
      </c>
      <c r="F5382">
        <v>305.95</v>
      </c>
      <c r="K5382" s="3"/>
      <c r="O5382" s="3"/>
    </row>
    <row r="5383" spans="1:15">
      <c r="A5383" s="3">
        <v>41907</v>
      </c>
      <c r="B5383" s="3">
        <v>41907</v>
      </c>
      <c r="C5383">
        <v>182</v>
      </c>
      <c r="D5383">
        <v>1.2750999999999999</v>
      </c>
      <c r="E5383">
        <v>97</v>
      </c>
      <c r="F5383">
        <v>306</v>
      </c>
      <c r="K5383" s="3"/>
      <c r="O5383" s="3"/>
    </row>
    <row r="5384" spans="1:15">
      <c r="A5384" s="3">
        <v>41908</v>
      </c>
      <c r="B5384" s="3">
        <v>41908</v>
      </c>
      <c r="C5384">
        <v>181.89</v>
      </c>
      <c r="D5384">
        <v>1.2684</v>
      </c>
      <c r="E5384">
        <v>97</v>
      </c>
      <c r="F5384">
        <v>302.89999999999998</v>
      </c>
      <c r="K5384" s="3"/>
      <c r="O5384" s="3"/>
    </row>
    <row r="5385" spans="1:15">
      <c r="A5385" s="3">
        <v>41909</v>
      </c>
      <c r="B5385" s="3">
        <v>41909</v>
      </c>
      <c r="C5385">
        <v>181.89</v>
      </c>
      <c r="D5385">
        <v>1.2684</v>
      </c>
      <c r="E5385">
        <v>97</v>
      </c>
      <c r="F5385">
        <v>302.89999999999998</v>
      </c>
      <c r="K5385" s="3"/>
      <c r="O5385" s="3"/>
    </row>
    <row r="5386" spans="1:15">
      <c r="A5386" s="3">
        <v>41910</v>
      </c>
      <c r="B5386" s="3">
        <v>41910</v>
      </c>
      <c r="C5386">
        <v>181.89</v>
      </c>
      <c r="D5386">
        <v>1.2684</v>
      </c>
      <c r="E5386">
        <v>97</v>
      </c>
      <c r="F5386">
        <v>302.89999999999998</v>
      </c>
      <c r="K5386" s="3"/>
      <c r="O5386" s="3"/>
    </row>
    <row r="5387" spans="1:15">
      <c r="A5387" s="3">
        <v>41911</v>
      </c>
      <c r="B5387" s="3">
        <v>41911</v>
      </c>
      <c r="C5387">
        <v>181.91</v>
      </c>
      <c r="D5387">
        <v>1.2685</v>
      </c>
      <c r="E5387">
        <v>97.2</v>
      </c>
      <c r="F5387">
        <v>305.64999999999998</v>
      </c>
      <c r="K5387" s="3"/>
      <c r="O5387" s="3"/>
    </row>
    <row r="5388" spans="1:15">
      <c r="A5388" s="3">
        <v>41912</v>
      </c>
      <c r="B5388" s="3">
        <v>41912</v>
      </c>
      <c r="C5388">
        <v>181.93</v>
      </c>
      <c r="D5388">
        <v>1.2630999999999999</v>
      </c>
      <c r="E5388">
        <v>94.67</v>
      </c>
      <c r="F5388">
        <v>300.75</v>
      </c>
      <c r="K5388" s="3"/>
      <c r="O5388" s="3"/>
    </row>
    <row r="5389" spans="1:15">
      <c r="A5389" s="3">
        <v>41913</v>
      </c>
      <c r="B5389" s="3">
        <v>41913</v>
      </c>
      <c r="C5389">
        <v>181.93</v>
      </c>
      <c r="D5389">
        <v>1.2623</v>
      </c>
      <c r="E5389">
        <v>94.16</v>
      </c>
      <c r="F5389">
        <v>303.60000000000002</v>
      </c>
      <c r="K5389" s="3"/>
      <c r="O5389" s="3"/>
    </row>
    <row r="5390" spans="1:15">
      <c r="A5390" s="3">
        <v>41914</v>
      </c>
      <c r="B5390" s="3">
        <v>41914</v>
      </c>
      <c r="C5390">
        <v>181.96</v>
      </c>
      <c r="D5390">
        <v>1.2668999999999999</v>
      </c>
      <c r="E5390">
        <v>93.42</v>
      </c>
      <c r="F5390">
        <v>299.85000000000002</v>
      </c>
      <c r="K5390" s="3"/>
      <c r="O5390" s="3"/>
    </row>
    <row r="5391" spans="1:15">
      <c r="A5391" s="3">
        <v>41915</v>
      </c>
      <c r="B5391" s="3">
        <v>41915</v>
      </c>
      <c r="C5391">
        <v>181.98</v>
      </c>
      <c r="D5391">
        <v>1.2516</v>
      </c>
      <c r="E5391">
        <v>92.31</v>
      </c>
      <c r="F5391">
        <v>299.85000000000002</v>
      </c>
      <c r="K5391" s="3"/>
      <c r="O5391" s="3"/>
    </row>
    <row r="5392" spans="1:15">
      <c r="A5392" s="3">
        <v>41916</v>
      </c>
      <c r="B5392" s="3">
        <v>41916</v>
      </c>
      <c r="C5392">
        <v>181.98</v>
      </c>
      <c r="D5392">
        <v>1.2516</v>
      </c>
      <c r="E5392">
        <v>92.31</v>
      </c>
      <c r="F5392">
        <v>299.85000000000002</v>
      </c>
      <c r="K5392" s="3"/>
      <c r="O5392" s="3"/>
    </row>
    <row r="5393" spans="1:15">
      <c r="A5393" s="3">
        <v>41917</v>
      </c>
      <c r="B5393" s="3">
        <v>41917</v>
      </c>
      <c r="C5393">
        <v>181.98</v>
      </c>
      <c r="D5393">
        <v>1.2516</v>
      </c>
      <c r="E5393">
        <v>92.31</v>
      </c>
      <c r="F5393">
        <v>299.85000000000002</v>
      </c>
      <c r="K5393" s="3"/>
      <c r="O5393" s="3"/>
    </row>
    <row r="5394" spans="1:15">
      <c r="A5394" s="3">
        <v>41918</v>
      </c>
      <c r="B5394" s="3">
        <v>41918</v>
      </c>
      <c r="C5394">
        <v>181.82</v>
      </c>
      <c r="D5394">
        <v>1.2655000000000001</v>
      </c>
      <c r="E5394">
        <v>92.79</v>
      </c>
      <c r="F5394">
        <v>303.55</v>
      </c>
      <c r="K5394" s="3"/>
      <c r="O5394" s="3"/>
    </row>
    <row r="5395" spans="1:15">
      <c r="A5395" s="3">
        <v>41919</v>
      </c>
      <c r="B5395" s="3">
        <v>41919</v>
      </c>
      <c r="C5395">
        <v>181.84</v>
      </c>
      <c r="D5395">
        <v>1.2668999999999999</v>
      </c>
      <c r="E5395">
        <v>92.11</v>
      </c>
      <c r="F5395">
        <v>303.89999999999998</v>
      </c>
      <c r="K5395" s="3"/>
      <c r="O5395" s="3"/>
    </row>
    <row r="5396" spans="1:15">
      <c r="A5396" s="3">
        <v>41920</v>
      </c>
      <c r="B5396" s="3">
        <v>41920</v>
      </c>
      <c r="C5396">
        <v>181.83</v>
      </c>
      <c r="D5396">
        <v>1.2734000000000001</v>
      </c>
      <c r="E5396">
        <v>91.38</v>
      </c>
      <c r="F5396">
        <v>300.35000000000002</v>
      </c>
      <c r="K5396" s="3"/>
      <c r="O5396" s="3"/>
    </row>
    <row r="5397" spans="1:15">
      <c r="A5397" s="3">
        <v>41921</v>
      </c>
      <c r="B5397" s="3">
        <v>41921</v>
      </c>
      <c r="C5397">
        <v>181.8</v>
      </c>
      <c r="D5397">
        <v>1.2690999999999999</v>
      </c>
      <c r="E5397">
        <v>90.05</v>
      </c>
      <c r="F5397">
        <v>303</v>
      </c>
      <c r="K5397" s="3"/>
      <c r="O5397" s="3"/>
    </row>
    <row r="5398" spans="1:15">
      <c r="A5398" s="3">
        <v>41922</v>
      </c>
      <c r="B5398" s="3">
        <v>41922</v>
      </c>
      <c r="C5398">
        <v>181.8</v>
      </c>
      <c r="D5398">
        <v>1.2627999999999999</v>
      </c>
      <c r="E5398">
        <v>90.21</v>
      </c>
      <c r="F5398">
        <v>303.5</v>
      </c>
      <c r="K5398" s="3"/>
      <c r="O5398" s="3"/>
    </row>
    <row r="5399" spans="1:15">
      <c r="A5399" s="3">
        <v>41923</v>
      </c>
      <c r="B5399" s="3">
        <v>41923</v>
      </c>
      <c r="C5399">
        <v>181.8</v>
      </c>
      <c r="D5399">
        <v>1.2627999999999999</v>
      </c>
      <c r="E5399">
        <v>90.21</v>
      </c>
      <c r="F5399">
        <v>303.5</v>
      </c>
      <c r="K5399" s="3"/>
      <c r="O5399" s="3"/>
    </row>
    <row r="5400" spans="1:15">
      <c r="A5400" s="3">
        <v>41924</v>
      </c>
      <c r="B5400" s="3">
        <v>41924</v>
      </c>
      <c r="C5400">
        <v>181.8</v>
      </c>
      <c r="D5400">
        <v>1.2627999999999999</v>
      </c>
      <c r="E5400">
        <v>90.21</v>
      </c>
      <c r="F5400">
        <v>303.5</v>
      </c>
      <c r="K5400" s="3"/>
      <c r="O5400" s="3"/>
    </row>
    <row r="5401" spans="1:15">
      <c r="A5401" s="3">
        <v>41925</v>
      </c>
      <c r="B5401" s="3">
        <v>41925</v>
      </c>
      <c r="C5401">
        <v>181.81</v>
      </c>
      <c r="D5401">
        <v>1.2751999999999999</v>
      </c>
      <c r="E5401">
        <v>88.89</v>
      </c>
      <c r="F5401">
        <v>304.05</v>
      </c>
      <c r="K5401" s="3"/>
      <c r="O5401" s="3"/>
    </row>
    <row r="5402" spans="1:15">
      <c r="A5402" s="3">
        <v>41926</v>
      </c>
      <c r="B5402" s="3">
        <v>41926</v>
      </c>
      <c r="C5402">
        <v>181.81</v>
      </c>
      <c r="D5402">
        <v>1.2658</v>
      </c>
      <c r="E5402">
        <v>85.04</v>
      </c>
      <c r="F5402">
        <v>309</v>
      </c>
      <c r="K5402" s="3"/>
      <c r="O5402" s="3"/>
    </row>
    <row r="5403" spans="1:15">
      <c r="A5403" s="3">
        <v>41927</v>
      </c>
      <c r="B5403" s="3">
        <v>41927</v>
      </c>
      <c r="C5403">
        <v>181.51</v>
      </c>
      <c r="D5403">
        <v>1.2838000000000001</v>
      </c>
      <c r="E5403">
        <v>83.78</v>
      </c>
      <c r="F5403">
        <v>300.89999999999998</v>
      </c>
      <c r="K5403" s="3"/>
      <c r="O5403" s="3"/>
    </row>
    <row r="5404" spans="1:15">
      <c r="A5404" s="3">
        <v>41928</v>
      </c>
      <c r="B5404" s="3">
        <v>41928</v>
      </c>
      <c r="C5404">
        <v>181.57</v>
      </c>
      <c r="D5404">
        <v>1.2808999999999999</v>
      </c>
      <c r="E5404">
        <v>84.47</v>
      </c>
      <c r="F5404">
        <v>298.14999999999998</v>
      </c>
      <c r="K5404" s="3"/>
      <c r="O5404" s="3"/>
    </row>
    <row r="5405" spans="1:15">
      <c r="A5405" s="3">
        <v>41929</v>
      </c>
      <c r="B5405" s="3">
        <v>41929</v>
      </c>
      <c r="C5405">
        <v>182.13</v>
      </c>
      <c r="D5405">
        <v>1.2761</v>
      </c>
      <c r="E5405">
        <v>86.16</v>
      </c>
      <c r="F5405">
        <v>300.35000000000002</v>
      </c>
      <c r="K5405" s="3"/>
      <c r="O5405" s="3"/>
    </row>
    <row r="5406" spans="1:15">
      <c r="A5406" s="3">
        <v>41930</v>
      </c>
      <c r="B5406" s="3">
        <v>41930</v>
      </c>
      <c r="C5406">
        <v>182.13</v>
      </c>
      <c r="D5406">
        <v>1.2761</v>
      </c>
      <c r="E5406">
        <v>86.16</v>
      </c>
      <c r="F5406">
        <v>300.35000000000002</v>
      </c>
      <c r="K5406" s="3"/>
      <c r="O5406" s="3"/>
    </row>
    <row r="5407" spans="1:15">
      <c r="A5407" s="3">
        <v>41931</v>
      </c>
      <c r="B5407" s="3">
        <v>41931</v>
      </c>
      <c r="C5407">
        <v>182.13</v>
      </c>
      <c r="D5407">
        <v>1.2761</v>
      </c>
      <c r="E5407">
        <v>86.16</v>
      </c>
      <c r="F5407">
        <v>300.35000000000002</v>
      </c>
      <c r="K5407" s="3"/>
      <c r="O5407" s="3"/>
    </row>
    <row r="5408" spans="1:15">
      <c r="A5408" s="3">
        <v>41932</v>
      </c>
      <c r="B5408" s="3">
        <v>41932</v>
      </c>
      <c r="C5408">
        <v>181.77</v>
      </c>
      <c r="D5408">
        <v>1.28</v>
      </c>
      <c r="E5408">
        <v>85.4</v>
      </c>
      <c r="F5408">
        <v>298.8</v>
      </c>
      <c r="K5408" s="3"/>
      <c r="O5408" s="3"/>
    </row>
    <row r="5409" spans="1:15">
      <c r="A5409" s="3">
        <v>41933</v>
      </c>
      <c r="B5409" s="3">
        <v>41933</v>
      </c>
      <c r="C5409">
        <v>181.15</v>
      </c>
      <c r="D5409">
        <v>1.2716000000000001</v>
      </c>
      <c r="E5409">
        <v>86.22</v>
      </c>
      <c r="F5409">
        <v>302.8</v>
      </c>
      <c r="K5409" s="3"/>
      <c r="O5409" s="3"/>
    </row>
    <row r="5410" spans="1:15">
      <c r="A5410" s="3">
        <v>41934</v>
      </c>
      <c r="B5410" s="3">
        <v>41934</v>
      </c>
      <c r="C5410">
        <v>180.87</v>
      </c>
      <c r="D5410">
        <v>1.2648999999999999</v>
      </c>
      <c r="E5410">
        <v>84.71</v>
      </c>
      <c r="F5410">
        <v>301.75</v>
      </c>
      <c r="K5410" s="3"/>
      <c r="O5410" s="3"/>
    </row>
    <row r="5411" spans="1:15">
      <c r="A5411" s="3">
        <v>41935</v>
      </c>
      <c r="B5411" s="3">
        <v>41935</v>
      </c>
      <c r="C5411">
        <v>180.93</v>
      </c>
      <c r="D5411">
        <v>1.2645999999999999</v>
      </c>
      <c r="E5411">
        <v>86.83</v>
      </c>
      <c r="F5411">
        <v>304</v>
      </c>
      <c r="K5411" s="3"/>
      <c r="O5411" s="3"/>
    </row>
    <row r="5412" spans="1:15">
      <c r="A5412" s="3">
        <v>41936</v>
      </c>
      <c r="B5412" s="3">
        <v>41936</v>
      </c>
      <c r="C5412">
        <v>180.96</v>
      </c>
      <c r="D5412">
        <v>1.2670999999999999</v>
      </c>
      <c r="E5412">
        <v>86.13</v>
      </c>
      <c r="F5412">
        <v>304.10000000000002</v>
      </c>
      <c r="K5412" s="3"/>
      <c r="O5412" s="3"/>
    </row>
    <row r="5413" spans="1:15">
      <c r="A5413" s="3">
        <v>41937</v>
      </c>
      <c r="B5413" s="3">
        <v>41937</v>
      </c>
      <c r="C5413">
        <v>180.96</v>
      </c>
      <c r="D5413">
        <v>1.2670999999999999</v>
      </c>
      <c r="E5413">
        <v>86.13</v>
      </c>
      <c r="F5413">
        <v>304.10000000000002</v>
      </c>
      <c r="K5413" s="3"/>
      <c r="O5413" s="3"/>
    </row>
    <row r="5414" spans="1:15">
      <c r="A5414" s="3">
        <v>41938</v>
      </c>
      <c r="B5414" s="3">
        <v>41938</v>
      </c>
      <c r="C5414">
        <v>180.96</v>
      </c>
      <c r="D5414">
        <v>1.2670999999999999</v>
      </c>
      <c r="E5414">
        <v>86.13</v>
      </c>
      <c r="F5414">
        <v>304.10000000000002</v>
      </c>
      <c r="K5414" s="3"/>
      <c r="O5414" s="3"/>
    </row>
    <row r="5415" spans="1:15">
      <c r="A5415" s="3">
        <v>41939</v>
      </c>
      <c r="B5415" s="3">
        <v>41939</v>
      </c>
      <c r="C5415">
        <v>180.87</v>
      </c>
      <c r="D5415">
        <v>1.2698</v>
      </c>
      <c r="E5415">
        <v>85.83</v>
      </c>
      <c r="F5415">
        <v>306.39999999999998</v>
      </c>
      <c r="K5415" s="3"/>
      <c r="O5415" s="3"/>
    </row>
    <row r="5416" spans="1:15">
      <c r="A5416" s="3">
        <v>41940</v>
      </c>
      <c r="B5416" s="3">
        <v>41940</v>
      </c>
      <c r="C5416">
        <v>180.93</v>
      </c>
      <c r="D5416">
        <v>1.2734000000000001</v>
      </c>
      <c r="E5416">
        <v>86.03</v>
      </c>
      <c r="F5416">
        <v>309.3</v>
      </c>
      <c r="K5416" s="3"/>
      <c r="O5416" s="3"/>
    </row>
    <row r="5417" spans="1:15">
      <c r="A5417" s="3">
        <v>41941</v>
      </c>
      <c r="B5417" s="3">
        <v>41941</v>
      </c>
      <c r="C5417">
        <v>180.91</v>
      </c>
      <c r="D5417">
        <v>1.2632000000000001</v>
      </c>
      <c r="E5417">
        <v>87.12</v>
      </c>
      <c r="F5417">
        <v>310.45</v>
      </c>
      <c r="K5417" s="3"/>
      <c r="O5417" s="3"/>
    </row>
    <row r="5418" spans="1:15">
      <c r="A5418" s="3">
        <v>41942</v>
      </c>
      <c r="B5418" s="3">
        <v>41942</v>
      </c>
      <c r="C5418">
        <v>180.8</v>
      </c>
      <c r="D5418">
        <v>1.2613000000000001</v>
      </c>
      <c r="E5418">
        <v>86.24</v>
      </c>
      <c r="F5418">
        <v>306.25</v>
      </c>
      <c r="K5418" s="3"/>
      <c r="O5418" s="3"/>
    </row>
    <row r="5419" spans="1:15">
      <c r="A5419" s="3">
        <v>41943</v>
      </c>
      <c r="B5419" s="3">
        <v>41943</v>
      </c>
      <c r="C5419">
        <v>180.96</v>
      </c>
      <c r="D5419">
        <v>1.2524999999999999</v>
      </c>
      <c r="E5419">
        <v>85.86</v>
      </c>
      <c r="F5419">
        <v>304.7</v>
      </c>
      <c r="K5419" s="3"/>
      <c r="O5419" s="3"/>
    </row>
    <row r="5420" spans="1:15">
      <c r="A5420" s="3">
        <v>41944</v>
      </c>
      <c r="B5420" s="3">
        <v>41944</v>
      </c>
      <c r="C5420">
        <v>180.96</v>
      </c>
      <c r="D5420">
        <v>1.2524999999999999</v>
      </c>
      <c r="E5420">
        <v>85.86</v>
      </c>
      <c r="F5420">
        <v>304.7</v>
      </c>
      <c r="K5420" s="3"/>
      <c r="O5420" s="3"/>
    </row>
    <row r="5421" spans="1:15">
      <c r="A5421" s="3">
        <v>41945</v>
      </c>
      <c r="B5421" s="3">
        <v>41945</v>
      </c>
      <c r="C5421">
        <v>180.96</v>
      </c>
      <c r="D5421">
        <v>1.2524999999999999</v>
      </c>
      <c r="E5421">
        <v>85.86</v>
      </c>
      <c r="F5421">
        <v>304.7</v>
      </c>
      <c r="K5421" s="3"/>
      <c r="O5421" s="3"/>
    </row>
    <row r="5422" spans="1:15">
      <c r="A5422" s="3">
        <v>41946</v>
      </c>
      <c r="B5422" s="3">
        <v>41946</v>
      </c>
      <c r="C5422">
        <v>180.9</v>
      </c>
      <c r="D5422">
        <v>1.2482</v>
      </c>
      <c r="E5422">
        <v>84.78</v>
      </c>
      <c r="F5422">
        <v>306.5</v>
      </c>
      <c r="K5422" s="3"/>
      <c r="O5422" s="3"/>
    </row>
    <row r="5423" spans="1:15">
      <c r="A5423" s="3">
        <v>41947</v>
      </c>
      <c r="B5423" s="3">
        <v>41947</v>
      </c>
      <c r="C5423">
        <v>180.9</v>
      </c>
      <c r="D5423">
        <v>1.2545999999999999</v>
      </c>
      <c r="E5423">
        <v>82.82</v>
      </c>
      <c r="F5423">
        <v>301.85000000000002</v>
      </c>
      <c r="K5423" s="3"/>
      <c r="O5423" s="3"/>
    </row>
    <row r="5424" spans="1:15">
      <c r="A5424" s="3">
        <v>41948</v>
      </c>
      <c r="B5424" s="3">
        <v>41948</v>
      </c>
      <c r="C5424">
        <v>180.93</v>
      </c>
      <c r="D5424">
        <v>1.2485999999999999</v>
      </c>
      <c r="E5424">
        <v>82.95</v>
      </c>
      <c r="F5424">
        <v>300.75</v>
      </c>
      <c r="K5424" s="3"/>
      <c r="O5424" s="3"/>
    </row>
    <row r="5425" spans="1:15">
      <c r="A5425" s="3">
        <v>41949</v>
      </c>
      <c r="B5425" s="3">
        <v>41949</v>
      </c>
      <c r="C5425">
        <v>180.9</v>
      </c>
      <c r="D5425">
        <v>1.2375</v>
      </c>
      <c r="E5425">
        <v>82.86</v>
      </c>
      <c r="F5425">
        <v>301.75</v>
      </c>
      <c r="K5425" s="3"/>
      <c r="O5425" s="3"/>
    </row>
    <row r="5426" spans="1:15">
      <c r="A5426" s="3">
        <v>41950</v>
      </c>
      <c r="B5426" s="3">
        <v>41950</v>
      </c>
      <c r="C5426">
        <v>180.94</v>
      </c>
      <c r="D5426">
        <v>1.2455000000000001</v>
      </c>
      <c r="E5426">
        <v>83.39</v>
      </c>
      <c r="F5426">
        <v>303.85000000000002</v>
      </c>
      <c r="K5426" s="3"/>
      <c r="O5426" s="3"/>
    </row>
    <row r="5427" spans="1:15">
      <c r="A5427" s="3">
        <v>41951</v>
      </c>
      <c r="B5427" s="3">
        <v>41951</v>
      </c>
      <c r="C5427">
        <v>180.94</v>
      </c>
      <c r="D5427">
        <v>1.2455000000000001</v>
      </c>
      <c r="E5427">
        <v>83.39</v>
      </c>
      <c r="F5427">
        <v>303.85000000000002</v>
      </c>
      <c r="K5427" s="3"/>
      <c r="O5427" s="3"/>
    </row>
    <row r="5428" spans="1:15">
      <c r="A5428" s="3">
        <v>41952</v>
      </c>
      <c r="B5428" s="3">
        <v>41952</v>
      </c>
      <c r="C5428">
        <v>180.94</v>
      </c>
      <c r="D5428">
        <v>1.2455000000000001</v>
      </c>
      <c r="E5428">
        <v>83.39</v>
      </c>
      <c r="F5428">
        <v>303.85000000000002</v>
      </c>
      <c r="K5428" s="3"/>
      <c r="O5428" s="3"/>
    </row>
    <row r="5429" spans="1:15">
      <c r="A5429" s="3">
        <v>41953</v>
      </c>
      <c r="B5429" s="3">
        <v>41953</v>
      </c>
      <c r="C5429">
        <v>180.87</v>
      </c>
      <c r="D5429">
        <v>1.2421</v>
      </c>
      <c r="E5429">
        <v>82.34</v>
      </c>
      <c r="F5429">
        <v>302</v>
      </c>
      <c r="K5429" s="3"/>
      <c r="O5429" s="3"/>
    </row>
    <row r="5430" spans="1:15">
      <c r="A5430" s="3">
        <v>41954</v>
      </c>
      <c r="B5430" s="3">
        <v>41954</v>
      </c>
      <c r="C5430">
        <v>180.87</v>
      </c>
      <c r="D5430">
        <v>1.2475000000000001</v>
      </c>
      <c r="E5430">
        <v>81.67</v>
      </c>
      <c r="F5430">
        <v>303.3</v>
      </c>
      <c r="K5430" s="3"/>
      <c r="O5430" s="3"/>
    </row>
    <row r="5431" spans="1:15">
      <c r="A5431" s="3">
        <v>41955</v>
      </c>
      <c r="B5431" s="3">
        <v>41955</v>
      </c>
      <c r="C5431">
        <v>181.09</v>
      </c>
      <c r="D5431">
        <v>1.2438</v>
      </c>
      <c r="E5431">
        <v>80.38</v>
      </c>
      <c r="F5431">
        <v>302.5</v>
      </c>
      <c r="K5431" s="3"/>
      <c r="O5431" s="3"/>
    </row>
    <row r="5432" spans="1:15">
      <c r="A5432" s="3">
        <v>41956</v>
      </c>
      <c r="B5432" s="3">
        <v>41956</v>
      </c>
      <c r="C5432">
        <v>180.98</v>
      </c>
      <c r="D5432">
        <v>1.2477</v>
      </c>
      <c r="E5432">
        <v>77.92</v>
      </c>
      <c r="F5432">
        <v>299.45</v>
      </c>
      <c r="K5432" s="3"/>
      <c r="O5432" s="3"/>
    </row>
    <row r="5433" spans="1:15">
      <c r="A5433" s="3">
        <v>41957</v>
      </c>
      <c r="B5433" s="3">
        <v>41957</v>
      </c>
      <c r="C5433">
        <v>180.89</v>
      </c>
      <c r="D5433">
        <v>1.2524999999999999</v>
      </c>
      <c r="E5433">
        <v>79.41</v>
      </c>
      <c r="F5433">
        <v>304.64999999999998</v>
      </c>
      <c r="K5433" s="3"/>
      <c r="O5433" s="3"/>
    </row>
    <row r="5434" spans="1:15">
      <c r="A5434" s="3">
        <v>41958</v>
      </c>
      <c r="B5434" s="3">
        <v>41958</v>
      </c>
      <c r="C5434">
        <v>180.89</v>
      </c>
      <c r="D5434">
        <v>1.2524999999999999</v>
      </c>
      <c r="E5434">
        <v>79.41</v>
      </c>
      <c r="F5434">
        <v>304.64999999999998</v>
      </c>
      <c r="K5434" s="3"/>
      <c r="O5434" s="3"/>
    </row>
    <row r="5435" spans="1:15">
      <c r="A5435" s="3">
        <v>41959</v>
      </c>
      <c r="B5435" s="3">
        <v>41959</v>
      </c>
      <c r="C5435">
        <v>180.89</v>
      </c>
      <c r="D5435">
        <v>1.2524999999999999</v>
      </c>
      <c r="E5435">
        <v>79.41</v>
      </c>
      <c r="F5435">
        <v>304.64999999999998</v>
      </c>
      <c r="K5435" s="3"/>
      <c r="O5435" s="3"/>
    </row>
    <row r="5436" spans="1:15">
      <c r="A5436" s="3">
        <v>41960</v>
      </c>
      <c r="B5436" s="3">
        <v>41960</v>
      </c>
      <c r="C5436">
        <v>180.93</v>
      </c>
      <c r="D5436">
        <v>1.2450000000000001</v>
      </c>
      <c r="E5436">
        <v>79.31</v>
      </c>
      <c r="F5436">
        <v>303.95</v>
      </c>
      <c r="K5436" s="3"/>
      <c r="O5436" s="3"/>
    </row>
    <row r="5437" spans="1:15">
      <c r="A5437" s="3">
        <v>41961</v>
      </c>
      <c r="B5437" s="3">
        <v>41961</v>
      </c>
      <c r="C5437">
        <v>180.96</v>
      </c>
      <c r="D5437">
        <v>1.2536</v>
      </c>
      <c r="E5437">
        <v>78.47</v>
      </c>
      <c r="F5437">
        <v>300.2</v>
      </c>
      <c r="K5437" s="3"/>
      <c r="O5437" s="3"/>
    </row>
    <row r="5438" spans="1:15">
      <c r="A5438" s="3">
        <v>41962</v>
      </c>
      <c r="B5438" s="3">
        <v>41962</v>
      </c>
      <c r="C5438">
        <v>180.95</v>
      </c>
      <c r="D5438">
        <v>1.2554000000000001</v>
      </c>
      <c r="E5438">
        <v>78.099999999999994</v>
      </c>
      <c r="F5438">
        <v>304.5</v>
      </c>
      <c r="K5438" s="3"/>
      <c r="O5438" s="3"/>
    </row>
    <row r="5439" spans="1:15">
      <c r="A5439" s="3">
        <v>41963</v>
      </c>
      <c r="B5439" s="3">
        <v>41963</v>
      </c>
      <c r="C5439">
        <v>180.88</v>
      </c>
      <c r="D5439">
        <v>1.2539</v>
      </c>
      <c r="E5439">
        <v>79.33</v>
      </c>
      <c r="F5439">
        <v>301.95</v>
      </c>
      <c r="K5439" s="3"/>
      <c r="O5439" s="3"/>
    </row>
    <row r="5440" spans="1:15">
      <c r="A5440" s="3">
        <v>41964</v>
      </c>
      <c r="B5440" s="3">
        <v>41964</v>
      </c>
      <c r="C5440">
        <v>180.92</v>
      </c>
      <c r="D5440">
        <v>1.2391000000000001</v>
      </c>
      <c r="E5440">
        <v>80.36</v>
      </c>
      <c r="F5440">
        <v>303.14999999999998</v>
      </c>
      <c r="K5440" s="3"/>
      <c r="O5440" s="3"/>
    </row>
    <row r="5441" spans="1:15">
      <c r="A5441" s="3">
        <v>41965</v>
      </c>
      <c r="B5441" s="3">
        <v>41965</v>
      </c>
      <c r="C5441">
        <v>180.92</v>
      </c>
      <c r="D5441">
        <v>1.2391000000000001</v>
      </c>
      <c r="E5441">
        <v>80.36</v>
      </c>
      <c r="F5441">
        <v>303.14999999999998</v>
      </c>
      <c r="K5441" s="3"/>
      <c r="O5441" s="3"/>
    </row>
    <row r="5442" spans="1:15">
      <c r="A5442" s="3">
        <v>41966</v>
      </c>
      <c r="B5442" s="3">
        <v>41966</v>
      </c>
      <c r="C5442">
        <v>180.92</v>
      </c>
      <c r="D5442">
        <v>1.2391000000000001</v>
      </c>
      <c r="E5442">
        <v>80.36</v>
      </c>
      <c r="F5442">
        <v>303.14999999999998</v>
      </c>
      <c r="K5442" s="3"/>
      <c r="O5442" s="3"/>
    </row>
    <row r="5443" spans="1:15">
      <c r="A5443" s="3">
        <v>41967</v>
      </c>
      <c r="B5443" s="3">
        <v>41967</v>
      </c>
      <c r="C5443">
        <v>181.33</v>
      </c>
      <c r="D5443">
        <v>1.2442</v>
      </c>
      <c r="E5443">
        <v>79.680000000000007</v>
      </c>
      <c r="F5443">
        <v>300</v>
      </c>
      <c r="K5443" s="3"/>
      <c r="O5443" s="3"/>
    </row>
    <row r="5444" spans="1:15">
      <c r="A5444" s="3">
        <v>41968</v>
      </c>
      <c r="B5444" s="3">
        <v>41968</v>
      </c>
      <c r="C5444">
        <v>180.88</v>
      </c>
      <c r="D5444">
        <v>1.2474000000000001</v>
      </c>
      <c r="E5444">
        <v>78.33</v>
      </c>
      <c r="F5444">
        <v>295.7</v>
      </c>
      <c r="K5444" s="3"/>
      <c r="O5444" s="3"/>
    </row>
    <row r="5445" spans="1:15">
      <c r="A5445" s="3">
        <v>41969</v>
      </c>
      <c r="B5445" s="3">
        <v>41969</v>
      </c>
      <c r="C5445">
        <v>180.95</v>
      </c>
      <c r="D5445">
        <v>1.2505999999999999</v>
      </c>
      <c r="E5445">
        <v>77.75</v>
      </c>
      <c r="F5445">
        <v>296</v>
      </c>
      <c r="K5445" s="3"/>
      <c r="O5445" s="3"/>
    </row>
    <row r="5446" spans="1:15">
      <c r="A5446" s="3">
        <v>41970</v>
      </c>
      <c r="B5446" s="3">
        <v>41970</v>
      </c>
      <c r="C5446">
        <v>180.9</v>
      </c>
      <c r="D5446">
        <v>1.2466999999999999</v>
      </c>
      <c r="E5446">
        <v>72.58</v>
      </c>
      <c r="F5446">
        <v>296</v>
      </c>
      <c r="K5446" s="3"/>
      <c r="O5446" s="3"/>
    </row>
    <row r="5447" spans="1:15">
      <c r="A5447" s="3">
        <v>41971</v>
      </c>
      <c r="B5447" s="3">
        <v>41971</v>
      </c>
      <c r="C5447">
        <v>181.57</v>
      </c>
      <c r="D5447">
        <v>1.2452000000000001</v>
      </c>
      <c r="E5447">
        <v>70.150000000000006</v>
      </c>
      <c r="F5447">
        <v>286</v>
      </c>
      <c r="K5447" s="3"/>
      <c r="O5447" s="3"/>
    </row>
    <row r="5448" spans="1:15">
      <c r="A5448" s="3">
        <v>41972</v>
      </c>
      <c r="B5448" s="3">
        <v>41972</v>
      </c>
      <c r="C5448">
        <v>181.57</v>
      </c>
      <c r="D5448">
        <v>1.2452000000000001</v>
      </c>
      <c r="E5448">
        <v>70.150000000000006</v>
      </c>
      <c r="F5448">
        <v>286</v>
      </c>
      <c r="K5448" s="3"/>
      <c r="O5448" s="3"/>
    </row>
    <row r="5449" spans="1:15">
      <c r="A5449" s="3">
        <v>41973</v>
      </c>
      <c r="B5449" s="3">
        <v>41973</v>
      </c>
      <c r="C5449">
        <v>181.57</v>
      </c>
      <c r="D5449">
        <v>1.2452000000000001</v>
      </c>
      <c r="E5449">
        <v>70.150000000000006</v>
      </c>
      <c r="F5449">
        <v>286</v>
      </c>
      <c r="K5449" s="3"/>
      <c r="O5449" s="3"/>
    </row>
    <row r="5450" spans="1:15">
      <c r="A5450" s="3">
        <v>41974</v>
      </c>
      <c r="B5450" s="3">
        <v>41974</v>
      </c>
      <c r="C5450">
        <v>181.57</v>
      </c>
      <c r="D5450">
        <v>1.2470000000000001</v>
      </c>
      <c r="E5450">
        <v>72.540000000000006</v>
      </c>
      <c r="F5450">
        <v>293.05</v>
      </c>
      <c r="K5450" s="3"/>
      <c r="O5450" s="3"/>
    </row>
    <row r="5451" spans="1:15">
      <c r="A5451" s="3">
        <v>41975</v>
      </c>
      <c r="B5451" s="3">
        <v>41975</v>
      </c>
      <c r="C5451">
        <v>181.68</v>
      </c>
      <c r="D5451">
        <v>1.2383</v>
      </c>
      <c r="E5451">
        <v>70.540000000000006</v>
      </c>
      <c r="F5451">
        <v>291.35000000000002</v>
      </c>
      <c r="K5451" s="3"/>
      <c r="O5451" s="3"/>
    </row>
    <row r="5452" spans="1:15">
      <c r="A5452" s="3">
        <v>41976</v>
      </c>
      <c r="B5452" s="3">
        <v>41976</v>
      </c>
      <c r="C5452">
        <v>181.51</v>
      </c>
      <c r="D5452">
        <v>1.2311000000000001</v>
      </c>
      <c r="E5452">
        <v>69.92</v>
      </c>
      <c r="F5452">
        <v>289.3</v>
      </c>
      <c r="K5452" s="3"/>
      <c r="O5452" s="3"/>
    </row>
    <row r="5453" spans="1:15">
      <c r="A5453" s="3">
        <v>41977</v>
      </c>
      <c r="B5453" s="3">
        <v>41977</v>
      </c>
      <c r="C5453">
        <v>182.45</v>
      </c>
      <c r="D5453">
        <v>1.2379</v>
      </c>
      <c r="E5453">
        <v>69.64</v>
      </c>
      <c r="F5453">
        <v>293.25</v>
      </c>
      <c r="K5453" s="3"/>
      <c r="O5453" s="3"/>
    </row>
    <row r="5454" spans="1:15">
      <c r="A5454" s="3">
        <v>41978</v>
      </c>
      <c r="B5454" s="3">
        <v>41978</v>
      </c>
      <c r="C5454">
        <v>181.57</v>
      </c>
      <c r="D5454">
        <v>1.2282999999999999</v>
      </c>
      <c r="E5454">
        <v>69.069999999999993</v>
      </c>
      <c r="F5454">
        <v>292.55</v>
      </c>
      <c r="K5454" s="3"/>
      <c r="O5454" s="3"/>
    </row>
    <row r="5455" spans="1:15">
      <c r="A5455" s="3">
        <v>41979</v>
      </c>
      <c r="B5455" s="3">
        <v>41979</v>
      </c>
      <c r="C5455">
        <v>181.57</v>
      </c>
      <c r="D5455">
        <v>1.2282999999999999</v>
      </c>
      <c r="E5455">
        <v>69.069999999999993</v>
      </c>
      <c r="F5455">
        <v>292.55</v>
      </c>
      <c r="K5455" s="3"/>
      <c r="O5455" s="3"/>
    </row>
    <row r="5456" spans="1:15">
      <c r="A5456" s="3">
        <v>41980</v>
      </c>
      <c r="B5456" s="3">
        <v>41980</v>
      </c>
      <c r="C5456">
        <v>181.57</v>
      </c>
      <c r="D5456">
        <v>1.2282999999999999</v>
      </c>
      <c r="E5456">
        <v>69.069999999999993</v>
      </c>
      <c r="F5456">
        <v>292.55</v>
      </c>
      <c r="K5456" s="3"/>
      <c r="O5456" s="3"/>
    </row>
    <row r="5457" spans="1:15">
      <c r="A5457" s="3">
        <v>41981</v>
      </c>
      <c r="B5457" s="3">
        <v>41981</v>
      </c>
      <c r="C5457">
        <v>182.03</v>
      </c>
      <c r="D5457">
        <v>1.2317</v>
      </c>
      <c r="E5457">
        <v>66.19</v>
      </c>
      <c r="F5457">
        <v>291.05</v>
      </c>
      <c r="K5457" s="3"/>
      <c r="O5457" s="3"/>
    </row>
    <row r="5458" spans="1:15">
      <c r="A5458" s="3">
        <v>41982</v>
      </c>
      <c r="B5458" s="3">
        <v>41982</v>
      </c>
      <c r="C5458">
        <v>181.87</v>
      </c>
      <c r="D5458">
        <v>1.2374000000000001</v>
      </c>
      <c r="E5458">
        <v>66.84</v>
      </c>
      <c r="F5458">
        <v>294.64999999999998</v>
      </c>
      <c r="K5458" s="3"/>
      <c r="O5458" s="3"/>
    </row>
    <row r="5459" spans="1:15">
      <c r="A5459" s="3">
        <v>41983</v>
      </c>
      <c r="B5459" s="3">
        <v>41983</v>
      </c>
      <c r="C5459">
        <v>181.88</v>
      </c>
      <c r="D5459">
        <v>1.2447999999999999</v>
      </c>
      <c r="E5459">
        <v>64.239999999999995</v>
      </c>
      <c r="F5459">
        <v>291.39999999999998</v>
      </c>
      <c r="K5459" s="3"/>
      <c r="O5459" s="3"/>
    </row>
    <row r="5460" spans="1:15">
      <c r="A5460" s="3">
        <v>41984</v>
      </c>
      <c r="B5460" s="3">
        <v>41984</v>
      </c>
      <c r="C5460">
        <v>181.98</v>
      </c>
      <c r="D5460">
        <v>1.2411000000000001</v>
      </c>
      <c r="E5460">
        <v>63.68</v>
      </c>
      <c r="F5460">
        <v>294.10000000000002</v>
      </c>
      <c r="K5460" s="3"/>
      <c r="O5460" s="3"/>
    </row>
    <row r="5461" spans="1:15">
      <c r="A5461" s="3">
        <v>41985</v>
      </c>
      <c r="B5461" s="3">
        <v>41985</v>
      </c>
      <c r="C5461">
        <v>182.02</v>
      </c>
      <c r="D5461">
        <v>1.2462</v>
      </c>
      <c r="E5461">
        <v>61.85</v>
      </c>
      <c r="F5461">
        <v>294.64999999999998</v>
      </c>
      <c r="K5461" s="3"/>
      <c r="O5461" s="3"/>
    </row>
    <row r="5462" spans="1:15">
      <c r="A5462" s="3">
        <v>41986</v>
      </c>
      <c r="B5462" s="3">
        <v>41986</v>
      </c>
      <c r="C5462">
        <v>182.02</v>
      </c>
      <c r="D5462">
        <v>1.2462</v>
      </c>
      <c r="E5462">
        <v>61.85</v>
      </c>
      <c r="F5462">
        <v>294.64999999999998</v>
      </c>
      <c r="K5462" s="3"/>
      <c r="O5462" s="3"/>
    </row>
    <row r="5463" spans="1:15">
      <c r="A5463" s="3">
        <v>41987</v>
      </c>
      <c r="B5463" s="3">
        <v>41987</v>
      </c>
      <c r="C5463">
        <v>182.02</v>
      </c>
      <c r="D5463">
        <v>1.2462</v>
      </c>
      <c r="E5463">
        <v>61.85</v>
      </c>
      <c r="F5463">
        <v>294.64999999999998</v>
      </c>
      <c r="K5463" s="3"/>
      <c r="O5463" s="3"/>
    </row>
    <row r="5464" spans="1:15">
      <c r="A5464" s="3">
        <v>41988</v>
      </c>
      <c r="B5464" s="3">
        <v>41988</v>
      </c>
      <c r="C5464">
        <v>183.57</v>
      </c>
      <c r="D5464">
        <v>1.2437</v>
      </c>
      <c r="E5464">
        <v>61.06</v>
      </c>
      <c r="F5464">
        <v>289.8</v>
      </c>
      <c r="K5464" s="3"/>
      <c r="O5464" s="3"/>
    </row>
    <row r="5465" spans="1:15">
      <c r="A5465" s="3">
        <v>41989</v>
      </c>
      <c r="B5465" s="3">
        <v>41989</v>
      </c>
      <c r="C5465">
        <v>183.57</v>
      </c>
      <c r="D5465">
        <v>1.2511000000000001</v>
      </c>
      <c r="E5465">
        <v>59.86</v>
      </c>
      <c r="F5465">
        <v>287.75</v>
      </c>
      <c r="K5465" s="3"/>
      <c r="O5465" s="3"/>
    </row>
    <row r="5466" spans="1:15">
      <c r="A5466" s="3">
        <v>41990</v>
      </c>
      <c r="B5466" s="3">
        <v>41990</v>
      </c>
      <c r="C5466">
        <v>183.57</v>
      </c>
      <c r="D5466">
        <v>1.2342</v>
      </c>
      <c r="E5466">
        <v>61.18</v>
      </c>
      <c r="F5466">
        <v>288.75</v>
      </c>
      <c r="K5466" s="3"/>
      <c r="O5466" s="3"/>
    </row>
    <row r="5467" spans="1:15">
      <c r="A5467" s="3">
        <v>41991</v>
      </c>
      <c r="B5467" s="3">
        <v>41991</v>
      </c>
      <c r="C5467">
        <v>182.93</v>
      </c>
      <c r="D5467">
        <v>1.2285999999999999</v>
      </c>
      <c r="E5467">
        <v>59.27</v>
      </c>
      <c r="F5467">
        <v>287.25</v>
      </c>
      <c r="K5467" s="3"/>
      <c r="O5467" s="3"/>
    </row>
    <row r="5468" spans="1:15">
      <c r="A5468" s="3">
        <v>41992</v>
      </c>
      <c r="B5468" s="3">
        <v>41992</v>
      </c>
      <c r="C5468">
        <v>183.13</v>
      </c>
      <c r="D5468">
        <v>1.2229000000000001</v>
      </c>
      <c r="E5468">
        <v>61.38</v>
      </c>
      <c r="F5468">
        <v>290.8</v>
      </c>
      <c r="K5468" s="3"/>
      <c r="O5468" s="3"/>
    </row>
    <row r="5469" spans="1:15">
      <c r="A5469" s="3">
        <v>41993</v>
      </c>
      <c r="B5469" s="3">
        <v>41993</v>
      </c>
      <c r="C5469">
        <v>183.13</v>
      </c>
      <c r="D5469">
        <v>1.2229000000000001</v>
      </c>
      <c r="E5469">
        <v>61.38</v>
      </c>
      <c r="F5469">
        <v>290.8</v>
      </c>
      <c r="K5469" s="3"/>
      <c r="O5469" s="3"/>
    </row>
    <row r="5470" spans="1:15">
      <c r="A5470" s="3">
        <v>41994</v>
      </c>
      <c r="B5470" s="3">
        <v>41994</v>
      </c>
      <c r="C5470">
        <v>183.13</v>
      </c>
      <c r="D5470">
        <v>1.2229000000000001</v>
      </c>
      <c r="E5470">
        <v>61.38</v>
      </c>
      <c r="F5470">
        <v>290.8</v>
      </c>
      <c r="K5470" s="3"/>
      <c r="O5470" s="3"/>
    </row>
    <row r="5471" spans="1:15">
      <c r="A5471" s="3">
        <v>41995</v>
      </c>
      <c r="B5471" s="3">
        <v>41995</v>
      </c>
      <c r="C5471">
        <v>182.22</v>
      </c>
      <c r="D5471">
        <v>1.2230000000000001</v>
      </c>
      <c r="E5471">
        <v>60.11</v>
      </c>
      <c r="F5471">
        <v>290.35000000000002</v>
      </c>
      <c r="K5471" s="3"/>
      <c r="O5471" s="3"/>
    </row>
    <row r="5472" spans="1:15">
      <c r="A5472" s="3">
        <v>41996</v>
      </c>
      <c r="B5472" s="3">
        <v>41996</v>
      </c>
      <c r="C5472">
        <v>182.32</v>
      </c>
      <c r="D5472">
        <v>1.2172000000000001</v>
      </c>
      <c r="E5472">
        <v>61.69</v>
      </c>
      <c r="F5472">
        <v>290.2</v>
      </c>
      <c r="K5472" s="3"/>
      <c r="O5472" s="3"/>
    </row>
    <row r="5473" spans="1:15">
      <c r="A5473" s="3">
        <v>41997</v>
      </c>
      <c r="B5473" s="3">
        <v>41997</v>
      </c>
      <c r="C5473">
        <v>182.77</v>
      </c>
      <c r="D5473">
        <v>1.2196</v>
      </c>
      <c r="E5473">
        <v>60.24</v>
      </c>
      <c r="F5473">
        <v>287.45</v>
      </c>
      <c r="K5473" s="3"/>
      <c r="O5473" s="3"/>
    </row>
    <row r="5474" spans="1:15">
      <c r="A5474" s="3">
        <v>41998</v>
      </c>
      <c r="B5474" s="3">
        <v>41998</v>
      </c>
      <c r="C5474">
        <v>182.35</v>
      </c>
      <c r="D5474">
        <v>1.2224999999999999</v>
      </c>
      <c r="E5474">
        <v>60.24</v>
      </c>
      <c r="F5474">
        <v>287.45</v>
      </c>
      <c r="K5474" s="3"/>
      <c r="O5474" s="3"/>
    </row>
    <row r="5475" spans="1:15">
      <c r="A5475" s="3">
        <v>41999</v>
      </c>
      <c r="B5475" s="3">
        <v>41999</v>
      </c>
      <c r="C5475">
        <v>182.51</v>
      </c>
      <c r="D5475">
        <v>1.2182999999999999</v>
      </c>
      <c r="E5475">
        <v>59.45</v>
      </c>
      <c r="F5475">
        <v>283.55</v>
      </c>
      <c r="K5475" s="3"/>
      <c r="O5475" s="3"/>
    </row>
    <row r="5476" spans="1:15">
      <c r="A5476" s="3">
        <v>42000</v>
      </c>
      <c r="B5476" s="3">
        <v>42000</v>
      </c>
      <c r="C5476">
        <v>182.51</v>
      </c>
      <c r="D5476">
        <v>1.2182999999999999</v>
      </c>
      <c r="E5476">
        <v>59.45</v>
      </c>
      <c r="F5476">
        <v>283.55</v>
      </c>
      <c r="K5476" s="3"/>
      <c r="O5476" s="3"/>
    </row>
    <row r="5477" spans="1:15">
      <c r="A5477" s="3">
        <v>42001</v>
      </c>
      <c r="B5477" s="3">
        <v>42001</v>
      </c>
      <c r="C5477">
        <v>182.51</v>
      </c>
      <c r="D5477">
        <v>1.2182999999999999</v>
      </c>
      <c r="E5477">
        <v>59.45</v>
      </c>
      <c r="F5477">
        <v>283.55</v>
      </c>
      <c r="K5477" s="3"/>
      <c r="O5477" s="3"/>
    </row>
    <row r="5478" spans="1:15">
      <c r="A5478" s="3">
        <v>42002</v>
      </c>
      <c r="B5478" s="3">
        <v>42002</v>
      </c>
      <c r="C5478">
        <v>182.37</v>
      </c>
      <c r="D5478">
        <v>1.2152000000000001</v>
      </c>
      <c r="E5478">
        <v>57.88</v>
      </c>
      <c r="F5478">
        <v>283.8</v>
      </c>
      <c r="K5478" s="3"/>
      <c r="O5478" s="3"/>
    </row>
    <row r="5479" spans="1:15">
      <c r="A5479" s="3">
        <v>42003</v>
      </c>
      <c r="B5479" s="3">
        <v>42003</v>
      </c>
      <c r="C5479">
        <v>182.82</v>
      </c>
      <c r="D5479">
        <v>1.2156</v>
      </c>
      <c r="E5479">
        <v>57.9</v>
      </c>
      <c r="F5479">
        <v>285.39999999999998</v>
      </c>
      <c r="K5479" s="3"/>
      <c r="O5479" s="3"/>
    </row>
    <row r="5480" spans="1:15">
      <c r="A5480" s="3">
        <v>42004</v>
      </c>
      <c r="B5480" s="3">
        <v>42004</v>
      </c>
      <c r="C5480">
        <v>182.35</v>
      </c>
      <c r="D5480">
        <v>1.2098</v>
      </c>
      <c r="E5480">
        <v>57.33</v>
      </c>
      <c r="F5480">
        <v>282.55</v>
      </c>
      <c r="K5480" s="3"/>
      <c r="O5480" s="3"/>
    </row>
    <row r="5481" spans="1:15">
      <c r="A5481" s="3">
        <v>42005</v>
      </c>
      <c r="B5481" s="3">
        <v>42005</v>
      </c>
      <c r="C5481">
        <v>182.51</v>
      </c>
      <c r="D5481">
        <v>1.2103999999999999</v>
      </c>
      <c r="E5481">
        <v>57.33</v>
      </c>
      <c r="F5481">
        <v>282.55</v>
      </c>
      <c r="K5481" s="3"/>
      <c r="O5481" s="3"/>
    </row>
    <row r="5482" spans="1:15">
      <c r="A5482" s="3">
        <v>42006</v>
      </c>
      <c r="B5482" s="3">
        <v>42006</v>
      </c>
      <c r="C5482">
        <v>182.51</v>
      </c>
      <c r="D5482">
        <v>1.2001999999999999</v>
      </c>
      <c r="E5482">
        <v>56.42</v>
      </c>
      <c r="F5482">
        <v>281.75</v>
      </c>
      <c r="K5482" s="3"/>
      <c r="O5482" s="3"/>
    </row>
    <row r="5483" spans="1:15">
      <c r="A5483" s="3">
        <v>42007</v>
      </c>
      <c r="B5483" s="3">
        <v>42007</v>
      </c>
      <c r="C5483">
        <v>182.51</v>
      </c>
      <c r="D5483">
        <v>1.2001999999999999</v>
      </c>
      <c r="E5483">
        <v>56.42</v>
      </c>
      <c r="F5483">
        <v>281.75</v>
      </c>
      <c r="K5483" s="3"/>
      <c r="O5483" s="3"/>
    </row>
    <row r="5484" spans="1:15">
      <c r="A5484" s="3">
        <v>42008</v>
      </c>
      <c r="B5484" s="3">
        <v>42008</v>
      </c>
      <c r="C5484">
        <v>182.51</v>
      </c>
      <c r="D5484">
        <v>1.2001999999999999</v>
      </c>
      <c r="E5484">
        <v>56.42</v>
      </c>
      <c r="F5484">
        <v>281.75</v>
      </c>
      <c r="K5484" s="3"/>
      <c r="O5484" s="3"/>
    </row>
    <row r="5485" spans="1:15">
      <c r="A5485" s="3">
        <v>42009</v>
      </c>
      <c r="B5485" s="3">
        <v>42009</v>
      </c>
      <c r="C5485">
        <v>183.02</v>
      </c>
      <c r="D5485">
        <v>1.1933</v>
      </c>
      <c r="E5485">
        <v>53.11</v>
      </c>
      <c r="F5485">
        <v>276.60000000000002</v>
      </c>
      <c r="K5485" s="3"/>
      <c r="O5485" s="3"/>
    </row>
    <row r="5486" spans="1:15">
      <c r="A5486" s="3">
        <v>42010</v>
      </c>
      <c r="B5486" s="3">
        <v>42010</v>
      </c>
      <c r="C5486">
        <v>183.04</v>
      </c>
      <c r="D5486">
        <v>1.1890000000000001</v>
      </c>
      <c r="E5486">
        <v>51.1</v>
      </c>
      <c r="F5486">
        <v>276.7</v>
      </c>
      <c r="K5486" s="3"/>
      <c r="O5486" s="3"/>
    </row>
    <row r="5487" spans="1:15">
      <c r="A5487" s="3">
        <v>42011</v>
      </c>
      <c r="B5487" s="3">
        <v>42011</v>
      </c>
      <c r="C5487">
        <v>183.04</v>
      </c>
      <c r="D5487">
        <v>1.1839</v>
      </c>
      <c r="E5487">
        <v>51.15</v>
      </c>
      <c r="F5487">
        <v>275.85000000000002</v>
      </c>
      <c r="K5487" s="3"/>
      <c r="O5487" s="3"/>
    </row>
    <row r="5488" spans="1:15">
      <c r="A5488" s="3">
        <v>42012</v>
      </c>
      <c r="B5488" s="3">
        <v>42012</v>
      </c>
      <c r="C5488">
        <v>183.24</v>
      </c>
      <c r="D5488">
        <v>1.1793</v>
      </c>
      <c r="E5488">
        <v>50.96</v>
      </c>
      <c r="F5488">
        <v>276.95</v>
      </c>
      <c r="K5488" s="3"/>
      <c r="O5488" s="3"/>
    </row>
    <row r="5489" spans="1:15">
      <c r="A5489" s="3">
        <v>42013</v>
      </c>
      <c r="B5489" s="3">
        <v>42013</v>
      </c>
      <c r="C5489">
        <v>183.06</v>
      </c>
      <c r="D5489">
        <v>1.1841999999999999</v>
      </c>
      <c r="E5489">
        <v>50.11</v>
      </c>
      <c r="F5489">
        <v>275.45</v>
      </c>
      <c r="K5489" s="3"/>
      <c r="O5489" s="3"/>
    </row>
    <row r="5490" spans="1:15">
      <c r="A5490" s="3">
        <v>42014</v>
      </c>
      <c r="B5490" s="3">
        <v>42014</v>
      </c>
      <c r="C5490">
        <v>183.06</v>
      </c>
      <c r="D5490">
        <v>1.1841999999999999</v>
      </c>
      <c r="E5490">
        <v>50.11</v>
      </c>
      <c r="F5490">
        <v>275.45</v>
      </c>
      <c r="K5490" s="3"/>
      <c r="O5490" s="3"/>
    </row>
    <row r="5491" spans="1:15">
      <c r="A5491" s="3">
        <v>42015</v>
      </c>
      <c r="B5491" s="3">
        <v>42015</v>
      </c>
      <c r="C5491">
        <v>183.06</v>
      </c>
      <c r="D5491">
        <v>1.1841999999999999</v>
      </c>
      <c r="E5491">
        <v>50.11</v>
      </c>
      <c r="F5491">
        <v>275.45</v>
      </c>
      <c r="K5491" s="3"/>
      <c r="O5491" s="3"/>
    </row>
    <row r="5492" spans="1:15">
      <c r="A5492" s="3">
        <v>42016</v>
      </c>
      <c r="B5492" s="3">
        <v>42016</v>
      </c>
      <c r="C5492">
        <v>183.57</v>
      </c>
      <c r="D5492">
        <v>1.1834</v>
      </c>
      <c r="E5492">
        <v>47.43</v>
      </c>
      <c r="F5492">
        <v>272.55</v>
      </c>
      <c r="K5492" s="3"/>
      <c r="O5492" s="3"/>
    </row>
    <row r="5493" spans="1:15">
      <c r="A5493" s="3">
        <v>42017</v>
      </c>
      <c r="B5493" s="3">
        <v>42017</v>
      </c>
      <c r="C5493">
        <v>183.74</v>
      </c>
      <c r="D5493">
        <v>1.1773</v>
      </c>
      <c r="E5493">
        <v>46.59</v>
      </c>
      <c r="F5493">
        <v>264.39999999999998</v>
      </c>
      <c r="K5493" s="3"/>
      <c r="O5493" s="3"/>
    </row>
    <row r="5494" spans="1:15">
      <c r="A5494" s="3">
        <v>42018</v>
      </c>
      <c r="B5494" s="3">
        <v>42018</v>
      </c>
      <c r="C5494">
        <v>183.75</v>
      </c>
      <c r="D5494">
        <v>1.1789000000000001</v>
      </c>
      <c r="E5494">
        <v>48.69</v>
      </c>
      <c r="F5494">
        <v>250.55</v>
      </c>
      <c r="K5494" s="3"/>
      <c r="O5494" s="3"/>
    </row>
    <row r="5495" spans="1:15">
      <c r="A5495" s="3">
        <v>42019</v>
      </c>
      <c r="B5495" s="3">
        <v>42019</v>
      </c>
      <c r="C5495">
        <v>183.87</v>
      </c>
      <c r="D5495">
        <v>1.1633</v>
      </c>
      <c r="E5495">
        <v>47.67</v>
      </c>
      <c r="F5495">
        <v>255.8</v>
      </c>
      <c r="K5495" s="3"/>
      <c r="O5495" s="3"/>
    </row>
    <row r="5496" spans="1:15">
      <c r="A5496" s="3">
        <v>42020</v>
      </c>
      <c r="B5496" s="3">
        <v>42020</v>
      </c>
      <c r="C5496">
        <v>184.12</v>
      </c>
      <c r="D5496">
        <v>1.1567000000000001</v>
      </c>
      <c r="E5496">
        <v>50.17</v>
      </c>
      <c r="F5496">
        <v>261.7</v>
      </c>
      <c r="K5496" s="3"/>
      <c r="O5496" s="3"/>
    </row>
    <row r="5497" spans="1:15">
      <c r="A5497" s="3">
        <v>42021</v>
      </c>
      <c r="B5497" s="3">
        <v>42021</v>
      </c>
      <c r="C5497">
        <v>184.12</v>
      </c>
      <c r="D5497">
        <v>1.1567000000000001</v>
      </c>
      <c r="E5497">
        <v>50.17</v>
      </c>
      <c r="F5497">
        <v>261.7</v>
      </c>
      <c r="K5497" s="3"/>
      <c r="O5497" s="3"/>
    </row>
    <row r="5498" spans="1:15">
      <c r="A5498" s="3">
        <v>42022</v>
      </c>
      <c r="B5498" s="3">
        <v>42022</v>
      </c>
      <c r="C5498">
        <v>184.12</v>
      </c>
      <c r="D5498">
        <v>1.1567000000000001</v>
      </c>
      <c r="E5498">
        <v>50.17</v>
      </c>
      <c r="F5498">
        <v>261.7</v>
      </c>
      <c r="K5498" s="3"/>
      <c r="O5498" s="3"/>
    </row>
    <row r="5499" spans="1:15">
      <c r="A5499" s="3">
        <v>42023</v>
      </c>
      <c r="B5499" s="3">
        <v>42023</v>
      </c>
      <c r="C5499">
        <v>183.82</v>
      </c>
      <c r="D5499">
        <v>1.1606000000000001</v>
      </c>
      <c r="E5499">
        <v>48.84</v>
      </c>
      <c r="F5499">
        <v>261.7</v>
      </c>
      <c r="K5499" s="3"/>
      <c r="O5499" s="3"/>
    </row>
    <row r="5500" spans="1:15">
      <c r="A5500" s="3">
        <v>42024</v>
      </c>
      <c r="B5500" s="3">
        <v>42024</v>
      </c>
      <c r="C5500">
        <v>183.84</v>
      </c>
      <c r="D5500">
        <v>1.155</v>
      </c>
      <c r="E5500">
        <v>47.99</v>
      </c>
      <c r="F5500">
        <v>259.39999999999998</v>
      </c>
      <c r="K5500" s="3"/>
      <c r="O5500" s="3"/>
    </row>
    <row r="5501" spans="1:15">
      <c r="A5501" s="3">
        <v>42025</v>
      </c>
      <c r="B5501" s="3">
        <v>42025</v>
      </c>
      <c r="C5501">
        <v>184.22</v>
      </c>
      <c r="D5501">
        <v>1.161</v>
      </c>
      <c r="E5501">
        <v>49.03</v>
      </c>
      <c r="F5501">
        <v>261.25</v>
      </c>
      <c r="K5501" s="3"/>
      <c r="O5501" s="3"/>
    </row>
    <row r="5502" spans="1:15">
      <c r="A5502" s="3">
        <v>42026</v>
      </c>
      <c r="B5502" s="3">
        <v>42026</v>
      </c>
      <c r="C5502">
        <v>184.21</v>
      </c>
      <c r="D5502">
        <v>1.1366000000000001</v>
      </c>
      <c r="E5502">
        <v>48.52</v>
      </c>
      <c r="F5502">
        <v>257.85000000000002</v>
      </c>
      <c r="K5502" s="3"/>
      <c r="O5502" s="3"/>
    </row>
    <row r="5503" spans="1:15">
      <c r="A5503" s="3">
        <v>42027</v>
      </c>
      <c r="B5503" s="3">
        <v>42027</v>
      </c>
      <c r="C5503">
        <v>184.16</v>
      </c>
      <c r="D5503">
        <v>1.1204000000000001</v>
      </c>
      <c r="E5503">
        <v>48.79</v>
      </c>
      <c r="F5503">
        <v>250.15</v>
      </c>
      <c r="K5503" s="3"/>
      <c r="O5503" s="3"/>
    </row>
    <row r="5504" spans="1:15">
      <c r="A5504" s="3">
        <v>42028</v>
      </c>
      <c r="B5504" s="3">
        <v>42028</v>
      </c>
      <c r="C5504">
        <v>184.16</v>
      </c>
      <c r="D5504">
        <v>1.1204000000000001</v>
      </c>
      <c r="E5504">
        <v>48.79</v>
      </c>
      <c r="F5504">
        <v>250.15</v>
      </c>
      <c r="K5504" s="3"/>
      <c r="O5504" s="3"/>
    </row>
    <row r="5505" spans="1:15">
      <c r="A5505" s="3">
        <v>42029</v>
      </c>
      <c r="B5505" s="3">
        <v>42029</v>
      </c>
      <c r="C5505">
        <v>184.16</v>
      </c>
      <c r="D5505">
        <v>1.1204000000000001</v>
      </c>
      <c r="E5505">
        <v>48.79</v>
      </c>
      <c r="F5505">
        <v>250.15</v>
      </c>
      <c r="K5505" s="3"/>
      <c r="O5505" s="3"/>
    </row>
    <row r="5506" spans="1:15">
      <c r="A5506" s="3">
        <v>42030</v>
      </c>
      <c r="B5506" s="3">
        <v>42030</v>
      </c>
      <c r="C5506">
        <v>184.42</v>
      </c>
      <c r="D5506">
        <v>1.1237999999999999</v>
      </c>
      <c r="E5506">
        <v>48.16</v>
      </c>
      <c r="F5506">
        <v>254.3</v>
      </c>
      <c r="K5506" s="3"/>
      <c r="O5506" s="3"/>
    </row>
    <row r="5507" spans="1:15">
      <c r="A5507" s="3">
        <v>42031</v>
      </c>
      <c r="B5507" s="3">
        <v>42031</v>
      </c>
      <c r="C5507">
        <v>184.67</v>
      </c>
      <c r="D5507">
        <v>1.1380999999999999</v>
      </c>
      <c r="E5507">
        <v>49.6</v>
      </c>
      <c r="F5507">
        <v>246.25</v>
      </c>
      <c r="K5507" s="3"/>
      <c r="O5507" s="3"/>
    </row>
    <row r="5508" spans="1:15">
      <c r="A5508" s="3">
        <v>42032</v>
      </c>
      <c r="B5508" s="3">
        <v>42032</v>
      </c>
      <c r="C5508">
        <v>184.47</v>
      </c>
      <c r="D5508">
        <v>1.1287</v>
      </c>
      <c r="E5508">
        <v>48.47</v>
      </c>
      <c r="F5508">
        <v>247.95</v>
      </c>
      <c r="K5508" s="3"/>
      <c r="O5508" s="3"/>
    </row>
    <row r="5509" spans="1:15">
      <c r="A5509" s="3">
        <v>42033</v>
      </c>
      <c r="B5509" s="3">
        <v>42033</v>
      </c>
      <c r="C5509">
        <v>184.42</v>
      </c>
      <c r="D5509">
        <v>1.1319999999999999</v>
      </c>
      <c r="E5509">
        <v>49.13</v>
      </c>
      <c r="F5509">
        <v>245.15</v>
      </c>
      <c r="K5509" s="3"/>
      <c r="O5509" s="3"/>
    </row>
    <row r="5510" spans="1:15">
      <c r="A5510" s="3">
        <v>42034</v>
      </c>
      <c r="B5510" s="3">
        <v>42034</v>
      </c>
      <c r="C5510">
        <v>184.79</v>
      </c>
      <c r="D5510">
        <v>1.1291</v>
      </c>
      <c r="E5510">
        <v>52.99</v>
      </c>
      <c r="F5510">
        <v>249.45</v>
      </c>
      <c r="K5510" s="3"/>
      <c r="O5510" s="3"/>
    </row>
    <row r="5511" spans="1:15">
      <c r="A5511" s="3">
        <v>42035</v>
      </c>
      <c r="B5511" s="3">
        <v>42035</v>
      </c>
      <c r="C5511">
        <v>184.79</v>
      </c>
      <c r="D5511">
        <v>1.1291</v>
      </c>
      <c r="E5511">
        <v>52.99</v>
      </c>
      <c r="F5511">
        <v>249.45</v>
      </c>
      <c r="K5511" s="3"/>
      <c r="O5511" s="3"/>
    </row>
    <row r="5512" spans="1:15">
      <c r="A5512" s="3">
        <v>42036</v>
      </c>
      <c r="B5512" s="3">
        <v>42036</v>
      </c>
      <c r="C5512">
        <v>184.79</v>
      </c>
      <c r="D5512">
        <v>1.1291</v>
      </c>
      <c r="E5512">
        <v>52.99</v>
      </c>
      <c r="F5512">
        <v>249.45</v>
      </c>
      <c r="K5512" s="3"/>
      <c r="O5512" s="3"/>
    </row>
    <row r="5513" spans="1:15">
      <c r="A5513" s="3">
        <v>42037</v>
      </c>
      <c r="B5513" s="3">
        <v>42037</v>
      </c>
      <c r="C5513">
        <v>184.46</v>
      </c>
      <c r="D5513">
        <v>1.1341000000000001</v>
      </c>
      <c r="E5513">
        <v>54.75</v>
      </c>
      <c r="F5513">
        <v>249</v>
      </c>
      <c r="K5513" s="3"/>
      <c r="O5513" s="3"/>
    </row>
    <row r="5514" spans="1:15">
      <c r="A5514" s="3">
        <v>42038</v>
      </c>
      <c r="B5514" s="3">
        <v>42038</v>
      </c>
      <c r="C5514">
        <v>184.6</v>
      </c>
      <c r="D5514">
        <v>1.1480999999999999</v>
      </c>
      <c r="E5514">
        <v>57.91</v>
      </c>
      <c r="F5514">
        <v>258.14999999999998</v>
      </c>
      <c r="K5514" s="3"/>
      <c r="O5514" s="3"/>
    </row>
    <row r="5515" spans="1:15">
      <c r="A5515" s="3">
        <v>42039</v>
      </c>
      <c r="B5515" s="3">
        <v>42039</v>
      </c>
      <c r="C5515">
        <v>184.94</v>
      </c>
      <c r="D5515">
        <v>1.1345000000000001</v>
      </c>
      <c r="E5515">
        <v>54.16</v>
      </c>
      <c r="F5515">
        <v>259.10000000000002</v>
      </c>
      <c r="K5515" s="3"/>
      <c r="O5515" s="3"/>
    </row>
    <row r="5516" spans="1:15">
      <c r="A5516" s="3">
        <v>42040</v>
      </c>
      <c r="B5516" s="3">
        <v>42040</v>
      </c>
      <c r="C5516">
        <v>184.75</v>
      </c>
      <c r="D5516">
        <v>1.1476999999999999</v>
      </c>
      <c r="E5516">
        <v>56.57</v>
      </c>
      <c r="F5516">
        <v>259.5</v>
      </c>
      <c r="K5516" s="3"/>
      <c r="O5516" s="3"/>
    </row>
    <row r="5517" spans="1:15">
      <c r="A5517" s="3">
        <v>42041</v>
      </c>
      <c r="B5517" s="3">
        <v>42041</v>
      </c>
      <c r="C5517">
        <v>185.1</v>
      </c>
      <c r="D5517">
        <v>1.1315999999999999</v>
      </c>
      <c r="E5517">
        <v>57.8</v>
      </c>
      <c r="F5517">
        <v>258.55</v>
      </c>
      <c r="K5517" s="3"/>
      <c r="O5517" s="3"/>
    </row>
    <row r="5518" spans="1:15">
      <c r="A5518" s="3">
        <v>42042</v>
      </c>
      <c r="B5518" s="3">
        <v>42042</v>
      </c>
      <c r="C5518">
        <v>185.1</v>
      </c>
      <c r="D5518">
        <v>1.1315999999999999</v>
      </c>
      <c r="E5518">
        <v>57.8</v>
      </c>
      <c r="F5518">
        <v>258.55</v>
      </c>
      <c r="K5518" s="3"/>
      <c r="O5518" s="3"/>
    </row>
    <row r="5519" spans="1:15">
      <c r="A5519" s="3">
        <v>42043</v>
      </c>
      <c r="B5519" s="3">
        <v>42043</v>
      </c>
      <c r="C5519">
        <v>185.1</v>
      </c>
      <c r="D5519">
        <v>1.1315999999999999</v>
      </c>
      <c r="E5519">
        <v>57.8</v>
      </c>
      <c r="F5519">
        <v>258.55</v>
      </c>
      <c r="K5519" s="3"/>
      <c r="O5519" s="3"/>
    </row>
    <row r="5520" spans="1:15">
      <c r="A5520" s="3">
        <v>42044</v>
      </c>
      <c r="B5520" s="3">
        <v>42044</v>
      </c>
      <c r="C5520">
        <v>185.18</v>
      </c>
      <c r="D5520">
        <v>1.1325000000000001</v>
      </c>
      <c r="E5520">
        <v>58.34</v>
      </c>
      <c r="F5520">
        <v>258.05</v>
      </c>
      <c r="K5520" s="3"/>
      <c r="O5520" s="3"/>
    </row>
    <row r="5521" spans="1:15">
      <c r="A5521" s="3">
        <v>42045</v>
      </c>
      <c r="B5521" s="3">
        <v>42045</v>
      </c>
      <c r="C5521">
        <v>185.74</v>
      </c>
      <c r="D5521">
        <v>1.1321000000000001</v>
      </c>
      <c r="E5521">
        <v>56.43</v>
      </c>
      <c r="F5521">
        <v>255.15</v>
      </c>
      <c r="K5521" s="3"/>
      <c r="O5521" s="3"/>
    </row>
    <row r="5522" spans="1:15">
      <c r="A5522" s="3">
        <v>42046</v>
      </c>
      <c r="B5522" s="3">
        <v>42046</v>
      </c>
      <c r="C5522">
        <v>185.18</v>
      </c>
      <c r="D5522">
        <v>1.1335999999999999</v>
      </c>
      <c r="E5522">
        <v>54.66</v>
      </c>
      <c r="F5522">
        <v>254.1</v>
      </c>
      <c r="K5522" s="3"/>
      <c r="O5522" s="3"/>
    </row>
    <row r="5523" spans="1:15">
      <c r="A5523" s="3">
        <v>42047</v>
      </c>
      <c r="B5523" s="3">
        <v>42047</v>
      </c>
      <c r="C5523">
        <v>185.06</v>
      </c>
      <c r="D5523">
        <v>1.1403000000000001</v>
      </c>
      <c r="E5523">
        <v>57.05</v>
      </c>
      <c r="F5523">
        <v>260.2</v>
      </c>
      <c r="K5523" s="3"/>
      <c r="O5523" s="3"/>
    </row>
    <row r="5524" spans="1:15">
      <c r="A5524" s="3">
        <v>42048</v>
      </c>
      <c r="B5524" s="3">
        <v>42048</v>
      </c>
      <c r="C5524">
        <v>185.06</v>
      </c>
      <c r="D5524">
        <v>1.1394</v>
      </c>
      <c r="E5524">
        <v>61.52</v>
      </c>
      <c r="F5524">
        <v>260.5</v>
      </c>
      <c r="K5524" s="3"/>
      <c r="O5524" s="3"/>
    </row>
    <row r="5525" spans="1:15">
      <c r="A5525" s="3">
        <v>42049</v>
      </c>
      <c r="B5525" s="3">
        <v>42049</v>
      </c>
      <c r="C5525">
        <v>185.06</v>
      </c>
      <c r="D5525">
        <v>1.1394</v>
      </c>
      <c r="E5525">
        <v>61.52</v>
      </c>
      <c r="F5525">
        <v>260.5</v>
      </c>
      <c r="K5525" s="3"/>
      <c r="O5525" s="3"/>
    </row>
    <row r="5526" spans="1:15">
      <c r="A5526" s="3">
        <v>42050</v>
      </c>
      <c r="B5526" s="3">
        <v>42050</v>
      </c>
      <c r="C5526">
        <v>185.06</v>
      </c>
      <c r="D5526">
        <v>1.1394</v>
      </c>
      <c r="E5526">
        <v>61.52</v>
      </c>
      <c r="F5526">
        <v>260.5</v>
      </c>
      <c r="K5526" s="3"/>
      <c r="O5526" s="3"/>
    </row>
    <row r="5527" spans="1:15">
      <c r="A5527" s="3">
        <v>42051</v>
      </c>
      <c r="B5527" s="3">
        <v>42051</v>
      </c>
      <c r="C5527">
        <v>185.1</v>
      </c>
      <c r="D5527">
        <v>1.1355</v>
      </c>
      <c r="E5527">
        <v>61.4</v>
      </c>
      <c r="F5527">
        <v>260.5</v>
      </c>
      <c r="K5527" s="3"/>
      <c r="O5527" s="3"/>
    </row>
    <row r="5528" spans="1:15">
      <c r="A5528" s="3">
        <v>42052</v>
      </c>
      <c r="B5528" s="3">
        <v>42052</v>
      </c>
      <c r="C5528">
        <v>185.21</v>
      </c>
      <c r="D5528">
        <v>1.1411</v>
      </c>
      <c r="E5528">
        <v>62.53</v>
      </c>
      <c r="F5528">
        <v>258.14999999999998</v>
      </c>
      <c r="K5528" s="3"/>
      <c r="O5528" s="3"/>
    </row>
    <row r="5529" spans="1:15">
      <c r="A5529" s="3">
        <v>42053</v>
      </c>
      <c r="B5529" s="3">
        <v>42053</v>
      </c>
      <c r="C5529">
        <v>185.06</v>
      </c>
      <c r="D5529">
        <v>1.1396999999999999</v>
      </c>
      <c r="E5529">
        <v>60.53</v>
      </c>
      <c r="F5529">
        <v>261.45</v>
      </c>
      <c r="K5529" s="3"/>
      <c r="O5529" s="3"/>
    </row>
    <row r="5530" spans="1:15">
      <c r="A5530" s="3">
        <v>42054</v>
      </c>
      <c r="B5530" s="3">
        <v>42054</v>
      </c>
      <c r="C5530">
        <v>184.93</v>
      </c>
      <c r="D5530">
        <v>1.1368</v>
      </c>
      <c r="E5530">
        <v>60.21</v>
      </c>
      <c r="F5530">
        <v>262</v>
      </c>
      <c r="K5530" s="3"/>
      <c r="O5530" s="3"/>
    </row>
    <row r="5531" spans="1:15">
      <c r="A5531" s="3">
        <v>42055</v>
      </c>
      <c r="B5531" s="3">
        <v>42055</v>
      </c>
      <c r="C5531">
        <v>185.28</v>
      </c>
      <c r="D5531">
        <v>1.1380999999999999</v>
      </c>
      <c r="E5531">
        <v>60.22</v>
      </c>
      <c r="F5531">
        <v>259.45</v>
      </c>
      <c r="K5531" s="3"/>
      <c r="O5531" s="3"/>
    </row>
    <row r="5532" spans="1:15">
      <c r="A5532" s="3">
        <v>42056</v>
      </c>
      <c r="B5532" s="3">
        <v>42056</v>
      </c>
      <c r="C5532">
        <v>185.28</v>
      </c>
      <c r="D5532">
        <v>1.1380999999999999</v>
      </c>
      <c r="E5532">
        <v>60.22</v>
      </c>
      <c r="F5532">
        <v>259.45</v>
      </c>
      <c r="K5532" s="3"/>
      <c r="O5532" s="3"/>
    </row>
    <row r="5533" spans="1:15">
      <c r="A5533" s="3">
        <v>42057</v>
      </c>
      <c r="B5533" s="3">
        <v>42057</v>
      </c>
      <c r="C5533">
        <v>185.28</v>
      </c>
      <c r="D5533">
        <v>1.1380999999999999</v>
      </c>
      <c r="E5533">
        <v>60.22</v>
      </c>
      <c r="F5533">
        <v>259.45</v>
      </c>
      <c r="K5533" s="3"/>
      <c r="O5533" s="3"/>
    </row>
    <row r="5534" spans="1:15">
      <c r="A5534" s="3">
        <v>42058</v>
      </c>
      <c r="B5534" s="3">
        <v>42058</v>
      </c>
      <c r="C5534">
        <v>185.05</v>
      </c>
      <c r="D5534">
        <v>1.1335</v>
      </c>
      <c r="E5534">
        <v>58.9</v>
      </c>
      <c r="F5534">
        <v>259.25</v>
      </c>
      <c r="K5534" s="3"/>
      <c r="O5534" s="3"/>
    </row>
    <row r="5535" spans="1:15">
      <c r="A5535" s="3">
        <v>42059</v>
      </c>
      <c r="B5535" s="3">
        <v>42059</v>
      </c>
      <c r="C5535">
        <v>184.9</v>
      </c>
      <c r="D5535">
        <v>1.1339999999999999</v>
      </c>
      <c r="E5535">
        <v>58.66</v>
      </c>
      <c r="F5535">
        <v>264.8</v>
      </c>
      <c r="K5535" s="3"/>
      <c r="O5535" s="3"/>
    </row>
    <row r="5536" spans="1:15">
      <c r="A5536" s="3">
        <v>42060</v>
      </c>
      <c r="B5536" s="3">
        <v>42060</v>
      </c>
      <c r="C5536">
        <v>185.07</v>
      </c>
      <c r="D5536">
        <v>1.1361000000000001</v>
      </c>
      <c r="E5536">
        <v>61.63</v>
      </c>
      <c r="F5536">
        <v>266.35000000000002</v>
      </c>
      <c r="K5536" s="3"/>
      <c r="O5536" s="3"/>
    </row>
    <row r="5537" spans="1:15">
      <c r="A5537" s="3">
        <v>42061</v>
      </c>
      <c r="B5537" s="3">
        <v>42061</v>
      </c>
      <c r="C5537">
        <v>185.07</v>
      </c>
      <c r="D5537">
        <v>1.1197999999999999</v>
      </c>
      <c r="E5537">
        <v>60.05</v>
      </c>
      <c r="F5537">
        <v>271.39999999999998</v>
      </c>
      <c r="K5537" s="3"/>
      <c r="O5537" s="3"/>
    </row>
    <row r="5538" spans="1:15">
      <c r="A5538" s="3">
        <v>42062</v>
      </c>
      <c r="B5538" s="3">
        <v>42062</v>
      </c>
      <c r="C5538">
        <v>185.07</v>
      </c>
      <c r="D5538">
        <v>1.1195999999999999</v>
      </c>
      <c r="E5538">
        <v>62.58</v>
      </c>
      <c r="F5538">
        <v>271.60000000000002</v>
      </c>
      <c r="K5538" s="3"/>
      <c r="O5538" s="3"/>
    </row>
    <row r="5539" spans="1:15">
      <c r="A5539" s="3">
        <v>42063</v>
      </c>
      <c r="B5539" s="3">
        <v>42063</v>
      </c>
      <c r="C5539">
        <v>185.07</v>
      </c>
      <c r="D5539">
        <v>1.1195999999999999</v>
      </c>
      <c r="E5539">
        <v>62.58</v>
      </c>
      <c r="F5539">
        <v>271.60000000000002</v>
      </c>
      <c r="K5539" s="3"/>
      <c r="O5539" s="3"/>
    </row>
    <row r="5540" spans="1:15">
      <c r="A5540" s="3">
        <v>42064</v>
      </c>
      <c r="B5540" s="3">
        <v>42064</v>
      </c>
      <c r="C5540">
        <v>185.07</v>
      </c>
      <c r="D5540">
        <v>1.1195999999999999</v>
      </c>
      <c r="E5540">
        <v>62.58</v>
      </c>
      <c r="F5540">
        <v>271.60000000000002</v>
      </c>
      <c r="K5540" s="3"/>
      <c r="O5540" s="3"/>
    </row>
    <row r="5541" spans="1:15">
      <c r="A5541" s="3">
        <v>42065</v>
      </c>
      <c r="B5541" s="3">
        <v>42065</v>
      </c>
      <c r="C5541">
        <v>185.06</v>
      </c>
      <c r="D5541">
        <v>1.1184000000000001</v>
      </c>
      <c r="E5541">
        <v>59.54</v>
      </c>
      <c r="F5541">
        <v>271.10000000000002</v>
      </c>
      <c r="K5541" s="3"/>
      <c r="O5541" s="3"/>
    </row>
    <row r="5542" spans="1:15">
      <c r="A5542" s="3">
        <v>42066</v>
      </c>
      <c r="B5542" s="3">
        <v>42066</v>
      </c>
      <c r="C5542">
        <v>185.05</v>
      </c>
      <c r="D5542">
        <v>1.1175999999999999</v>
      </c>
      <c r="E5542">
        <v>61.02</v>
      </c>
      <c r="F5542">
        <v>267.35000000000002</v>
      </c>
      <c r="K5542" s="3"/>
      <c r="O5542" s="3"/>
    </row>
    <row r="5543" spans="1:15">
      <c r="A5543" s="3">
        <v>42067</v>
      </c>
      <c r="B5543" s="3">
        <v>42067</v>
      </c>
      <c r="C5543">
        <v>185.05</v>
      </c>
      <c r="D5543">
        <v>1.1077999999999999</v>
      </c>
      <c r="E5543">
        <v>60.55</v>
      </c>
      <c r="F5543">
        <v>267.7</v>
      </c>
      <c r="K5543" s="3"/>
      <c r="O5543" s="3"/>
    </row>
    <row r="5544" spans="1:15">
      <c r="A5544" s="3">
        <v>42068</v>
      </c>
      <c r="B5544" s="3">
        <v>42068</v>
      </c>
      <c r="C5544">
        <v>185.38</v>
      </c>
      <c r="D5544">
        <v>1.103</v>
      </c>
      <c r="E5544">
        <v>60.48</v>
      </c>
      <c r="F5544">
        <v>267.2</v>
      </c>
      <c r="K5544" s="3"/>
      <c r="O5544" s="3"/>
    </row>
    <row r="5545" spans="1:15">
      <c r="A5545" s="3">
        <v>42069</v>
      </c>
      <c r="B5545" s="3">
        <v>42069</v>
      </c>
      <c r="C5545">
        <v>185.37</v>
      </c>
      <c r="D5545">
        <v>1.0844</v>
      </c>
      <c r="E5545">
        <v>59.73</v>
      </c>
      <c r="F5545">
        <v>262.89999999999998</v>
      </c>
      <c r="K5545" s="3"/>
      <c r="O5545" s="3"/>
    </row>
    <row r="5546" spans="1:15">
      <c r="A5546" s="3">
        <v>42070</v>
      </c>
      <c r="B5546" s="3">
        <v>42070</v>
      </c>
      <c r="C5546">
        <v>185.37</v>
      </c>
      <c r="D5546">
        <v>1.0844</v>
      </c>
      <c r="E5546">
        <v>59.73</v>
      </c>
      <c r="F5546">
        <v>262.89999999999998</v>
      </c>
      <c r="K5546" s="3"/>
      <c r="O5546" s="3"/>
    </row>
    <row r="5547" spans="1:15">
      <c r="A5547" s="3">
        <v>42071</v>
      </c>
      <c r="B5547" s="3">
        <v>42071</v>
      </c>
      <c r="C5547">
        <v>185.37</v>
      </c>
      <c r="D5547">
        <v>1.0844</v>
      </c>
      <c r="E5547">
        <v>59.73</v>
      </c>
      <c r="F5547">
        <v>262.89999999999998</v>
      </c>
      <c r="K5547" s="3"/>
      <c r="O5547" s="3"/>
    </row>
    <row r="5548" spans="1:15">
      <c r="A5548" s="3">
        <v>42072</v>
      </c>
      <c r="B5548" s="3">
        <v>42072</v>
      </c>
      <c r="C5548">
        <v>185.62</v>
      </c>
      <c r="D5548">
        <v>1.0851999999999999</v>
      </c>
      <c r="E5548">
        <v>58.53</v>
      </c>
      <c r="F5548">
        <v>268.7</v>
      </c>
      <c r="K5548" s="3"/>
      <c r="O5548" s="3"/>
    </row>
    <row r="5549" spans="1:15">
      <c r="A5549" s="3">
        <v>42073</v>
      </c>
      <c r="B5549" s="3">
        <v>42073</v>
      </c>
      <c r="C5549">
        <v>185.27</v>
      </c>
      <c r="D5549">
        <v>1.0698000000000001</v>
      </c>
      <c r="E5549">
        <v>56.39</v>
      </c>
      <c r="F5549">
        <v>263.5</v>
      </c>
      <c r="K5549" s="3"/>
      <c r="O5549" s="3"/>
    </row>
    <row r="5550" spans="1:15">
      <c r="A5550" s="3">
        <v>42074</v>
      </c>
      <c r="B5550" s="3">
        <v>42074</v>
      </c>
      <c r="C5550">
        <v>185.46</v>
      </c>
      <c r="D5550">
        <v>1.0547</v>
      </c>
      <c r="E5550">
        <v>57.54</v>
      </c>
      <c r="F5550">
        <v>262.25</v>
      </c>
      <c r="K5550" s="3"/>
      <c r="O5550" s="3"/>
    </row>
    <row r="5551" spans="1:15">
      <c r="A5551" s="3">
        <v>42075</v>
      </c>
      <c r="B5551" s="3">
        <v>42075</v>
      </c>
      <c r="C5551">
        <v>185.43</v>
      </c>
      <c r="D5551">
        <v>1.0634999999999999</v>
      </c>
      <c r="E5551">
        <v>57.08</v>
      </c>
      <c r="F5551">
        <v>267.45</v>
      </c>
      <c r="K5551" s="3"/>
      <c r="O5551" s="3"/>
    </row>
    <row r="5552" spans="1:15">
      <c r="A5552" s="3">
        <v>42076</v>
      </c>
      <c r="B5552" s="3">
        <v>42076</v>
      </c>
      <c r="C5552">
        <v>185.35</v>
      </c>
      <c r="D5552">
        <v>1.0496000000000001</v>
      </c>
      <c r="E5552">
        <v>54.67</v>
      </c>
      <c r="F5552">
        <v>267.85000000000002</v>
      </c>
      <c r="K5552" s="3"/>
      <c r="O5552" s="3"/>
    </row>
    <row r="5553" spans="1:15">
      <c r="A5553" s="3">
        <v>42077</v>
      </c>
      <c r="B5553" s="3">
        <v>42077</v>
      </c>
      <c r="C5553">
        <v>185.35</v>
      </c>
      <c r="D5553">
        <v>1.0496000000000001</v>
      </c>
      <c r="E5553">
        <v>54.67</v>
      </c>
      <c r="F5553">
        <v>267.85000000000002</v>
      </c>
      <c r="K5553" s="3"/>
      <c r="O5553" s="3"/>
    </row>
    <row r="5554" spans="1:15">
      <c r="A5554" s="3">
        <v>42078</v>
      </c>
      <c r="B5554" s="3">
        <v>42078</v>
      </c>
      <c r="C5554">
        <v>185.35</v>
      </c>
      <c r="D5554">
        <v>1.0496000000000001</v>
      </c>
      <c r="E5554">
        <v>54.67</v>
      </c>
      <c r="F5554">
        <v>267.85000000000002</v>
      </c>
      <c r="K5554" s="3"/>
      <c r="O5554" s="3"/>
    </row>
    <row r="5555" spans="1:15">
      <c r="A5555" s="3">
        <v>42079</v>
      </c>
      <c r="B5555" s="3">
        <v>42079</v>
      </c>
      <c r="C5555">
        <v>185.46</v>
      </c>
      <c r="D5555">
        <v>1.0568</v>
      </c>
      <c r="E5555">
        <v>53.44</v>
      </c>
      <c r="F5555">
        <v>267.75</v>
      </c>
      <c r="K5555" s="3"/>
      <c r="O5555" s="3"/>
    </row>
    <row r="5556" spans="1:15">
      <c r="A5556" s="3">
        <v>42080</v>
      </c>
      <c r="B5556" s="3">
        <v>42080</v>
      </c>
      <c r="C5556">
        <v>185.39</v>
      </c>
      <c r="D5556">
        <v>1.0597000000000001</v>
      </c>
      <c r="E5556">
        <v>53.51</v>
      </c>
      <c r="F5556">
        <v>264.14999999999998</v>
      </c>
      <c r="K5556" s="3"/>
      <c r="O5556" s="3"/>
    </row>
    <row r="5557" spans="1:15">
      <c r="A5557" s="3">
        <v>42081</v>
      </c>
      <c r="B5557" s="3">
        <v>42081</v>
      </c>
      <c r="C5557">
        <v>185.42</v>
      </c>
      <c r="D5557">
        <v>1.0864</v>
      </c>
      <c r="E5557">
        <v>55.91</v>
      </c>
      <c r="F5557">
        <v>258.7</v>
      </c>
      <c r="K5557" s="3"/>
      <c r="O5557" s="3"/>
    </row>
    <row r="5558" spans="1:15">
      <c r="A5558" s="3">
        <v>42082</v>
      </c>
      <c r="B5558" s="3">
        <v>42082</v>
      </c>
      <c r="C5558">
        <v>185.65</v>
      </c>
      <c r="D5558">
        <v>1.0660000000000001</v>
      </c>
      <c r="E5558">
        <v>54.43</v>
      </c>
      <c r="F5558">
        <v>267.45</v>
      </c>
      <c r="K5558" s="3"/>
      <c r="O5558" s="3"/>
    </row>
    <row r="5559" spans="1:15">
      <c r="A5559" s="3">
        <v>42083</v>
      </c>
      <c r="B5559" s="3">
        <v>42083</v>
      </c>
      <c r="C5559">
        <v>185.62</v>
      </c>
      <c r="D5559">
        <v>1.0821000000000001</v>
      </c>
      <c r="E5559">
        <v>55.32</v>
      </c>
      <c r="F5559">
        <v>277.5</v>
      </c>
      <c r="K5559" s="3"/>
      <c r="O5559" s="3"/>
    </row>
    <row r="5560" spans="1:15">
      <c r="A5560" s="3">
        <v>42084</v>
      </c>
      <c r="B5560" s="3">
        <v>42084</v>
      </c>
      <c r="C5560">
        <v>185.62</v>
      </c>
      <c r="D5560">
        <v>1.0821000000000001</v>
      </c>
      <c r="E5560">
        <v>55.32</v>
      </c>
      <c r="F5560">
        <v>277.5</v>
      </c>
      <c r="K5560" s="3"/>
      <c r="O5560" s="3"/>
    </row>
    <row r="5561" spans="1:15">
      <c r="A5561" s="3">
        <v>42085</v>
      </c>
      <c r="B5561" s="3">
        <v>42085</v>
      </c>
      <c r="C5561">
        <v>185.62</v>
      </c>
      <c r="D5561">
        <v>1.0821000000000001</v>
      </c>
      <c r="E5561">
        <v>55.32</v>
      </c>
      <c r="F5561">
        <v>277.5</v>
      </c>
      <c r="K5561" s="3"/>
      <c r="O5561" s="3"/>
    </row>
    <row r="5562" spans="1:15">
      <c r="A5562" s="3">
        <v>42086</v>
      </c>
      <c r="B5562" s="3">
        <v>42086</v>
      </c>
      <c r="C5562">
        <v>186.01</v>
      </c>
      <c r="D5562">
        <v>1.0946</v>
      </c>
      <c r="E5562">
        <v>55.92</v>
      </c>
      <c r="F5562">
        <v>280.8</v>
      </c>
      <c r="K5562" s="3"/>
      <c r="O5562" s="3"/>
    </row>
    <row r="5563" spans="1:15">
      <c r="A5563" s="3">
        <v>42087</v>
      </c>
      <c r="B5563" s="3">
        <v>42087</v>
      </c>
      <c r="C5563">
        <v>186.01</v>
      </c>
      <c r="D5563">
        <v>1.0924</v>
      </c>
      <c r="E5563">
        <v>55.11</v>
      </c>
      <c r="F5563">
        <v>281.5</v>
      </c>
      <c r="K5563" s="3"/>
      <c r="O5563" s="3"/>
    </row>
    <row r="5564" spans="1:15">
      <c r="A5564" s="3">
        <v>42088</v>
      </c>
      <c r="B5564" s="3">
        <v>42088</v>
      </c>
      <c r="C5564">
        <v>186.01</v>
      </c>
      <c r="D5564">
        <v>1.097</v>
      </c>
      <c r="E5564">
        <v>56.48</v>
      </c>
      <c r="F5564">
        <v>280.5</v>
      </c>
      <c r="K5564" s="3"/>
      <c r="O5564" s="3"/>
    </row>
    <row r="5565" spans="1:15">
      <c r="A5565" s="3">
        <v>42089</v>
      </c>
      <c r="B5565" s="3">
        <v>42089</v>
      </c>
      <c r="C5565">
        <v>185.51</v>
      </c>
      <c r="D5565">
        <v>1.0884</v>
      </c>
      <c r="E5565">
        <v>59.19</v>
      </c>
      <c r="F5565">
        <v>282.14999999999998</v>
      </c>
      <c r="K5565" s="3"/>
      <c r="O5565" s="3"/>
    </row>
    <row r="5566" spans="1:15">
      <c r="A5566" s="3">
        <v>42090</v>
      </c>
      <c r="B5566" s="3">
        <v>42090</v>
      </c>
      <c r="C5566">
        <v>185.84</v>
      </c>
      <c r="D5566">
        <v>1.0889</v>
      </c>
      <c r="E5566">
        <v>56.41</v>
      </c>
      <c r="F5566">
        <v>277.5</v>
      </c>
      <c r="K5566" s="3"/>
      <c r="O5566" s="3"/>
    </row>
    <row r="5567" spans="1:15">
      <c r="A5567" s="3">
        <v>42091</v>
      </c>
      <c r="B5567" s="3">
        <v>42091</v>
      </c>
      <c r="C5567">
        <v>185.84</v>
      </c>
      <c r="D5567">
        <v>1.0889</v>
      </c>
      <c r="E5567">
        <v>56.41</v>
      </c>
      <c r="F5567">
        <v>277.5</v>
      </c>
      <c r="K5567" s="3"/>
      <c r="O5567" s="3"/>
    </row>
    <row r="5568" spans="1:15">
      <c r="A5568" s="3">
        <v>42092</v>
      </c>
      <c r="B5568" s="3">
        <v>42092</v>
      </c>
      <c r="C5568">
        <v>185.84</v>
      </c>
      <c r="D5568">
        <v>1.0889</v>
      </c>
      <c r="E5568">
        <v>56.41</v>
      </c>
      <c r="F5568">
        <v>277.5</v>
      </c>
      <c r="K5568" s="3"/>
      <c r="O5568" s="3"/>
    </row>
    <row r="5569" spans="1:15">
      <c r="A5569" s="3">
        <v>42093</v>
      </c>
      <c r="B5569" s="3">
        <v>42093</v>
      </c>
      <c r="C5569">
        <v>185.72</v>
      </c>
      <c r="D5569">
        <v>1.0832999999999999</v>
      </c>
      <c r="E5569">
        <v>56.29</v>
      </c>
      <c r="F5569">
        <v>278.14999999999998</v>
      </c>
      <c r="K5569" s="3"/>
      <c r="O5569" s="3"/>
    </row>
    <row r="5570" spans="1:15">
      <c r="A5570" s="3">
        <v>42094</v>
      </c>
      <c r="B5570" s="3">
        <v>42094</v>
      </c>
      <c r="C5570">
        <v>185.81</v>
      </c>
      <c r="D5570">
        <v>1.0730999999999999</v>
      </c>
      <c r="E5570">
        <v>55.11</v>
      </c>
      <c r="F5570">
        <v>274</v>
      </c>
      <c r="K5570" s="3"/>
      <c r="O5570" s="3"/>
    </row>
    <row r="5571" spans="1:15">
      <c r="A5571" s="3">
        <v>42095</v>
      </c>
      <c r="B5571" s="3">
        <v>42095</v>
      </c>
      <c r="C5571">
        <v>185.79</v>
      </c>
      <c r="D5571">
        <v>1.0763</v>
      </c>
      <c r="E5571">
        <v>57.1</v>
      </c>
      <c r="F5571">
        <v>274.85000000000002</v>
      </c>
      <c r="K5571" s="3"/>
      <c r="O5571" s="3"/>
    </row>
    <row r="5572" spans="1:15">
      <c r="A5572" s="3">
        <v>42096</v>
      </c>
      <c r="B5572" s="3">
        <v>42096</v>
      </c>
      <c r="C5572">
        <v>185.68</v>
      </c>
      <c r="D5572">
        <v>1.0880000000000001</v>
      </c>
      <c r="E5572">
        <v>54.95</v>
      </c>
      <c r="F5572">
        <v>273.39999999999998</v>
      </c>
      <c r="K5572" s="3"/>
      <c r="O5572" s="3"/>
    </row>
    <row r="5573" spans="1:15">
      <c r="A5573" s="3">
        <v>42097</v>
      </c>
      <c r="B5573" s="3">
        <v>42097</v>
      </c>
      <c r="C5573">
        <v>185.7</v>
      </c>
      <c r="D5573">
        <v>1.0969</v>
      </c>
      <c r="E5573">
        <v>54.95</v>
      </c>
      <c r="F5573">
        <v>273.39999999999998</v>
      </c>
      <c r="K5573" s="3"/>
      <c r="O5573" s="3"/>
    </row>
    <row r="5574" spans="1:15">
      <c r="A5574" s="3">
        <v>42098</v>
      </c>
      <c r="B5574" s="3">
        <v>42098</v>
      </c>
      <c r="C5574">
        <v>185.7</v>
      </c>
      <c r="D5574">
        <v>1.0969</v>
      </c>
      <c r="E5574">
        <v>54.95</v>
      </c>
      <c r="F5574">
        <v>273.39999999999998</v>
      </c>
      <c r="K5574" s="3"/>
      <c r="O5574" s="3"/>
    </row>
    <row r="5575" spans="1:15">
      <c r="A5575" s="3">
        <v>42099</v>
      </c>
      <c r="B5575" s="3">
        <v>42099</v>
      </c>
      <c r="C5575">
        <v>185.7</v>
      </c>
      <c r="D5575">
        <v>1.0969</v>
      </c>
      <c r="E5575">
        <v>54.95</v>
      </c>
      <c r="F5575">
        <v>273.39999999999998</v>
      </c>
      <c r="K5575" s="3"/>
      <c r="O5575" s="3"/>
    </row>
    <row r="5576" spans="1:15">
      <c r="A5576" s="3">
        <v>42100</v>
      </c>
      <c r="B5576" s="3">
        <v>42100</v>
      </c>
      <c r="C5576">
        <v>185.69</v>
      </c>
      <c r="D5576">
        <v>1.0922000000000001</v>
      </c>
      <c r="E5576">
        <v>58.12</v>
      </c>
      <c r="F5576">
        <v>271.7</v>
      </c>
      <c r="K5576" s="3"/>
      <c r="O5576" s="3"/>
    </row>
    <row r="5577" spans="1:15">
      <c r="A5577" s="3">
        <v>42101</v>
      </c>
      <c r="B5577" s="3">
        <v>42101</v>
      </c>
      <c r="C5577">
        <v>185.66</v>
      </c>
      <c r="D5577">
        <v>1.0813999999999999</v>
      </c>
      <c r="E5577">
        <v>59.1</v>
      </c>
      <c r="F5577">
        <v>276.3</v>
      </c>
      <c r="K5577" s="3"/>
      <c r="O5577" s="3"/>
    </row>
    <row r="5578" spans="1:15">
      <c r="A5578" s="3">
        <v>42102</v>
      </c>
      <c r="B5578" s="3">
        <v>42102</v>
      </c>
      <c r="C5578">
        <v>185.68</v>
      </c>
      <c r="D5578">
        <v>1.0781000000000001</v>
      </c>
      <c r="E5578">
        <v>55.55</v>
      </c>
      <c r="F5578">
        <v>273.14999999999998</v>
      </c>
      <c r="K5578" s="3"/>
      <c r="O5578" s="3"/>
    </row>
    <row r="5579" spans="1:15">
      <c r="A5579" s="3">
        <v>42103</v>
      </c>
      <c r="B5579" s="3">
        <v>42103</v>
      </c>
      <c r="C5579">
        <v>185.65</v>
      </c>
      <c r="D5579">
        <v>1.0659000000000001</v>
      </c>
      <c r="E5579">
        <v>56.57</v>
      </c>
      <c r="F5579">
        <v>272.89999999999998</v>
      </c>
      <c r="K5579" s="3"/>
      <c r="O5579" s="3"/>
    </row>
    <row r="5580" spans="1:15">
      <c r="A5580" s="3">
        <v>42104</v>
      </c>
      <c r="B5580" s="3">
        <v>42104</v>
      </c>
      <c r="C5580">
        <v>185.81</v>
      </c>
      <c r="D5580">
        <v>1.0604</v>
      </c>
      <c r="E5580">
        <v>57.87</v>
      </c>
      <c r="F5580">
        <v>273.39999999999998</v>
      </c>
      <c r="K5580" s="3"/>
      <c r="O5580" s="3"/>
    </row>
    <row r="5581" spans="1:15">
      <c r="A5581" s="3">
        <v>42105</v>
      </c>
      <c r="B5581" s="3">
        <v>42105</v>
      </c>
      <c r="C5581">
        <v>185.81</v>
      </c>
      <c r="D5581">
        <v>1.0604</v>
      </c>
      <c r="E5581">
        <v>57.87</v>
      </c>
      <c r="F5581">
        <v>273.39999999999998</v>
      </c>
      <c r="K5581" s="3"/>
      <c r="O5581" s="3"/>
    </row>
    <row r="5582" spans="1:15">
      <c r="A5582" s="3">
        <v>42106</v>
      </c>
      <c r="B5582" s="3">
        <v>42106</v>
      </c>
      <c r="C5582">
        <v>185.81</v>
      </c>
      <c r="D5582">
        <v>1.0604</v>
      </c>
      <c r="E5582">
        <v>57.87</v>
      </c>
      <c r="F5582">
        <v>273.39999999999998</v>
      </c>
      <c r="K5582" s="3"/>
      <c r="O5582" s="3"/>
    </row>
    <row r="5583" spans="1:15">
      <c r="A5583" s="3">
        <v>42107</v>
      </c>
      <c r="B5583" s="3">
        <v>42107</v>
      </c>
      <c r="C5583">
        <v>185.71</v>
      </c>
      <c r="D5583">
        <v>1.0567</v>
      </c>
      <c r="E5583">
        <v>57.93</v>
      </c>
      <c r="F5583">
        <v>271.89999999999998</v>
      </c>
      <c r="K5583" s="3"/>
      <c r="O5583" s="3"/>
    </row>
    <row r="5584" spans="1:15">
      <c r="A5584" s="3">
        <v>42108</v>
      </c>
      <c r="B5584" s="3">
        <v>42108</v>
      </c>
      <c r="C5584">
        <v>185.87</v>
      </c>
      <c r="D5584">
        <v>1.0654999999999999</v>
      </c>
      <c r="E5584">
        <v>58.43</v>
      </c>
      <c r="F5584">
        <v>270</v>
      </c>
      <c r="K5584" s="3"/>
      <c r="O5584" s="3"/>
    </row>
    <row r="5585" spans="1:15">
      <c r="A5585" s="3">
        <v>42109</v>
      </c>
      <c r="B5585" s="3">
        <v>42109</v>
      </c>
      <c r="C5585">
        <v>185.88</v>
      </c>
      <c r="D5585">
        <v>1.0684</v>
      </c>
      <c r="E5585">
        <v>60.32</v>
      </c>
      <c r="F5585">
        <v>271.25</v>
      </c>
      <c r="K5585" s="3"/>
      <c r="O5585" s="3"/>
    </row>
    <row r="5586" spans="1:15">
      <c r="A5586" s="3">
        <v>42110</v>
      </c>
      <c r="B5586" s="3">
        <v>42110</v>
      </c>
      <c r="C5586">
        <v>185.91</v>
      </c>
      <c r="D5586">
        <v>1.0761000000000001</v>
      </c>
      <c r="E5586">
        <v>63.98</v>
      </c>
      <c r="F5586">
        <v>277.39999999999998</v>
      </c>
      <c r="K5586" s="3"/>
      <c r="O5586" s="3"/>
    </row>
    <row r="5587" spans="1:15">
      <c r="A5587" s="3">
        <v>42111</v>
      </c>
      <c r="B5587" s="3">
        <v>42111</v>
      </c>
      <c r="C5587">
        <v>185.81</v>
      </c>
      <c r="D5587">
        <v>1.0806</v>
      </c>
      <c r="E5587">
        <v>63.45</v>
      </c>
      <c r="F5587">
        <v>277.39999999999998</v>
      </c>
      <c r="K5587" s="3"/>
      <c r="O5587" s="3"/>
    </row>
    <row r="5588" spans="1:15">
      <c r="A5588" s="3">
        <v>42112</v>
      </c>
      <c r="B5588" s="3">
        <v>42112</v>
      </c>
      <c r="C5588">
        <v>185.81</v>
      </c>
      <c r="D5588">
        <v>1.0806</v>
      </c>
      <c r="E5588">
        <v>63.45</v>
      </c>
      <c r="F5588">
        <v>277.39999999999998</v>
      </c>
      <c r="K5588" s="3"/>
      <c r="O5588" s="3"/>
    </row>
    <row r="5589" spans="1:15">
      <c r="A5589" s="3">
        <v>42113</v>
      </c>
      <c r="B5589" s="3">
        <v>42113</v>
      </c>
      <c r="C5589">
        <v>185.81</v>
      </c>
      <c r="D5589">
        <v>1.0806</v>
      </c>
      <c r="E5589">
        <v>63.45</v>
      </c>
      <c r="F5589">
        <v>277.39999999999998</v>
      </c>
      <c r="K5589" s="3"/>
      <c r="O5589" s="3"/>
    </row>
    <row r="5590" spans="1:15">
      <c r="A5590" s="3">
        <v>42114</v>
      </c>
      <c r="B5590" s="3">
        <v>42114</v>
      </c>
      <c r="C5590">
        <v>185.96</v>
      </c>
      <c r="D5590">
        <v>1.0738000000000001</v>
      </c>
      <c r="E5590">
        <v>63.45</v>
      </c>
      <c r="F5590">
        <v>273.25</v>
      </c>
      <c r="K5590" s="3"/>
      <c r="O5590" s="3"/>
    </row>
    <row r="5591" spans="1:15">
      <c r="A5591" s="3">
        <v>42115</v>
      </c>
      <c r="B5591" s="3">
        <v>42115</v>
      </c>
      <c r="C5591">
        <v>185.82</v>
      </c>
      <c r="D5591">
        <v>1.0736000000000001</v>
      </c>
      <c r="E5591">
        <v>62.08</v>
      </c>
      <c r="F5591">
        <v>270.2</v>
      </c>
      <c r="K5591" s="3"/>
      <c r="O5591" s="3"/>
    </row>
    <row r="5592" spans="1:15">
      <c r="A5592" s="3">
        <v>42116</v>
      </c>
      <c r="B5592" s="3">
        <v>42116</v>
      </c>
      <c r="C5592">
        <v>185.92</v>
      </c>
      <c r="D5592">
        <v>1.0725</v>
      </c>
      <c r="E5592">
        <v>62.73</v>
      </c>
      <c r="F5592">
        <v>266.55</v>
      </c>
      <c r="K5592" s="3"/>
      <c r="O5592" s="3"/>
    </row>
    <row r="5593" spans="1:15">
      <c r="A5593" s="3">
        <v>42117</v>
      </c>
      <c r="B5593" s="3">
        <v>42117</v>
      </c>
      <c r="C5593">
        <v>185.85</v>
      </c>
      <c r="D5593">
        <v>1.0824</v>
      </c>
      <c r="E5593">
        <v>64.849999999999994</v>
      </c>
      <c r="F5593">
        <v>269.39999999999998</v>
      </c>
      <c r="K5593" s="3"/>
      <c r="O5593" s="3"/>
    </row>
    <row r="5594" spans="1:15">
      <c r="A5594" s="3">
        <v>42118</v>
      </c>
      <c r="B5594" s="3">
        <v>42118</v>
      </c>
      <c r="C5594">
        <v>186.07</v>
      </c>
      <c r="D5594">
        <v>1.0872999999999999</v>
      </c>
      <c r="E5594">
        <v>65.28</v>
      </c>
      <c r="F5594">
        <v>274.8</v>
      </c>
      <c r="K5594" s="3"/>
      <c r="O5594" s="3"/>
    </row>
    <row r="5595" spans="1:15">
      <c r="A5595" s="3">
        <v>42119</v>
      </c>
      <c r="B5595" s="3">
        <v>42119</v>
      </c>
      <c r="C5595">
        <v>186.07</v>
      </c>
      <c r="D5595">
        <v>1.0872999999999999</v>
      </c>
      <c r="E5595">
        <v>65.28</v>
      </c>
      <c r="F5595">
        <v>274.8</v>
      </c>
      <c r="K5595" s="3"/>
      <c r="O5595" s="3"/>
    </row>
    <row r="5596" spans="1:15">
      <c r="A5596" s="3">
        <v>42120</v>
      </c>
      <c r="B5596" s="3">
        <v>42120</v>
      </c>
      <c r="C5596">
        <v>186.07</v>
      </c>
      <c r="D5596">
        <v>1.0872999999999999</v>
      </c>
      <c r="E5596">
        <v>65.28</v>
      </c>
      <c r="F5596">
        <v>274.8</v>
      </c>
      <c r="K5596" s="3"/>
      <c r="O5596" s="3"/>
    </row>
    <row r="5597" spans="1:15">
      <c r="A5597" s="3">
        <v>42121</v>
      </c>
      <c r="B5597" s="3">
        <v>42121</v>
      </c>
      <c r="C5597">
        <v>185.82</v>
      </c>
      <c r="D5597">
        <v>1.0891</v>
      </c>
      <c r="E5597">
        <v>64.83</v>
      </c>
      <c r="F5597">
        <v>277</v>
      </c>
      <c r="K5597" s="3"/>
      <c r="O5597" s="3"/>
    </row>
    <row r="5598" spans="1:15">
      <c r="A5598" s="3">
        <v>42122</v>
      </c>
      <c r="B5598" s="3">
        <v>42122</v>
      </c>
      <c r="C5598">
        <v>185.82</v>
      </c>
      <c r="D5598">
        <v>1.0981000000000001</v>
      </c>
      <c r="E5598">
        <v>64.64</v>
      </c>
      <c r="F5598">
        <v>278</v>
      </c>
      <c r="K5598" s="3"/>
      <c r="O5598" s="3"/>
    </row>
    <row r="5599" spans="1:15">
      <c r="A5599" s="3">
        <v>42123</v>
      </c>
      <c r="B5599" s="3">
        <v>42123</v>
      </c>
      <c r="C5599">
        <v>185.9</v>
      </c>
      <c r="D5599">
        <v>1.1128</v>
      </c>
      <c r="E5599">
        <v>65.84</v>
      </c>
      <c r="F5599">
        <v>279.5</v>
      </c>
      <c r="K5599" s="3"/>
      <c r="O5599" s="3"/>
    </row>
    <row r="5600" spans="1:15">
      <c r="A5600" s="3">
        <v>42124</v>
      </c>
      <c r="B5600" s="3">
        <v>42124</v>
      </c>
      <c r="C5600">
        <v>185.87</v>
      </c>
      <c r="D5600">
        <v>1.1224000000000001</v>
      </c>
      <c r="E5600">
        <v>66.78</v>
      </c>
      <c r="F5600">
        <v>288.64999999999998</v>
      </c>
      <c r="K5600" s="3"/>
      <c r="O5600" s="3"/>
    </row>
    <row r="5601" spans="1:15">
      <c r="A5601" s="3">
        <v>42125</v>
      </c>
      <c r="B5601" s="3">
        <v>42125</v>
      </c>
      <c r="C5601">
        <v>186.06</v>
      </c>
      <c r="D5601">
        <v>1.1198999999999999</v>
      </c>
      <c r="E5601">
        <v>66.459999999999994</v>
      </c>
      <c r="F5601">
        <v>293.14999999999998</v>
      </c>
      <c r="K5601" s="3"/>
      <c r="O5601" s="3"/>
    </row>
    <row r="5602" spans="1:15">
      <c r="A5602" s="3">
        <v>42126</v>
      </c>
      <c r="B5602" s="3">
        <v>42126</v>
      </c>
      <c r="C5602">
        <v>186.06</v>
      </c>
      <c r="D5602">
        <v>1.1198999999999999</v>
      </c>
      <c r="E5602">
        <v>66.459999999999994</v>
      </c>
      <c r="F5602">
        <v>293.14999999999998</v>
      </c>
      <c r="K5602" s="3"/>
      <c r="O5602" s="3"/>
    </row>
    <row r="5603" spans="1:15">
      <c r="A5603" s="3">
        <v>42127</v>
      </c>
      <c r="B5603" s="3">
        <v>42127</v>
      </c>
      <c r="C5603">
        <v>186.06</v>
      </c>
      <c r="D5603">
        <v>1.1198999999999999</v>
      </c>
      <c r="E5603">
        <v>66.459999999999994</v>
      </c>
      <c r="F5603">
        <v>293.14999999999998</v>
      </c>
      <c r="K5603" s="3"/>
      <c r="O5603" s="3"/>
    </row>
    <row r="5604" spans="1:15">
      <c r="A5604" s="3">
        <v>42128</v>
      </c>
      <c r="B5604" s="3">
        <v>42128</v>
      </c>
      <c r="C5604">
        <v>185.78</v>
      </c>
      <c r="D5604">
        <v>1.1146</v>
      </c>
      <c r="E5604">
        <v>66.45</v>
      </c>
      <c r="F5604">
        <v>292.39999999999998</v>
      </c>
      <c r="K5604" s="3"/>
      <c r="O5604" s="3"/>
    </row>
    <row r="5605" spans="1:15">
      <c r="A5605" s="3">
        <v>42129</v>
      </c>
      <c r="B5605" s="3">
        <v>42129</v>
      </c>
      <c r="C5605">
        <v>185.79</v>
      </c>
      <c r="D5605">
        <v>1.1185</v>
      </c>
      <c r="E5605">
        <v>67.52</v>
      </c>
      <c r="F5605">
        <v>294</v>
      </c>
      <c r="K5605" s="3"/>
      <c r="O5605" s="3"/>
    </row>
    <row r="5606" spans="1:15">
      <c r="A5606" s="3">
        <v>42130</v>
      </c>
      <c r="B5606" s="3">
        <v>42130</v>
      </c>
      <c r="C5606">
        <v>185.8</v>
      </c>
      <c r="D5606">
        <v>1.1347</v>
      </c>
      <c r="E5606">
        <v>67.77</v>
      </c>
      <c r="F5606">
        <v>293.25</v>
      </c>
      <c r="K5606" s="3"/>
      <c r="O5606" s="3"/>
    </row>
    <row r="5607" spans="1:15">
      <c r="A5607" s="3">
        <v>42131</v>
      </c>
      <c r="B5607" s="3">
        <v>42131</v>
      </c>
      <c r="C5607">
        <v>185.8</v>
      </c>
      <c r="D5607">
        <v>1.1267</v>
      </c>
      <c r="E5607">
        <v>65.540000000000006</v>
      </c>
      <c r="F5607">
        <v>292.60000000000002</v>
      </c>
      <c r="K5607" s="3"/>
      <c r="O5607" s="3"/>
    </row>
    <row r="5608" spans="1:15">
      <c r="A5608" s="3">
        <v>42132</v>
      </c>
      <c r="B5608" s="3">
        <v>42132</v>
      </c>
      <c r="C5608">
        <v>185.95</v>
      </c>
      <c r="D5608">
        <v>1.1198999999999999</v>
      </c>
      <c r="E5608">
        <v>65.39</v>
      </c>
      <c r="F5608">
        <v>293.10000000000002</v>
      </c>
      <c r="K5608" s="3"/>
      <c r="O5608" s="3"/>
    </row>
    <row r="5609" spans="1:15">
      <c r="A5609" s="3">
        <v>42133</v>
      </c>
      <c r="B5609" s="3">
        <v>42133</v>
      </c>
      <c r="C5609">
        <v>185.95</v>
      </c>
      <c r="D5609">
        <v>1.1198999999999999</v>
      </c>
      <c r="E5609">
        <v>65.39</v>
      </c>
      <c r="F5609">
        <v>293.10000000000002</v>
      </c>
      <c r="K5609" s="3"/>
      <c r="O5609" s="3"/>
    </row>
    <row r="5610" spans="1:15">
      <c r="A5610" s="3">
        <v>42134</v>
      </c>
      <c r="B5610" s="3">
        <v>42134</v>
      </c>
      <c r="C5610">
        <v>185.95</v>
      </c>
      <c r="D5610">
        <v>1.1198999999999999</v>
      </c>
      <c r="E5610">
        <v>65.39</v>
      </c>
      <c r="F5610">
        <v>293.10000000000002</v>
      </c>
      <c r="K5610" s="3"/>
      <c r="O5610" s="3"/>
    </row>
    <row r="5611" spans="1:15">
      <c r="A5611" s="3">
        <v>42135</v>
      </c>
      <c r="B5611" s="3">
        <v>42135</v>
      </c>
      <c r="C5611">
        <v>185.95</v>
      </c>
      <c r="D5611">
        <v>1.1154999999999999</v>
      </c>
      <c r="E5611">
        <v>64.91</v>
      </c>
      <c r="F5611">
        <v>291.75</v>
      </c>
      <c r="K5611" s="3"/>
      <c r="O5611" s="3"/>
    </row>
    <row r="5612" spans="1:15">
      <c r="A5612" s="3">
        <v>42136</v>
      </c>
      <c r="B5612" s="3">
        <v>42136</v>
      </c>
      <c r="C5612">
        <v>185.87</v>
      </c>
      <c r="D5612">
        <v>1.1213</v>
      </c>
      <c r="E5612">
        <v>66.86</v>
      </c>
      <c r="F5612">
        <v>295.05</v>
      </c>
      <c r="K5612" s="3"/>
      <c r="O5612" s="3"/>
    </row>
    <row r="5613" spans="1:15">
      <c r="A5613" s="3">
        <v>42137</v>
      </c>
      <c r="B5613" s="3">
        <v>42137</v>
      </c>
      <c r="C5613">
        <v>185.9</v>
      </c>
      <c r="D5613">
        <v>1.1354</v>
      </c>
      <c r="E5613">
        <v>66.81</v>
      </c>
      <c r="F5613">
        <v>295</v>
      </c>
      <c r="K5613" s="3"/>
      <c r="O5613" s="3"/>
    </row>
    <row r="5614" spans="1:15">
      <c r="A5614" s="3">
        <v>42138</v>
      </c>
      <c r="B5614" s="3">
        <v>42138</v>
      </c>
      <c r="C5614">
        <v>186.11</v>
      </c>
      <c r="D5614">
        <v>1.141</v>
      </c>
      <c r="E5614">
        <v>66.59</v>
      </c>
      <c r="F5614">
        <v>294.60000000000002</v>
      </c>
      <c r="K5614" s="3"/>
      <c r="O5614" s="3"/>
    </row>
    <row r="5615" spans="1:15">
      <c r="A5615" s="3">
        <v>42139</v>
      </c>
      <c r="B5615" s="3">
        <v>42139</v>
      </c>
      <c r="C5615">
        <v>186.06</v>
      </c>
      <c r="D5615">
        <v>1.1451</v>
      </c>
      <c r="E5615">
        <v>66.81</v>
      </c>
      <c r="F5615">
        <v>294.89999999999998</v>
      </c>
      <c r="K5615" s="3"/>
      <c r="O5615" s="3"/>
    </row>
    <row r="5616" spans="1:15">
      <c r="A5616" s="3">
        <v>42140</v>
      </c>
      <c r="B5616" s="3">
        <v>42140</v>
      </c>
      <c r="C5616">
        <v>186.06</v>
      </c>
      <c r="D5616">
        <v>1.1451</v>
      </c>
      <c r="E5616">
        <v>66.81</v>
      </c>
      <c r="F5616">
        <v>294.89999999999998</v>
      </c>
      <c r="K5616" s="3"/>
      <c r="O5616" s="3"/>
    </row>
    <row r="5617" spans="1:15">
      <c r="A5617" s="3">
        <v>42141</v>
      </c>
      <c r="B5617" s="3">
        <v>42141</v>
      </c>
      <c r="C5617">
        <v>186.06</v>
      </c>
      <c r="D5617">
        <v>1.1451</v>
      </c>
      <c r="E5617">
        <v>66.81</v>
      </c>
      <c r="F5617">
        <v>294.89999999999998</v>
      </c>
      <c r="K5617" s="3"/>
      <c r="O5617" s="3"/>
    </row>
    <row r="5618" spans="1:15">
      <c r="A5618" s="3">
        <v>42142</v>
      </c>
      <c r="B5618" s="3">
        <v>42142</v>
      </c>
      <c r="C5618">
        <v>185.82</v>
      </c>
      <c r="D5618">
        <v>1.1315</v>
      </c>
      <c r="E5618">
        <v>66.27</v>
      </c>
      <c r="F5618">
        <v>293</v>
      </c>
      <c r="K5618" s="3"/>
      <c r="O5618" s="3"/>
    </row>
    <row r="5619" spans="1:15">
      <c r="A5619" s="3">
        <v>42143</v>
      </c>
      <c r="B5619" s="3">
        <v>42143</v>
      </c>
      <c r="C5619">
        <v>185.81</v>
      </c>
      <c r="D5619">
        <v>1.115</v>
      </c>
      <c r="E5619">
        <v>64.02</v>
      </c>
      <c r="F5619">
        <v>286.14999999999998</v>
      </c>
      <c r="K5619" s="3"/>
      <c r="O5619" s="3"/>
    </row>
    <row r="5620" spans="1:15">
      <c r="A5620" s="3">
        <v>42144</v>
      </c>
      <c r="B5620" s="3">
        <v>42144</v>
      </c>
      <c r="C5620">
        <v>185.87</v>
      </c>
      <c r="D5620">
        <v>1.1093999999999999</v>
      </c>
      <c r="E5620">
        <v>65.03</v>
      </c>
      <c r="F5620">
        <v>285.14999999999998</v>
      </c>
      <c r="K5620" s="3"/>
      <c r="O5620" s="3"/>
    </row>
    <row r="5621" spans="1:15">
      <c r="A5621" s="3">
        <v>42145</v>
      </c>
      <c r="B5621" s="3">
        <v>42145</v>
      </c>
      <c r="C5621">
        <v>185.81</v>
      </c>
      <c r="D5621">
        <v>1.1112</v>
      </c>
      <c r="E5621">
        <v>66.540000000000006</v>
      </c>
      <c r="F5621">
        <v>287.10000000000002</v>
      </c>
      <c r="K5621" s="3"/>
      <c r="O5621" s="3"/>
    </row>
    <row r="5622" spans="1:15">
      <c r="A5622" s="3">
        <v>42146</v>
      </c>
      <c r="B5622" s="3">
        <v>42146</v>
      </c>
      <c r="C5622">
        <v>186.09</v>
      </c>
      <c r="D5622">
        <v>1.1012999999999999</v>
      </c>
      <c r="E5622">
        <v>65.37</v>
      </c>
      <c r="F5622">
        <v>283.35000000000002</v>
      </c>
      <c r="K5622" s="3"/>
      <c r="O5622" s="3"/>
    </row>
    <row r="5623" spans="1:15">
      <c r="A5623" s="3">
        <v>42147</v>
      </c>
      <c r="B5623" s="3">
        <v>42147</v>
      </c>
      <c r="C5623">
        <v>186.09</v>
      </c>
      <c r="D5623">
        <v>1.1012999999999999</v>
      </c>
      <c r="E5623">
        <v>65.37</v>
      </c>
      <c r="F5623">
        <v>283.35000000000002</v>
      </c>
      <c r="K5623" s="3"/>
      <c r="O5623" s="3"/>
    </row>
    <row r="5624" spans="1:15">
      <c r="A5624" s="3">
        <v>42148</v>
      </c>
      <c r="B5624" s="3">
        <v>42148</v>
      </c>
      <c r="C5624">
        <v>186.09</v>
      </c>
      <c r="D5624">
        <v>1.1012999999999999</v>
      </c>
      <c r="E5624">
        <v>65.37</v>
      </c>
      <c r="F5624">
        <v>283.35000000000002</v>
      </c>
      <c r="K5624" s="3"/>
      <c r="O5624" s="3"/>
    </row>
    <row r="5625" spans="1:15">
      <c r="A5625" s="3">
        <v>42149</v>
      </c>
      <c r="B5625" s="3">
        <v>42149</v>
      </c>
      <c r="C5625">
        <v>185.82</v>
      </c>
      <c r="D5625">
        <v>1.0978000000000001</v>
      </c>
      <c r="E5625">
        <v>65.52</v>
      </c>
      <c r="F5625">
        <v>283.35000000000002</v>
      </c>
      <c r="K5625" s="3"/>
      <c r="O5625" s="3"/>
    </row>
    <row r="5626" spans="1:15">
      <c r="A5626" s="3">
        <v>42150</v>
      </c>
      <c r="B5626" s="3">
        <v>42150</v>
      </c>
      <c r="C5626">
        <v>185.81</v>
      </c>
      <c r="D5626">
        <v>1.0872999999999999</v>
      </c>
      <c r="E5626">
        <v>63.72</v>
      </c>
      <c r="F5626">
        <v>285.35000000000002</v>
      </c>
      <c r="K5626" s="3"/>
      <c r="O5626" s="3"/>
    </row>
    <row r="5627" spans="1:15">
      <c r="A5627" s="3">
        <v>42151</v>
      </c>
      <c r="B5627" s="3">
        <v>42151</v>
      </c>
      <c r="C5627">
        <v>185.91</v>
      </c>
      <c r="D5627">
        <v>1.0904</v>
      </c>
      <c r="E5627">
        <v>62.06</v>
      </c>
      <c r="F5627">
        <v>281.60000000000002</v>
      </c>
      <c r="K5627" s="3"/>
      <c r="O5627" s="3"/>
    </row>
    <row r="5628" spans="1:15">
      <c r="A5628" s="3">
        <v>42152</v>
      </c>
      <c r="B5628" s="3">
        <v>42152</v>
      </c>
      <c r="C5628">
        <v>185.97</v>
      </c>
      <c r="D5628">
        <v>1.0949</v>
      </c>
      <c r="E5628">
        <v>62.58</v>
      </c>
      <c r="F5628">
        <v>276.75</v>
      </c>
      <c r="K5628" s="3"/>
      <c r="O5628" s="3"/>
    </row>
    <row r="5629" spans="1:15">
      <c r="A5629" s="3">
        <v>42153</v>
      </c>
      <c r="B5629" s="3">
        <v>42153</v>
      </c>
      <c r="C5629">
        <v>185.97</v>
      </c>
      <c r="D5629">
        <v>1.0986</v>
      </c>
      <c r="E5629">
        <v>65.56</v>
      </c>
      <c r="F5629">
        <v>272.8</v>
      </c>
      <c r="K5629" s="3"/>
      <c r="O5629" s="3"/>
    </row>
    <row r="5630" spans="1:15">
      <c r="A5630" s="3">
        <v>42154</v>
      </c>
      <c r="B5630" s="3">
        <v>42154</v>
      </c>
      <c r="C5630">
        <v>185.97</v>
      </c>
      <c r="D5630">
        <v>1.0986</v>
      </c>
      <c r="E5630">
        <v>65.56</v>
      </c>
      <c r="F5630">
        <v>272.8</v>
      </c>
      <c r="K5630" s="3"/>
      <c r="O5630" s="3"/>
    </row>
    <row r="5631" spans="1:15">
      <c r="A5631" s="3">
        <v>42155</v>
      </c>
      <c r="B5631" s="3">
        <v>42155</v>
      </c>
      <c r="C5631">
        <v>185.97</v>
      </c>
      <c r="D5631">
        <v>1.0986</v>
      </c>
      <c r="E5631">
        <v>65.56</v>
      </c>
      <c r="F5631">
        <v>272.8</v>
      </c>
      <c r="K5631" s="3"/>
      <c r="O5631" s="3"/>
    </row>
    <row r="5632" spans="1:15">
      <c r="A5632" s="3">
        <v>42156</v>
      </c>
      <c r="B5632" s="3">
        <v>42156</v>
      </c>
      <c r="C5632">
        <v>185.97</v>
      </c>
      <c r="D5632">
        <v>1.0927</v>
      </c>
      <c r="E5632">
        <v>64.88</v>
      </c>
      <c r="F5632">
        <v>272</v>
      </c>
      <c r="K5632" s="3"/>
      <c r="O5632" s="3"/>
    </row>
    <row r="5633" spans="1:15">
      <c r="A5633" s="3">
        <v>42157</v>
      </c>
      <c r="B5633" s="3">
        <v>42157</v>
      </c>
      <c r="C5633">
        <v>185.98</v>
      </c>
      <c r="D5633">
        <v>1.1151</v>
      </c>
      <c r="E5633">
        <v>65.489999999999995</v>
      </c>
      <c r="F5633">
        <v>273.60000000000002</v>
      </c>
      <c r="K5633" s="3"/>
      <c r="O5633" s="3"/>
    </row>
    <row r="5634" spans="1:15">
      <c r="A5634" s="3">
        <v>42158</v>
      </c>
      <c r="B5634" s="3">
        <v>42158</v>
      </c>
      <c r="C5634">
        <v>185.96</v>
      </c>
      <c r="D5634">
        <v>1.1274999999999999</v>
      </c>
      <c r="E5634">
        <v>63.8</v>
      </c>
      <c r="F5634">
        <v>272.64999999999998</v>
      </c>
      <c r="K5634" s="3"/>
      <c r="O5634" s="3"/>
    </row>
    <row r="5635" spans="1:15">
      <c r="A5635" s="3">
        <v>42159</v>
      </c>
      <c r="B5635" s="3">
        <v>42159</v>
      </c>
      <c r="C5635">
        <v>185.99</v>
      </c>
      <c r="D5635">
        <v>1.1237999999999999</v>
      </c>
      <c r="E5635">
        <v>62.03</v>
      </c>
      <c r="F5635">
        <v>268.7</v>
      </c>
      <c r="K5635" s="3"/>
      <c r="O5635" s="3"/>
    </row>
    <row r="5636" spans="1:15">
      <c r="A5636" s="3">
        <v>42160</v>
      </c>
      <c r="B5636" s="3">
        <v>42160</v>
      </c>
      <c r="C5636">
        <v>185.97</v>
      </c>
      <c r="D5636">
        <v>1.1113999999999999</v>
      </c>
      <c r="E5636">
        <v>63.31</v>
      </c>
      <c r="F5636">
        <v>269.25</v>
      </c>
      <c r="K5636" s="3"/>
      <c r="O5636" s="3"/>
    </row>
    <row r="5637" spans="1:15">
      <c r="A5637" s="3">
        <v>42161</v>
      </c>
      <c r="B5637" s="3">
        <v>42161</v>
      </c>
      <c r="C5637">
        <v>185.97</v>
      </c>
      <c r="D5637">
        <v>1.1113999999999999</v>
      </c>
      <c r="E5637">
        <v>63.31</v>
      </c>
      <c r="F5637">
        <v>269.25</v>
      </c>
      <c r="K5637" s="3"/>
      <c r="O5637" s="3"/>
    </row>
    <row r="5638" spans="1:15">
      <c r="A5638" s="3">
        <v>42162</v>
      </c>
      <c r="B5638" s="3">
        <v>42162</v>
      </c>
      <c r="C5638">
        <v>185.97</v>
      </c>
      <c r="D5638">
        <v>1.1113999999999999</v>
      </c>
      <c r="E5638">
        <v>63.31</v>
      </c>
      <c r="F5638">
        <v>269.25</v>
      </c>
      <c r="K5638" s="3"/>
      <c r="O5638" s="3"/>
    </row>
    <row r="5639" spans="1:15">
      <c r="A5639" s="3">
        <v>42163</v>
      </c>
      <c r="B5639" s="3">
        <v>42163</v>
      </c>
      <c r="C5639">
        <v>185.95</v>
      </c>
      <c r="D5639">
        <v>1.1291</v>
      </c>
      <c r="E5639">
        <v>62.69</v>
      </c>
      <c r="F5639">
        <v>269.64999999999998</v>
      </c>
      <c r="K5639" s="3"/>
      <c r="O5639" s="3"/>
    </row>
    <row r="5640" spans="1:15">
      <c r="A5640" s="3">
        <v>42164</v>
      </c>
      <c r="B5640" s="3">
        <v>42164</v>
      </c>
      <c r="C5640">
        <v>186.05</v>
      </c>
      <c r="D5640">
        <v>1.1283000000000001</v>
      </c>
      <c r="E5640">
        <v>64.88</v>
      </c>
      <c r="F5640">
        <v>271.39999999999998</v>
      </c>
      <c r="K5640" s="3"/>
      <c r="O5640" s="3"/>
    </row>
    <row r="5641" spans="1:15">
      <c r="A5641" s="3">
        <v>42165</v>
      </c>
      <c r="B5641" s="3">
        <v>42165</v>
      </c>
      <c r="C5641">
        <v>186.08</v>
      </c>
      <c r="D5641">
        <v>1.1324000000000001</v>
      </c>
      <c r="E5641">
        <v>65.7</v>
      </c>
      <c r="F5641">
        <v>274.7</v>
      </c>
      <c r="K5641" s="3"/>
      <c r="O5641" s="3"/>
    </row>
    <row r="5642" spans="1:15">
      <c r="A5642" s="3">
        <v>42166</v>
      </c>
      <c r="B5642" s="3">
        <v>42166</v>
      </c>
      <c r="C5642">
        <v>186.07</v>
      </c>
      <c r="D5642">
        <v>1.1257999999999999</v>
      </c>
      <c r="E5642">
        <v>65.11</v>
      </c>
      <c r="F5642">
        <v>266.89999999999998</v>
      </c>
      <c r="K5642" s="3"/>
      <c r="O5642" s="3"/>
    </row>
    <row r="5643" spans="1:15">
      <c r="A5643" s="3">
        <v>42167</v>
      </c>
      <c r="B5643" s="3">
        <v>42167</v>
      </c>
      <c r="C5643">
        <v>186.35</v>
      </c>
      <c r="D5643">
        <v>1.1266</v>
      </c>
      <c r="E5643">
        <v>63.87</v>
      </c>
      <c r="F5643">
        <v>267.8</v>
      </c>
      <c r="K5643" s="3"/>
      <c r="O5643" s="3"/>
    </row>
    <row r="5644" spans="1:15">
      <c r="A5644" s="3">
        <v>42168</v>
      </c>
      <c r="B5644" s="3">
        <v>42168</v>
      </c>
      <c r="C5644">
        <v>186.35</v>
      </c>
      <c r="D5644">
        <v>1.1266</v>
      </c>
      <c r="E5644">
        <v>63.87</v>
      </c>
      <c r="F5644">
        <v>267.8</v>
      </c>
      <c r="K5644" s="3"/>
      <c r="O5644" s="3"/>
    </row>
    <row r="5645" spans="1:15">
      <c r="A5645" s="3">
        <v>42169</v>
      </c>
      <c r="B5645" s="3">
        <v>42169</v>
      </c>
      <c r="C5645">
        <v>186.35</v>
      </c>
      <c r="D5645">
        <v>1.1266</v>
      </c>
      <c r="E5645">
        <v>63.87</v>
      </c>
      <c r="F5645">
        <v>267.8</v>
      </c>
      <c r="K5645" s="3"/>
      <c r="O5645" s="3"/>
    </row>
    <row r="5646" spans="1:15">
      <c r="A5646" s="3">
        <v>42170</v>
      </c>
      <c r="B5646" s="3">
        <v>42170</v>
      </c>
      <c r="C5646">
        <v>186.12</v>
      </c>
      <c r="D5646">
        <v>1.1283000000000001</v>
      </c>
      <c r="E5646">
        <v>62.61</v>
      </c>
      <c r="F5646">
        <v>264.7</v>
      </c>
      <c r="K5646" s="3"/>
      <c r="O5646" s="3"/>
    </row>
    <row r="5647" spans="1:15">
      <c r="A5647" s="3">
        <v>42171</v>
      </c>
      <c r="B5647" s="3">
        <v>42171</v>
      </c>
      <c r="C5647">
        <v>186.06</v>
      </c>
      <c r="D5647">
        <v>1.1248</v>
      </c>
      <c r="E5647">
        <v>63.7</v>
      </c>
      <c r="F5647">
        <v>261.55</v>
      </c>
      <c r="K5647" s="3"/>
      <c r="O5647" s="3"/>
    </row>
    <row r="5648" spans="1:15">
      <c r="A5648" s="3">
        <v>42172</v>
      </c>
      <c r="B5648" s="3">
        <v>42172</v>
      </c>
      <c r="C5648">
        <v>186.06</v>
      </c>
      <c r="D5648">
        <v>1.1336999999999999</v>
      </c>
      <c r="E5648">
        <v>63.87</v>
      </c>
      <c r="F5648">
        <v>260.39999999999998</v>
      </c>
      <c r="K5648" s="3"/>
      <c r="O5648" s="3"/>
    </row>
    <row r="5649" spans="1:15">
      <c r="A5649" s="3">
        <v>42173</v>
      </c>
      <c r="B5649" s="3">
        <v>42173</v>
      </c>
      <c r="C5649">
        <v>186.06</v>
      </c>
      <c r="D5649">
        <v>1.1358999999999999</v>
      </c>
      <c r="E5649">
        <v>64.260000000000005</v>
      </c>
      <c r="F5649">
        <v>260.60000000000002</v>
      </c>
      <c r="K5649" s="3"/>
      <c r="O5649" s="3"/>
    </row>
    <row r="5650" spans="1:15">
      <c r="A5650" s="3">
        <v>42174</v>
      </c>
      <c r="B5650" s="3">
        <v>42174</v>
      </c>
      <c r="C5650">
        <v>186.06</v>
      </c>
      <c r="D5650">
        <v>1.1352</v>
      </c>
      <c r="E5650">
        <v>63.02</v>
      </c>
      <c r="F5650">
        <v>256.89999999999998</v>
      </c>
      <c r="K5650" s="3"/>
      <c r="O5650" s="3"/>
    </row>
    <row r="5651" spans="1:15">
      <c r="A5651" s="3">
        <v>42175</v>
      </c>
      <c r="B5651" s="3">
        <v>42175</v>
      </c>
      <c r="C5651">
        <v>186.06</v>
      </c>
      <c r="D5651">
        <v>1.1352</v>
      </c>
      <c r="E5651">
        <v>63.02</v>
      </c>
      <c r="F5651">
        <v>256.89999999999998</v>
      </c>
      <c r="K5651" s="3"/>
      <c r="O5651" s="3"/>
    </row>
    <row r="5652" spans="1:15">
      <c r="A5652" s="3">
        <v>42176</v>
      </c>
      <c r="B5652" s="3">
        <v>42176</v>
      </c>
      <c r="C5652">
        <v>186.06</v>
      </c>
      <c r="D5652">
        <v>1.1352</v>
      </c>
      <c r="E5652">
        <v>63.02</v>
      </c>
      <c r="F5652">
        <v>256.89999999999998</v>
      </c>
      <c r="K5652" s="3"/>
      <c r="O5652" s="3"/>
    </row>
    <row r="5653" spans="1:15">
      <c r="A5653" s="3">
        <v>42177</v>
      </c>
      <c r="B5653" s="3">
        <v>42177</v>
      </c>
      <c r="C5653">
        <v>186.2</v>
      </c>
      <c r="D5653">
        <v>1.1341000000000001</v>
      </c>
      <c r="E5653">
        <v>63.34</v>
      </c>
      <c r="F5653">
        <v>256.7</v>
      </c>
      <c r="K5653" s="3"/>
      <c r="O5653" s="3"/>
    </row>
    <row r="5654" spans="1:15">
      <c r="A5654" s="3">
        <v>42178</v>
      </c>
      <c r="B5654" s="3">
        <v>42178</v>
      </c>
      <c r="C5654">
        <v>186.08</v>
      </c>
      <c r="D5654">
        <v>1.1167</v>
      </c>
      <c r="E5654">
        <v>64.45</v>
      </c>
      <c r="F5654">
        <v>261.3</v>
      </c>
      <c r="K5654" s="3"/>
      <c r="O5654" s="3"/>
    </row>
    <row r="5655" spans="1:15">
      <c r="A5655" s="3">
        <v>42179</v>
      </c>
      <c r="B5655" s="3">
        <v>42179</v>
      </c>
      <c r="C5655">
        <v>186.21</v>
      </c>
      <c r="D5655">
        <v>1.1205000000000001</v>
      </c>
      <c r="E5655">
        <v>63.49</v>
      </c>
      <c r="F5655">
        <v>262.45</v>
      </c>
      <c r="K5655" s="3"/>
      <c r="O5655" s="3"/>
    </row>
    <row r="5656" spans="1:15">
      <c r="A5656" s="3">
        <v>42180</v>
      </c>
      <c r="B5656" s="3">
        <v>42180</v>
      </c>
      <c r="C5656">
        <v>186.21</v>
      </c>
      <c r="D5656">
        <v>1.1205000000000001</v>
      </c>
      <c r="E5656">
        <v>63.2</v>
      </c>
      <c r="F5656">
        <v>262.3</v>
      </c>
      <c r="K5656" s="3"/>
      <c r="O5656" s="3"/>
    </row>
    <row r="5657" spans="1:15">
      <c r="A5657" s="3">
        <v>42181</v>
      </c>
      <c r="B5657" s="3">
        <v>42181</v>
      </c>
      <c r="C5657">
        <v>186.21</v>
      </c>
      <c r="D5657">
        <v>1.1167</v>
      </c>
      <c r="E5657">
        <v>63.26</v>
      </c>
      <c r="F5657">
        <v>264.45</v>
      </c>
      <c r="K5657" s="3"/>
      <c r="O5657" s="3"/>
    </row>
    <row r="5658" spans="1:15">
      <c r="A5658" s="3">
        <v>42182</v>
      </c>
      <c r="B5658" s="3">
        <v>42182</v>
      </c>
      <c r="C5658">
        <v>186.21</v>
      </c>
      <c r="D5658">
        <v>1.1167</v>
      </c>
      <c r="E5658">
        <v>63.26</v>
      </c>
      <c r="F5658">
        <v>264.45</v>
      </c>
      <c r="K5658" s="3"/>
      <c r="O5658" s="3"/>
    </row>
    <row r="5659" spans="1:15">
      <c r="A5659" s="3">
        <v>42183</v>
      </c>
      <c r="B5659" s="3">
        <v>42183</v>
      </c>
      <c r="C5659">
        <v>186.21</v>
      </c>
      <c r="D5659">
        <v>1.1167</v>
      </c>
      <c r="E5659">
        <v>63.26</v>
      </c>
      <c r="F5659">
        <v>264.45</v>
      </c>
      <c r="K5659" s="3"/>
      <c r="O5659" s="3"/>
    </row>
    <row r="5660" spans="1:15">
      <c r="A5660" s="3">
        <v>42184</v>
      </c>
      <c r="B5660" s="3">
        <v>42184</v>
      </c>
      <c r="C5660">
        <v>186.21</v>
      </c>
      <c r="D5660">
        <v>1.1235999999999999</v>
      </c>
      <c r="E5660">
        <v>62.01</v>
      </c>
      <c r="F5660">
        <v>263.85000000000002</v>
      </c>
      <c r="K5660" s="3"/>
      <c r="O5660" s="3"/>
    </row>
    <row r="5661" spans="1:15">
      <c r="A5661" s="3">
        <v>42185</v>
      </c>
      <c r="B5661" s="3">
        <v>42185</v>
      </c>
      <c r="C5661">
        <v>186.21</v>
      </c>
      <c r="D5661">
        <v>1.1147</v>
      </c>
      <c r="E5661">
        <v>63.59</v>
      </c>
      <c r="F5661">
        <v>262.35000000000002</v>
      </c>
      <c r="K5661" s="3"/>
      <c r="O5661" s="3"/>
    </row>
    <row r="5662" spans="1:15">
      <c r="A5662" s="3">
        <v>42186</v>
      </c>
      <c r="B5662" s="3">
        <v>42186</v>
      </c>
      <c r="C5662">
        <v>186.26</v>
      </c>
      <c r="D5662">
        <v>1.1052999999999999</v>
      </c>
      <c r="E5662">
        <v>62.01</v>
      </c>
      <c r="F5662">
        <v>263.55</v>
      </c>
      <c r="K5662" s="3"/>
      <c r="O5662" s="3"/>
    </row>
    <row r="5663" spans="1:15">
      <c r="A5663" s="3">
        <v>42187</v>
      </c>
      <c r="B5663" s="3">
        <v>42187</v>
      </c>
      <c r="C5663">
        <v>186.23</v>
      </c>
      <c r="D5663">
        <v>1.1084000000000001</v>
      </c>
      <c r="E5663">
        <v>62.07</v>
      </c>
      <c r="F5663">
        <v>263.45</v>
      </c>
      <c r="K5663" s="3"/>
      <c r="O5663" s="3"/>
    </row>
    <row r="5664" spans="1:15">
      <c r="A5664" s="3">
        <v>42188</v>
      </c>
      <c r="B5664" s="3">
        <v>42188</v>
      </c>
      <c r="C5664">
        <v>186.21</v>
      </c>
      <c r="D5664">
        <v>1.1113999999999999</v>
      </c>
      <c r="E5664">
        <v>60.32</v>
      </c>
      <c r="F5664">
        <v>263.45</v>
      </c>
      <c r="K5664" s="3"/>
      <c r="O5664" s="3"/>
    </row>
    <row r="5665" spans="1:15">
      <c r="A5665" s="3">
        <v>42189</v>
      </c>
      <c r="B5665" s="3">
        <v>42189</v>
      </c>
      <c r="C5665">
        <v>186.21</v>
      </c>
      <c r="D5665">
        <v>1.1113999999999999</v>
      </c>
      <c r="E5665">
        <v>60.32</v>
      </c>
      <c r="F5665">
        <v>263.45</v>
      </c>
      <c r="K5665" s="3"/>
      <c r="O5665" s="3"/>
    </row>
    <row r="5666" spans="1:15">
      <c r="A5666" s="3">
        <v>42190</v>
      </c>
      <c r="B5666" s="3">
        <v>42190</v>
      </c>
      <c r="C5666">
        <v>186.21</v>
      </c>
      <c r="D5666">
        <v>1.1113999999999999</v>
      </c>
      <c r="E5666">
        <v>60.32</v>
      </c>
      <c r="F5666">
        <v>263.45</v>
      </c>
      <c r="K5666" s="3"/>
      <c r="O5666" s="3"/>
    </row>
    <row r="5667" spans="1:15">
      <c r="A5667" s="3">
        <v>42191</v>
      </c>
      <c r="B5667" s="3">
        <v>42191</v>
      </c>
      <c r="C5667">
        <v>186.2</v>
      </c>
      <c r="D5667">
        <v>1.1055999999999999</v>
      </c>
      <c r="E5667">
        <v>56.54</v>
      </c>
      <c r="F5667">
        <v>254.3</v>
      </c>
      <c r="K5667" s="3"/>
      <c r="O5667" s="3"/>
    </row>
    <row r="5668" spans="1:15">
      <c r="A5668" s="3">
        <v>42192</v>
      </c>
      <c r="B5668" s="3">
        <v>42192</v>
      </c>
      <c r="C5668">
        <v>186.2</v>
      </c>
      <c r="D5668">
        <v>1.1011</v>
      </c>
      <c r="E5668">
        <v>56.85</v>
      </c>
      <c r="F5668">
        <v>245.1</v>
      </c>
      <c r="K5668" s="3"/>
      <c r="O5668" s="3"/>
    </row>
    <row r="5669" spans="1:15">
      <c r="A5669" s="3">
        <v>42193</v>
      </c>
      <c r="B5669" s="3">
        <v>42193</v>
      </c>
      <c r="C5669">
        <v>186.35</v>
      </c>
      <c r="D5669">
        <v>1.1076999999999999</v>
      </c>
      <c r="E5669">
        <v>57.05</v>
      </c>
      <c r="F5669">
        <v>250.4</v>
      </c>
      <c r="K5669" s="3"/>
      <c r="O5669" s="3"/>
    </row>
    <row r="5670" spans="1:15">
      <c r="A5670" s="3">
        <v>42194</v>
      </c>
      <c r="B5670" s="3">
        <v>42194</v>
      </c>
      <c r="C5670">
        <v>186.38</v>
      </c>
      <c r="D5670">
        <v>1.1035999999999999</v>
      </c>
      <c r="E5670">
        <v>58.61</v>
      </c>
      <c r="F5670">
        <v>255.8</v>
      </c>
      <c r="K5670" s="3"/>
      <c r="O5670" s="3"/>
    </row>
    <row r="5671" spans="1:15">
      <c r="A5671" s="3">
        <v>42195</v>
      </c>
      <c r="B5671" s="3">
        <v>42195</v>
      </c>
      <c r="C5671">
        <v>186.55</v>
      </c>
      <c r="D5671">
        <v>1.1162000000000001</v>
      </c>
      <c r="E5671">
        <v>58.73</v>
      </c>
      <c r="F5671">
        <v>254.55</v>
      </c>
      <c r="K5671" s="3"/>
      <c r="O5671" s="3"/>
    </row>
    <row r="5672" spans="1:15">
      <c r="A5672" s="3">
        <v>42196</v>
      </c>
      <c r="B5672" s="3">
        <v>42196</v>
      </c>
      <c r="C5672">
        <v>186.55</v>
      </c>
      <c r="D5672">
        <v>1.1162000000000001</v>
      </c>
      <c r="E5672">
        <v>58.73</v>
      </c>
      <c r="F5672">
        <v>254.55</v>
      </c>
      <c r="K5672" s="3"/>
      <c r="O5672" s="3"/>
    </row>
    <row r="5673" spans="1:15">
      <c r="A5673" s="3">
        <v>42197</v>
      </c>
      <c r="B5673" s="3">
        <v>42197</v>
      </c>
      <c r="C5673">
        <v>186.55</v>
      </c>
      <c r="D5673">
        <v>1.1162000000000001</v>
      </c>
      <c r="E5673">
        <v>58.73</v>
      </c>
      <c r="F5673">
        <v>254.55</v>
      </c>
      <c r="K5673" s="3"/>
      <c r="O5673" s="3"/>
    </row>
    <row r="5674" spans="1:15">
      <c r="A5674" s="3">
        <v>42198</v>
      </c>
      <c r="B5674" s="3">
        <v>42198</v>
      </c>
      <c r="C5674">
        <v>186.83</v>
      </c>
      <c r="D5674">
        <v>1.1002000000000001</v>
      </c>
      <c r="E5674">
        <v>57.85</v>
      </c>
      <c r="F5674">
        <v>255.55</v>
      </c>
      <c r="K5674" s="3"/>
      <c r="O5674" s="3"/>
    </row>
    <row r="5675" spans="1:15">
      <c r="A5675" s="3">
        <v>42199</v>
      </c>
      <c r="B5675" s="3">
        <v>42199</v>
      </c>
      <c r="C5675">
        <v>186.81</v>
      </c>
      <c r="D5675">
        <v>1.1009</v>
      </c>
      <c r="E5675">
        <v>58.51</v>
      </c>
      <c r="F5675">
        <v>254.45</v>
      </c>
      <c r="K5675" s="3"/>
      <c r="O5675" s="3"/>
    </row>
    <row r="5676" spans="1:15">
      <c r="A5676" s="3">
        <v>42200</v>
      </c>
      <c r="B5676" s="3">
        <v>42200</v>
      </c>
      <c r="C5676">
        <v>187.05</v>
      </c>
      <c r="D5676">
        <v>1.095</v>
      </c>
      <c r="E5676">
        <v>57.05</v>
      </c>
      <c r="F5676">
        <v>253.05</v>
      </c>
      <c r="K5676" s="3"/>
      <c r="O5676" s="3"/>
    </row>
    <row r="5677" spans="1:15">
      <c r="A5677" s="3">
        <v>42201</v>
      </c>
      <c r="B5677" s="3">
        <v>42201</v>
      </c>
      <c r="C5677">
        <v>187.1</v>
      </c>
      <c r="D5677">
        <v>1.0874999999999999</v>
      </c>
      <c r="E5677">
        <v>57.51</v>
      </c>
      <c r="F5677">
        <v>253.15</v>
      </c>
      <c r="K5677" s="3"/>
      <c r="O5677" s="3"/>
    </row>
    <row r="5678" spans="1:15">
      <c r="A5678" s="3">
        <v>42202</v>
      </c>
      <c r="B5678" s="3">
        <v>42202</v>
      </c>
      <c r="C5678">
        <v>187.2</v>
      </c>
      <c r="D5678">
        <v>1.083</v>
      </c>
      <c r="E5678">
        <v>57.1</v>
      </c>
      <c r="F5678">
        <v>250.45</v>
      </c>
      <c r="K5678" s="3"/>
      <c r="O5678" s="3"/>
    </row>
    <row r="5679" spans="1:15">
      <c r="A5679" s="3">
        <v>42203</v>
      </c>
      <c r="B5679" s="3">
        <v>42203</v>
      </c>
      <c r="C5679">
        <v>187.2</v>
      </c>
      <c r="D5679">
        <v>1.083</v>
      </c>
      <c r="E5679">
        <v>57.1</v>
      </c>
      <c r="F5679">
        <v>250.45</v>
      </c>
      <c r="K5679" s="3"/>
      <c r="O5679" s="3"/>
    </row>
    <row r="5680" spans="1:15">
      <c r="A5680" s="3">
        <v>42204</v>
      </c>
      <c r="B5680" s="3">
        <v>42204</v>
      </c>
      <c r="C5680">
        <v>187.2</v>
      </c>
      <c r="D5680">
        <v>1.083</v>
      </c>
      <c r="E5680">
        <v>57.1</v>
      </c>
      <c r="F5680">
        <v>250.45</v>
      </c>
      <c r="K5680" s="3"/>
      <c r="O5680" s="3"/>
    </row>
    <row r="5681" spans="1:15">
      <c r="A5681" s="3">
        <v>42205</v>
      </c>
      <c r="B5681" s="3">
        <v>42205</v>
      </c>
      <c r="C5681">
        <v>187.06</v>
      </c>
      <c r="D5681">
        <v>1.0825</v>
      </c>
      <c r="E5681">
        <v>56.65</v>
      </c>
      <c r="F5681">
        <v>248.4</v>
      </c>
      <c r="K5681" s="3"/>
      <c r="O5681" s="3"/>
    </row>
    <row r="5682" spans="1:15">
      <c r="A5682" s="3">
        <v>42206</v>
      </c>
      <c r="B5682" s="3">
        <v>42206</v>
      </c>
      <c r="C5682">
        <v>187.12</v>
      </c>
      <c r="D5682">
        <v>1.0934999999999999</v>
      </c>
      <c r="E5682">
        <v>57.04</v>
      </c>
      <c r="F5682">
        <v>247.75</v>
      </c>
      <c r="K5682" s="3"/>
      <c r="O5682" s="3"/>
    </row>
    <row r="5683" spans="1:15">
      <c r="A5683" s="3">
        <v>42207</v>
      </c>
      <c r="B5683" s="3">
        <v>42207</v>
      </c>
      <c r="C5683">
        <v>187.07</v>
      </c>
      <c r="D5683">
        <v>1.0929</v>
      </c>
      <c r="E5683">
        <v>56.13</v>
      </c>
      <c r="F5683">
        <v>243.15</v>
      </c>
      <c r="K5683" s="3"/>
      <c r="O5683" s="3"/>
    </row>
    <row r="5684" spans="1:15">
      <c r="A5684" s="3">
        <v>42208</v>
      </c>
      <c r="B5684" s="3">
        <v>42208</v>
      </c>
      <c r="C5684">
        <v>187.09</v>
      </c>
      <c r="D5684">
        <v>1.0984</v>
      </c>
      <c r="E5684">
        <v>55.27</v>
      </c>
      <c r="F5684">
        <v>238.55</v>
      </c>
      <c r="K5684" s="3"/>
      <c r="O5684" s="3"/>
    </row>
    <row r="5685" spans="1:15">
      <c r="A5685" s="3">
        <v>42209</v>
      </c>
      <c r="B5685" s="3">
        <v>42209</v>
      </c>
      <c r="C5685">
        <v>187.05</v>
      </c>
      <c r="D5685">
        <v>1.0984</v>
      </c>
      <c r="E5685">
        <v>54.62</v>
      </c>
      <c r="F5685">
        <v>238.15</v>
      </c>
      <c r="K5685" s="3"/>
      <c r="O5685" s="3"/>
    </row>
    <row r="5686" spans="1:15">
      <c r="A5686" s="3">
        <v>42210</v>
      </c>
      <c r="B5686" s="3">
        <v>42210</v>
      </c>
      <c r="C5686">
        <v>187.05</v>
      </c>
      <c r="D5686">
        <v>1.0984</v>
      </c>
      <c r="E5686">
        <v>54.62</v>
      </c>
      <c r="F5686">
        <v>238.15</v>
      </c>
      <c r="K5686" s="3"/>
      <c r="O5686" s="3"/>
    </row>
    <row r="5687" spans="1:15">
      <c r="A5687" s="3">
        <v>42211</v>
      </c>
      <c r="B5687" s="3">
        <v>42211</v>
      </c>
      <c r="C5687">
        <v>187.05</v>
      </c>
      <c r="D5687">
        <v>1.0984</v>
      </c>
      <c r="E5687">
        <v>54.62</v>
      </c>
      <c r="F5687">
        <v>238.15</v>
      </c>
      <c r="K5687" s="3"/>
      <c r="O5687" s="3"/>
    </row>
    <row r="5688" spans="1:15">
      <c r="A5688" s="3">
        <v>42212</v>
      </c>
      <c r="B5688" s="3">
        <v>42212</v>
      </c>
      <c r="C5688">
        <v>187.44</v>
      </c>
      <c r="D5688">
        <v>1.1088</v>
      </c>
      <c r="E5688">
        <v>53.47</v>
      </c>
      <c r="F5688">
        <v>235.05</v>
      </c>
      <c r="K5688" s="3"/>
      <c r="O5688" s="3"/>
    </row>
    <row r="5689" spans="1:15">
      <c r="A5689" s="3">
        <v>42213</v>
      </c>
      <c r="B5689" s="3">
        <v>42213</v>
      </c>
      <c r="C5689">
        <v>187.3</v>
      </c>
      <c r="D5689">
        <v>1.1060000000000001</v>
      </c>
      <c r="E5689">
        <v>53.3</v>
      </c>
      <c r="F5689">
        <v>240.3</v>
      </c>
      <c r="K5689" s="3"/>
      <c r="O5689" s="3"/>
    </row>
    <row r="5690" spans="1:15">
      <c r="A5690" s="3">
        <v>42214</v>
      </c>
      <c r="B5690" s="3">
        <v>42214</v>
      </c>
      <c r="C5690">
        <v>187.48</v>
      </c>
      <c r="D5690">
        <v>1.0984</v>
      </c>
      <c r="E5690">
        <v>53.38</v>
      </c>
      <c r="F5690">
        <v>240.8</v>
      </c>
      <c r="K5690" s="3"/>
      <c r="O5690" s="3"/>
    </row>
    <row r="5691" spans="1:15">
      <c r="A5691" s="3">
        <v>42215</v>
      </c>
      <c r="B5691" s="3">
        <v>42215</v>
      </c>
      <c r="C5691">
        <v>187.49</v>
      </c>
      <c r="D5691">
        <v>1.0931999999999999</v>
      </c>
      <c r="E5691">
        <v>53.31</v>
      </c>
      <c r="F5691">
        <v>237.7</v>
      </c>
      <c r="K5691" s="3"/>
      <c r="O5691" s="3"/>
    </row>
    <row r="5692" spans="1:15">
      <c r="A5692" s="3">
        <v>42216</v>
      </c>
      <c r="B5692" s="3">
        <v>42216</v>
      </c>
      <c r="C5692">
        <v>187.8</v>
      </c>
      <c r="D5692">
        <v>1.0984</v>
      </c>
      <c r="E5692">
        <v>52.21</v>
      </c>
      <c r="F5692">
        <v>236.35</v>
      </c>
      <c r="K5692" s="3"/>
      <c r="O5692" s="3"/>
    </row>
    <row r="5693" spans="1:15">
      <c r="A5693" s="3">
        <v>42217</v>
      </c>
      <c r="B5693" s="3">
        <v>42217</v>
      </c>
      <c r="C5693">
        <v>187.8</v>
      </c>
      <c r="D5693">
        <v>1.0984</v>
      </c>
      <c r="E5693">
        <v>52.21</v>
      </c>
      <c r="F5693">
        <v>236.35</v>
      </c>
      <c r="K5693" s="3"/>
      <c r="O5693" s="3"/>
    </row>
    <row r="5694" spans="1:15">
      <c r="A5694" s="3">
        <v>42218</v>
      </c>
      <c r="B5694" s="3">
        <v>42218</v>
      </c>
      <c r="C5694">
        <v>187.8</v>
      </c>
      <c r="D5694">
        <v>1.0984</v>
      </c>
      <c r="E5694">
        <v>52.21</v>
      </c>
      <c r="F5694">
        <v>236.35</v>
      </c>
      <c r="K5694" s="3"/>
      <c r="O5694" s="3"/>
    </row>
    <row r="5695" spans="1:15">
      <c r="A5695" s="3">
        <v>42219</v>
      </c>
      <c r="B5695" s="3">
        <v>42219</v>
      </c>
      <c r="C5695">
        <v>187.46</v>
      </c>
      <c r="D5695">
        <v>1.095</v>
      </c>
      <c r="E5695">
        <v>49.52</v>
      </c>
      <c r="F5695">
        <v>234.6</v>
      </c>
      <c r="K5695" s="3"/>
      <c r="O5695" s="3"/>
    </row>
    <row r="5696" spans="1:15">
      <c r="A5696" s="3">
        <v>42220</v>
      </c>
      <c r="B5696" s="3">
        <v>42220</v>
      </c>
      <c r="C5696">
        <v>187.67</v>
      </c>
      <c r="D5696">
        <v>1.0881000000000001</v>
      </c>
      <c r="E5696">
        <v>49.99</v>
      </c>
      <c r="F5696">
        <v>236.2</v>
      </c>
      <c r="K5696" s="3"/>
      <c r="O5696" s="3"/>
    </row>
    <row r="5697" spans="1:15">
      <c r="A5697" s="3">
        <v>42221</v>
      </c>
      <c r="B5697" s="3">
        <v>42221</v>
      </c>
      <c r="C5697">
        <v>187.66</v>
      </c>
      <c r="D5697">
        <v>1.0906</v>
      </c>
      <c r="E5697">
        <v>49.59</v>
      </c>
      <c r="F5697">
        <v>234.85</v>
      </c>
      <c r="K5697" s="3"/>
      <c r="O5697" s="3"/>
    </row>
    <row r="5698" spans="1:15">
      <c r="A5698" s="3">
        <v>42222</v>
      </c>
      <c r="B5698" s="3">
        <v>42222</v>
      </c>
      <c r="C5698">
        <v>187.65</v>
      </c>
      <c r="D5698">
        <v>1.0925</v>
      </c>
      <c r="E5698">
        <v>49.52</v>
      </c>
      <c r="F5698">
        <v>234.1</v>
      </c>
      <c r="K5698" s="3"/>
      <c r="O5698" s="3"/>
    </row>
    <row r="5699" spans="1:15">
      <c r="A5699" s="3">
        <v>42223</v>
      </c>
      <c r="B5699" s="3">
        <v>42223</v>
      </c>
      <c r="C5699">
        <v>187.65</v>
      </c>
      <c r="D5699">
        <v>1.0967</v>
      </c>
      <c r="E5699">
        <v>48.61</v>
      </c>
      <c r="F5699">
        <v>233.25</v>
      </c>
      <c r="K5699" s="3"/>
      <c r="O5699" s="3"/>
    </row>
    <row r="5700" spans="1:15">
      <c r="A5700" s="3">
        <v>42224</v>
      </c>
      <c r="B5700" s="3">
        <v>42224</v>
      </c>
      <c r="C5700">
        <v>187.65</v>
      </c>
      <c r="D5700">
        <v>1.0967</v>
      </c>
      <c r="E5700">
        <v>48.61</v>
      </c>
      <c r="F5700">
        <v>233.25</v>
      </c>
      <c r="K5700" s="3"/>
      <c r="O5700" s="3"/>
    </row>
    <row r="5701" spans="1:15">
      <c r="A5701" s="3">
        <v>42225</v>
      </c>
      <c r="B5701" s="3">
        <v>42225</v>
      </c>
      <c r="C5701">
        <v>187.65</v>
      </c>
      <c r="D5701">
        <v>1.0967</v>
      </c>
      <c r="E5701">
        <v>48.61</v>
      </c>
      <c r="F5701">
        <v>233.25</v>
      </c>
      <c r="K5701" s="3"/>
      <c r="O5701" s="3"/>
    </row>
    <row r="5702" spans="1:15">
      <c r="A5702" s="3">
        <v>42226</v>
      </c>
      <c r="B5702" s="3">
        <v>42226</v>
      </c>
      <c r="C5702">
        <v>187.88</v>
      </c>
      <c r="D5702">
        <v>1.1019000000000001</v>
      </c>
      <c r="E5702">
        <v>50.41</v>
      </c>
      <c r="F5702">
        <v>240</v>
      </c>
      <c r="K5702" s="3"/>
      <c r="O5702" s="3"/>
    </row>
    <row r="5703" spans="1:15">
      <c r="A5703" s="3">
        <v>42227</v>
      </c>
      <c r="B5703" s="3">
        <v>42227</v>
      </c>
      <c r="C5703">
        <v>187.98</v>
      </c>
      <c r="D5703">
        <v>1.1042000000000001</v>
      </c>
      <c r="E5703">
        <v>49.18</v>
      </c>
      <c r="F5703">
        <v>233.15</v>
      </c>
      <c r="K5703" s="3"/>
      <c r="O5703" s="3"/>
    </row>
    <row r="5704" spans="1:15">
      <c r="A5704" s="3">
        <v>42228</v>
      </c>
      <c r="B5704" s="3">
        <v>42228</v>
      </c>
      <c r="C5704">
        <v>187.9</v>
      </c>
      <c r="D5704">
        <v>1.1158999999999999</v>
      </c>
      <c r="E5704">
        <v>49.66</v>
      </c>
      <c r="F5704">
        <v>235</v>
      </c>
      <c r="K5704" s="3"/>
      <c r="O5704" s="3"/>
    </row>
    <row r="5705" spans="1:15">
      <c r="A5705" s="3">
        <v>42229</v>
      </c>
      <c r="B5705" s="3">
        <v>42229</v>
      </c>
      <c r="C5705">
        <v>188.06</v>
      </c>
      <c r="D5705">
        <v>1.115</v>
      </c>
      <c r="E5705">
        <v>49.22</v>
      </c>
      <c r="F5705">
        <v>235.3</v>
      </c>
      <c r="K5705" s="3"/>
      <c r="O5705" s="3"/>
    </row>
    <row r="5706" spans="1:15">
      <c r="A5706" s="3">
        <v>42230</v>
      </c>
      <c r="B5706" s="3">
        <v>42230</v>
      </c>
      <c r="C5706">
        <v>188.31</v>
      </c>
      <c r="D5706">
        <v>1.1109</v>
      </c>
      <c r="E5706">
        <v>49.03</v>
      </c>
      <c r="F5706">
        <v>235.15</v>
      </c>
      <c r="K5706" s="3"/>
      <c r="O5706" s="3"/>
    </row>
    <row r="5707" spans="1:15">
      <c r="A5707" s="3">
        <v>42231</v>
      </c>
      <c r="B5707" s="3">
        <v>42231</v>
      </c>
      <c r="C5707">
        <v>188.31</v>
      </c>
      <c r="D5707">
        <v>1.1109</v>
      </c>
      <c r="E5707">
        <v>49.03</v>
      </c>
      <c r="F5707">
        <v>235.15</v>
      </c>
      <c r="K5707" s="3"/>
      <c r="O5707" s="3"/>
    </row>
    <row r="5708" spans="1:15">
      <c r="A5708" s="3">
        <v>42232</v>
      </c>
      <c r="B5708" s="3">
        <v>42232</v>
      </c>
      <c r="C5708">
        <v>188.31</v>
      </c>
      <c r="D5708">
        <v>1.1109</v>
      </c>
      <c r="E5708">
        <v>49.03</v>
      </c>
      <c r="F5708">
        <v>235.15</v>
      </c>
      <c r="K5708" s="3"/>
      <c r="O5708" s="3"/>
    </row>
    <row r="5709" spans="1:15">
      <c r="A5709" s="3">
        <v>42233</v>
      </c>
      <c r="B5709" s="3">
        <v>42233</v>
      </c>
      <c r="C5709">
        <v>188.38</v>
      </c>
      <c r="D5709">
        <v>1.1077999999999999</v>
      </c>
      <c r="E5709">
        <v>48.74</v>
      </c>
      <c r="F5709">
        <v>232.1</v>
      </c>
      <c r="K5709" s="3"/>
      <c r="O5709" s="3"/>
    </row>
    <row r="5710" spans="1:15">
      <c r="A5710" s="3">
        <v>42234</v>
      </c>
      <c r="B5710" s="3">
        <v>42234</v>
      </c>
      <c r="C5710">
        <v>188.38</v>
      </c>
      <c r="D5710">
        <v>1.1024</v>
      </c>
      <c r="E5710">
        <v>48.81</v>
      </c>
      <c r="F5710">
        <v>228.7</v>
      </c>
      <c r="K5710" s="3"/>
      <c r="O5710" s="3"/>
    </row>
    <row r="5711" spans="1:15">
      <c r="A5711" s="3">
        <v>42235</v>
      </c>
      <c r="B5711" s="3">
        <v>42235</v>
      </c>
      <c r="C5711">
        <v>197.28</v>
      </c>
      <c r="D5711">
        <v>1.1120000000000001</v>
      </c>
      <c r="E5711">
        <v>47.16</v>
      </c>
      <c r="F5711">
        <v>227.6</v>
      </c>
      <c r="K5711" s="3"/>
      <c r="O5711" s="3"/>
    </row>
    <row r="5712" spans="1:15">
      <c r="A5712" s="3">
        <v>42236</v>
      </c>
      <c r="B5712" s="3">
        <v>42236</v>
      </c>
      <c r="C5712">
        <v>252.4</v>
      </c>
      <c r="D5712">
        <v>1.1242000000000001</v>
      </c>
      <c r="E5712">
        <v>46.62</v>
      </c>
      <c r="F5712">
        <v>231.95</v>
      </c>
      <c r="K5712" s="3"/>
      <c r="O5712" s="3"/>
    </row>
    <row r="5713" spans="1:15">
      <c r="A5713" s="3">
        <v>42237</v>
      </c>
      <c r="B5713" s="3">
        <v>42237</v>
      </c>
      <c r="C5713">
        <v>234.99</v>
      </c>
      <c r="D5713">
        <v>1.1386000000000001</v>
      </c>
      <c r="E5713">
        <v>45.46</v>
      </c>
      <c r="F5713">
        <v>230.35</v>
      </c>
      <c r="K5713" s="3"/>
      <c r="O5713" s="3"/>
    </row>
    <row r="5714" spans="1:15">
      <c r="A5714" s="3">
        <v>42238</v>
      </c>
      <c r="B5714" s="3">
        <v>42238</v>
      </c>
      <c r="C5714">
        <v>234.99</v>
      </c>
      <c r="D5714">
        <v>1.1386000000000001</v>
      </c>
      <c r="E5714">
        <v>45.46</v>
      </c>
      <c r="F5714">
        <v>230.35</v>
      </c>
      <c r="K5714" s="3"/>
      <c r="O5714" s="3"/>
    </row>
    <row r="5715" spans="1:15">
      <c r="A5715" s="3">
        <v>42239</v>
      </c>
      <c r="B5715" s="3">
        <v>42239</v>
      </c>
      <c r="C5715">
        <v>234.99</v>
      </c>
      <c r="D5715">
        <v>1.1386000000000001</v>
      </c>
      <c r="E5715">
        <v>45.46</v>
      </c>
      <c r="F5715">
        <v>230.35</v>
      </c>
      <c r="K5715" s="3"/>
      <c r="O5715" s="3"/>
    </row>
    <row r="5716" spans="1:15">
      <c r="A5716" s="3">
        <v>42240</v>
      </c>
      <c r="B5716" s="3">
        <v>42240</v>
      </c>
      <c r="C5716">
        <v>227.35</v>
      </c>
      <c r="D5716">
        <v>1.1618999999999999</v>
      </c>
      <c r="E5716">
        <v>42.69</v>
      </c>
      <c r="F5716">
        <v>225.9</v>
      </c>
      <c r="K5716" s="3"/>
      <c r="O5716" s="3"/>
    </row>
    <row r="5717" spans="1:15">
      <c r="A5717" s="3">
        <v>42241</v>
      </c>
      <c r="B5717" s="3">
        <v>42241</v>
      </c>
      <c r="C5717">
        <v>238.38</v>
      </c>
      <c r="D5717">
        <v>1.1516999999999999</v>
      </c>
      <c r="E5717">
        <v>43.21</v>
      </c>
      <c r="F5717">
        <v>231.35</v>
      </c>
      <c r="K5717" s="3"/>
      <c r="O5717" s="3"/>
    </row>
    <row r="5718" spans="1:15">
      <c r="A5718" s="3">
        <v>42242</v>
      </c>
      <c r="B5718" s="3">
        <v>42242</v>
      </c>
      <c r="C5718">
        <v>243.5</v>
      </c>
      <c r="D5718">
        <v>1.1314</v>
      </c>
      <c r="E5718">
        <v>43.14</v>
      </c>
      <c r="F5718">
        <v>224.8</v>
      </c>
      <c r="K5718" s="3"/>
      <c r="O5718" s="3"/>
    </row>
    <row r="5719" spans="1:15">
      <c r="A5719" s="3">
        <v>42243</v>
      </c>
      <c r="B5719" s="3">
        <v>42243</v>
      </c>
      <c r="C5719">
        <v>240.98</v>
      </c>
      <c r="D5719">
        <v>1.1246</v>
      </c>
      <c r="E5719">
        <v>47.56</v>
      </c>
      <c r="F5719">
        <v>233.4</v>
      </c>
      <c r="K5719" s="3"/>
      <c r="O5719" s="3"/>
    </row>
    <row r="5720" spans="1:15">
      <c r="A5720" s="3">
        <v>42244</v>
      </c>
      <c r="B5720" s="3">
        <v>42244</v>
      </c>
      <c r="C5720">
        <v>240.52</v>
      </c>
      <c r="D5720">
        <v>1.1185</v>
      </c>
      <c r="E5720">
        <v>50.05</v>
      </c>
      <c r="F5720">
        <v>234.65</v>
      </c>
      <c r="K5720" s="3"/>
      <c r="O5720" s="3"/>
    </row>
    <row r="5721" spans="1:15">
      <c r="A5721" s="3">
        <v>42245</v>
      </c>
      <c r="B5721" s="3">
        <v>42245</v>
      </c>
      <c r="C5721">
        <v>240.52</v>
      </c>
      <c r="D5721">
        <v>1.1185</v>
      </c>
      <c r="E5721">
        <v>50.05</v>
      </c>
      <c r="F5721">
        <v>234.65</v>
      </c>
      <c r="K5721" s="3"/>
      <c r="O5721" s="3"/>
    </row>
    <row r="5722" spans="1:15">
      <c r="A5722" s="3">
        <v>42246</v>
      </c>
      <c r="B5722" s="3">
        <v>42246</v>
      </c>
      <c r="C5722">
        <v>240.52</v>
      </c>
      <c r="D5722">
        <v>1.1185</v>
      </c>
      <c r="E5722">
        <v>50.05</v>
      </c>
      <c r="F5722">
        <v>234.65</v>
      </c>
      <c r="K5722" s="3"/>
      <c r="O5722" s="3"/>
    </row>
    <row r="5723" spans="1:15">
      <c r="A5723" s="3">
        <v>42247</v>
      </c>
      <c r="B5723" s="3">
        <v>42247</v>
      </c>
      <c r="C5723">
        <v>240.52</v>
      </c>
      <c r="D5723">
        <v>1.1211</v>
      </c>
      <c r="E5723">
        <v>54.15</v>
      </c>
      <c r="F5723">
        <v>233.8</v>
      </c>
      <c r="K5723" s="3"/>
      <c r="O5723" s="3"/>
    </row>
    <row r="5724" spans="1:15">
      <c r="A5724" s="3">
        <v>42248</v>
      </c>
      <c r="B5724" s="3">
        <v>42248</v>
      </c>
      <c r="C5724">
        <v>239.48</v>
      </c>
      <c r="D5724">
        <v>1.1315</v>
      </c>
      <c r="E5724">
        <v>49.56</v>
      </c>
      <c r="F5724">
        <v>230.25</v>
      </c>
      <c r="K5724" s="3"/>
      <c r="O5724" s="3"/>
    </row>
    <row r="5725" spans="1:15">
      <c r="A5725" s="3">
        <v>42249</v>
      </c>
      <c r="B5725" s="3">
        <v>42249</v>
      </c>
      <c r="C5725">
        <v>240.53</v>
      </c>
      <c r="D5725">
        <v>1.1227</v>
      </c>
      <c r="E5725">
        <v>50.5</v>
      </c>
      <c r="F5725">
        <v>233.3</v>
      </c>
      <c r="K5725" s="3"/>
      <c r="O5725" s="3"/>
    </row>
    <row r="5726" spans="1:15">
      <c r="A5726" s="3">
        <v>42250</v>
      </c>
      <c r="B5726" s="3">
        <v>42250</v>
      </c>
      <c r="C5726">
        <v>239.85</v>
      </c>
      <c r="D5726">
        <v>1.1123000000000001</v>
      </c>
      <c r="E5726">
        <v>50.68</v>
      </c>
      <c r="F5726">
        <v>239</v>
      </c>
      <c r="K5726" s="3"/>
      <c r="O5726" s="3"/>
    </row>
    <row r="5727" spans="1:15">
      <c r="A5727" s="3">
        <v>42251</v>
      </c>
      <c r="B5727" s="3">
        <v>42251</v>
      </c>
      <c r="C5727">
        <v>241.07</v>
      </c>
      <c r="D5727">
        <v>1.1149</v>
      </c>
      <c r="E5727">
        <v>49.61</v>
      </c>
      <c r="F5727">
        <v>231.95</v>
      </c>
      <c r="K5727" s="3"/>
      <c r="O5727" s="3"/>
    </row>
    <row r="5728" spans="1:15">
      <c r="A5728" s="3">
        <v>42252</v>
      </c>
      <c r="B5728" s="3">
        <v>42252</v>
      </c>
      <c r="C5728">
        <v>241.07</v>
      </c>
      <c r="D5728">
        <v>1.1149</v>
      </c>
      <c r="E5728">
        <v>49.61</v>
      </c>
      <c r="F5728">
        <v>231.95</v>
      </c>
      <c r="K5728" s="3"/>
      <c r="O5728" s="3"/>
    </row>
    <row r="5729" spans="1:15">
      <c r="A5729" s="3">
        <v>42253</v>
      </c>
      <c r="B5729" s="3">
        <v>42253</v>
      </c>
      <c r="C5729">
        <v>241.07</v>
      </c>
      <c r="D5729">
        <v>1.1149</v>
      </c>
      <c r="E5729">
        <v>49.61</v>
      </c>
      <c r="F5729">
        <v>231.95</v>
      </c>
      <c r="K5729" s="3"/>
      <c r="O5729" s="3"/>
    </row>
    <row r="5730" spans="1:15">
      <c r="A5730" s="3">
        <v>42254</v>
      </c>
      <c r="B5730" s="3">
        <v>42254</v>
      </c>
      <c r="C5730">
        <v>243.16</v>
      </c>
      <c r="D5730">
        <v>1.117</v>
      </c>
      <c r="E5730">
        <v>47.63</v>
      </c>
      <c r="F5730">
        <v>231.95</v>
      </c>
      <c r="K5730" s="3"/>
      <c r="O5730" s="3"/>
    </row>
    <row r="5731" spans="1:15">
      <c r="A5731" s="3">
        <v>42255</v>
      </c>
      <c r="B5731" s="3">
        <v>42255</v>
      </c>
      <c r="C5731">
        <v>244.45</v>
      </c>
      <c r="D5731">
        <v>1.1203000000000001</v>
      </c>
      <c r="E5731">
        <v>49.52</v>
      </c>
      <c r="F5731">
        <v>243.85</v>
      </c>
      <c r="K5731" s="3"/>
      <c r="O5731" s="3"/>
    </row>
    <row r="5732" spans="1:15">
      <c r="A5732" s="3">
        <v>42256</v>
      </c>
      <c r="B5732" s="3">
        <v>42256</v>
      </c>
      <c r="C5732">
        <v>250.05</v>
      </c>
      <c r="D5732">
        <v>1.1207</v>
      </c>
      <c r="E5732">
        <v>47.58</v>
      </c>
      <c r="F5732">
        <v>244.25</v>
      </c>
      <c r="K5732" s="3"/>
      <c r="O5732" s="3"/>
    </row>
    <row r="5733" spans="1:15">
      <c r="A5733" s="3">
        <v>42257</v>
      </c>
      <c r="B5733" s="3">
        <v>42257</v>
      </c>
      <c r="C5733">
        <v>251.68</v>
      </c>
      <c r="D5733">
        <v>1.1279999999999999</v>
      </c>
      <c r="E5733">
        <v>48.89</v>
      </c>
      <c r="F5733">
        <v>245.45</v>
      </c>
      <c r="K5733" s="3"/>
      <c r="O5733" s="3"/>
    </row>
    <row r="5734" spans="1:15">
      <c r="A5734" s="3">
        <v>42258</v>
      </c>
      <c r="B5734" s="3">
        <v>42258</v>
      </c>
      <c r="C5734">
        <v>263.07</v>
      </c>
      <c r="D5734">
        <v>1.1337999999999999</v>
      </c>
      <c r="E5734">
        <v>48.14</v>
      </c>
      <c r="F5734">
        <v>246.2</v>
      </c>
      <c r="K5734" s="3"/>
      <c r="O5734" s="3"/>
    </row>
    <row r="5735" spans="1:15">
      <c r="A5735" s="3">
        <v>42259</v>
      </c>
      <c r="B5735" s="3">
        <v>42259</v>
      </c>
      <c r="C5735">
        <v>263.07</v>
      </c>
      <c r="D5735">
        <v>1.1337999999999999</v>
      </c>
      <c r="E5735">
        <v>48.14</v>
      </c>
      <c r="F5735">
        <v>246.2</v>
      </c>
      <c r="K5735" s="3"/>
      <c r="O5735" s="3"/>
    </row>
    <row r="5736" spans="1:15">
      <c r="A5736" s="3">
        <v>42260</v>
      </c>
      <c r="B5736" s="3">
        <v>42260</v>
      </c>
      <c r="C5736">
        <v>263.07</v>
      </c>
      <c r="D5736">
        <v>1.1337999999999999</v>
      </c>
      <c r="E5736">
        <v>48.14</v>
      </c>
      <c r="F5736">
        <v>246.2</v>
      </c>
      <c r="K5736" s="3"/>
      <c r="O5736" s="3"/>
    </row>
    <row r="5737" spans="1:15">
      <c r="A5737" s="3">
        <v>42261</v>
      </c>
      <c r="B5737" s="3">
        <v>42261</v>
      </c>
      <c r="C5737">
        <v>279.02</v>
      </c>
      <c r="D5737">
        <v>1.1316999999999999</v>
      </c>
      <c r="E5737">
        <v>46.37</v>
      </c>
      <c r="F5737">
        <v>241.4</v>
      </c>
      <c r="K5737" s="3"/>
      <c r="O5737" s="3"/>
    </row>
    <row r="5738" spans="1:15">
      <c r="A5738" s="3">
        <v>42262</v>
      </c>
      <c r="B5738" s="3">
        <v>42262</v>
      </c>
      <c r="C5738">
        <v>281.54000000000002</v>
      </c>
      <c r="D5738">
        <v>1.1269</v>
      </c>
      <c r="E5738">
        <v>46.63</v>
      </c>
      <c r="F5738">
        <v>243.6</v>
      </c>
      <c r="K5738" s="3"/>
      <c r="O5738" s="3"/>
    </row>
    <row r="5739" spans="1:15">
      <c r="A5739" s="3">
        <v>42263</v>
      </c>
      <c r="B5739" s="3">
        <v>42263</v>
      </c>
      <c r="C5739">
        <v>285.02</v>
      </c>
      <c r="D5739">
        <v>1.129</v>
      </c>
      <c r="E5739">
        <v>49.75</v>
      </c>
      <c r="F5739">
        <v>246.15</v>
      </c>
      <c r="K5739" s="3"/>
      <c r="O5739" s="3"/>
    </row>
    <row r="5740" spans="1:15">
      <c r="A5740" s="3">
        <v>42264</v>
      </c>
      <c r="B5740" s="3">
        <v>42264</v>
      </c>
      <c r="C5740">
        <v>271.89999999999998</v>
      </c>
      <c r="D5740">
        <v>1.1435</v>
      </c>
      <c r="E5740">
        <v>49.08</v>
      </c>
      <c r="F5740">
        <v>246.15</v>
      </c>
      <c r="K5740" s="3"/>
      <c r="O5740" s="3"/>
    </row>
    <row r="5741" spans="1:15">
      <c r="A5741" s="3">
        <v>42265</v>
      </c>
      <c r="B5741" s="3">
        <v>42265</v>
      </c>
      <c r="C5741">
        <v>279.04000000000002</v>
      </c>
      <c r="D5741">
        <v>1.1297999999999999</v>
      </c>
      <c r="E5741">
        <v>47.47</v>
      </c>
      <c r="F5741">
        <v>239.7</v>
      </c>
      <c r="K5741" s="3"/>
      <c r="O5741" s="3"/>
    </row>
    <row r="5742" spans="1:15">
      <c r="A5742" s="3">
        <v>42266</v>
      </c>
      <c r="B5742" s="3">
        <v>42266</v>
      </c>
      <c r="C5742">
        <v>279.04000000000002</v>
      </c>
      <c r="D5742">
        <v>1.1297999999999999</v>
      </c>
      <c r="E5742">
        <v>47.47</v>
      </c>
      <c r="F5742">
        <v>239.7</v>
      </c>
      <c r="K5742" s="3"/>
      <c r="O5742" s="3"/>
    </row>
    <row r="5743" spans="1:15">
      <c r="A5743" s="3">
        <v>42267</v>
      </c>
      <c r="B5743" s="3">
        <v>42267</v>
      </c>
      <c r="C5743">
        <v>279.04000000000002</v>
      </c>
      <c r="D5743">
        <v>1.1297999999999999</v>
      </c>
      <c r="E5743">
        <v>47.47</v>
      </c>
      <c r="F5743">
        <v>239.7</v>
      </c>
      <c r="K5743" s="3"/>
      <c r="O5743" s="3"/>
    </row>
    <row r="5744" spans="1:15">
      <c r="A5744" s="3">
        <v>42268</v>
      </c>
      <c r="B5744" s="3">
        <v>42268</v>
      </c>
      <c r="C5744">
        <v>270.2</v>
      </c>
      <c r="D5744">
        <v>1.119</v>
      </c>
      <c r="E5744">
        <v>48.92</v>
      </c>
      <c r="F5744">
        <v>239.85</v>
      </c>
      <c r="K5744" s="3"/>
      <c r="O5744" s="3"/>
    </row>
    <row r="5745" spans="1:15">
      <c r="A5745" s="3">
        <v>42269</v>
      </c>
      <c r="B5745" s="3">
        <v>42269</v>
      </c>
      <c r="C5745">
        <v>260.18</v>
      </c>
      <c r="D5745">
        <v>1.1120000000000001</v>
      </c>
      <c r="E5745">
        <v>49.08</v>
      </c>
      <c r="F5745">
        <v>230.7</v>
      </c>
      <c r="K5745" s="3"/>
      <c r="O5745" s="3"/>
    </row>
    <row r="5746" spans="1:15">
      <c r="A5746" s="3">
        <v>42270</v>
      </c>
      <c r="B5746" s="3">
        <v>42270</v>
      </c>
      <c r="C5746">
        <v>269.69</v>
      </c>
      <c r="D5746">
        <v>1.1186</v>
      </c>
      <c r="E5746">
        <v>47.75</v>
      </c>
      <c r="F5746">
        <v>230.55</v>
      </c>
      <c r="K5746" s="3"/>
      <c r="O5746" s="3"/>
    </row>
    <row r="5747" spans="1:15">
      <c r="A5747" s="3">
        <v>42271</v>
      </c>
      <c r="B5747" s="3">
        <v>42271</v>
      </c>
      <c r="C5747">
        <v>269.52</v>
      </c>
      <c r="D5747">
        <v>1.123</v>
      </c>
      <c r="E5747">
        <v>48.17</v>
      </c>
      <c r="F5747">
        <v>231.2</v>
      </c>
      <c r="K5747" s="3"/>
      <c r="O5747" s="3"/>
    </row>
    <row r="5748" spans="1:15">
      <c r="A5748" s="3">
        <v>42272</v>
      </c>
      <c r="B5748" s="3">
        <v>42272</v>
      </c>
      <c r="C5748">
        <v>270.05</v>
      </c>
      <c r="D5748">
        <v>1.1194999999999999</v>
      </c>
      <c r="E5748">
        <v>48.6</v>
      </c>
      <c r="F5748">
        <v>229.15</v>
      </c>
      <c r="K5748" s="3"/>
      <c r="O5748" s="3"/>
    </row>
    <row r="5749" spans="1:15">
      <c r="A5749" s="3">
        <v>42273</v>
      </c>
      <c r="B5749" s="3">
        <v>42273</v>
      </c>
      <c r="C5749">
        <v>270.05</v>
      </c>
      <c r="D5749">
        <v>1.1194999999999999</v>
      </c>
      <c r="E5749">
        <v>48.6</v>
      </c>
      <c r="F5749">
        <v>229.15</v>
      </c>
      <c r="K5749" s="3"/>
      <c r="O5749" s="3"/>
    </row>
    <row r="5750" spans="1:15">
      <c r="A5750" s="3">
        <v>42274</v>
      </c>
      <c r="B5750" s="3">
        <v>42274</v>
      </c>
      <c r="C5750">
        <v>270.05</v>
      </c>
      <c r="D5750">
        <v>1.1194999999999999</v>
      </c>
      <c r="E5750">
        <v>48.6</v>
      </c>
      <c r="F5750">
        <v>229.15</v>
      </c>
      <c r="K5750" s="3"/>
      <c r="O5750" s="3"/>
    </row>
    <row r="5751" spans="1:15">
      <c r="A5751" s="3">
        <v>42275</v>
      </c>
      <c r="B5751" s="3">
        <v>42275</v>
      </c>
      <c r="C5751">
        <v>270</v>
      </c>
      <c r="D5751">
        <v>1.1244000000000001</v>
      </c>
      <c r="E5751">
        <v>47.34</v>
      </c>
      <c r="F5751">
        <v>225.6</v>
      </c>
      <c r="K5751" s="3"/>
      <c r="O5751" s="3"/>
    </row>
    <row r="5752" spans="1:15">
      <c r="A5752" s="3">
        <v>42276</v>
      </c>
      <c r="B5752" s="3">
        <v>42276</v>
      </c>
      <c r="C5752">
        <v>271.97000000000003</v>
      </c>
      <c r="D5752">
        <v>1.1249</v>
      </c>
      <c r="E5752">
        <v>48.23</v>
      </c>
      <c r="F5752">
        <v>225.15</v>
      </c>
      <c r="K5752" s="3"/>
      <c r="O5752" s="3"/>
    </row>
    <row r="5753" spans="1:15">
      <c r="A5753" s="3">
        <v>42277</v>
      </c>
      <c r="B5753" s="3">
        <v>42277</v>
      </c>
      <c r="C5753">
        <v>272</v>
      </c>
      <c r="D5753">
        <v>1.1176999999999999</v>
      </c>
      <c r="E5753">
        <v>48.37</v>
      </c>
      <c r="F5753">
        <v>234.1</v>
      </c>
      <c r="K5753" s="3"/>
      <c r="O5753" s="3"/>
    </row>
    <row r="5754" spans="1:15">
      <c r="A5754" s="3">
        <v>42278</v>
      </c>
      <c r="B5754" s="3">
        <v>42278</v>
      </c>
      <c r="C5754">
        <v>271.27999999999997</v>
      </c>
      <c r="D5754">
        <v>1.1194999999999999</v>
      </c>
      <c r="E5754">
        <v>47.69</v>
      </c>
      <c r="F5754">
        <v>230.45</v>
      </c>
      <c r="K5754" s="3"/>
      <c r="O5754" s="3"/>
    </row>
    <row r="5755" spans="1:15">
      <c r="A5755" s="3">
        <v>42279</v>
      </c>
      <c r="B5755" s="3">
        <v>42279</v>
      </c>
      <c r="C5755">
        <v>271.72000000000003</v>
      </c>
      <c r="D5755">
        <v>1.1215999999999999</v>
      </c>
      <c r="E5755">
        <v>48.13</v>
      </c>
      <c r="F5755">
        <v>232.55</v>
      </c>
      <c r="K5755" s="3"/>
      <c r="O5755" s="3"/>
    </row>
    <row r="5756" spans="1:15">
      <c r="A5756" s="3">
        <v>42280</v>
      </c>
      <c r="B5756" s="3">
        <v>42280</v>
      </c>
      <c r="C5756">
        <v>271.72000000000003</v>
      </c>
      <c r="D5756">
        <v>1.1215999999999999</v>
      </c>
      <c r="E5756">
        <v>48.13</v>
      </c>
      <c r="F5756">
        <v>232.55</v>
      </c>
      <c r="K5756" s="3"/>
      <c r="O5756" s="3"/>
    </row>
    <row r="5757" spans="1:15">
      <c r="A5757" s="3">
        <v>42281</v>
      </c>
      <c r="B5757" s="3">
        <v>42281</v>
      </c>
      <c r="C5757">
        <v>271.72000000000003</v>
      </c>
      <c r="D5757">
        <v>1.1215999999999999</v>
      </c>
      <c r="E5757">
        <v>48.13</v>
      </c>
      <c r="F5757">
        <v>232.55</v>
      </c>
      <c r="K5757" s="3"/>
      <c r="O5757" s="3"/>
    </row>
    <row r="5758" spans="1:15">
      <c r="A5758" s="3">
        <v>42282</v>
      </c>
      <c r="B5758" s="3">
        <v>42282</v>
      </c>
      <c r="C5758">
        <v>271.64999999999998</v>
      </c>
      <c r="D5758">
        <v>1.1188</v>
      </c>
      <c r="E5758">
        <v>49.25</v>
      </c>
      <c r="F5758">
        <v>235.55</v>
      </c>
      <c r="K5758" s="3"/>
      <c r="O5758" s="3"/>
    </row>
    <row r="5759" spans="1:15">
      <c r="A5759" s="3">
        <v>42283</v>
      </c>
      <c r="B5759" s="3">
        <v>42283</v>
      </c>
      <c r="C5759">
        <v>272.95999999999998</v>
      </c>
      <c r="D5759">
        <v>1.1272</v>
      </c>
      <c r="E5759">
        <v>51.92</v>
      </c>
      <c r="F5759">
        <v>235.5</v>
      </c>
      <c r="K5759" s="3"/>
      <c r="O5759" s="3"/>
    </row>
    <row r="5760" spans="1:15">
      <c r="A5760" s="3">
        <v>42284</v>
      </c>
      <c r="B5760" s="3">
        <v>42284</v>
      </c>
      <c r="C5760">
        <v>274.35000000000002</v>
      </c>
      <c r="D5760">
        <v>1.1236999999999999</v>
      </c>
      <c r="E5760">
        <v>51.33</v>
      </c>
      <c r="F5760">
        <v>236.7</v>
      </c>
      <c r="K5760" s="3"/>
      <c r="O5760" s="3"/>
    </row>
    <row r="5761" spans="1:15">
      <c r="A5761" s="3">
        <v>42285</v>
      </c>
      <c r="B5761" s="3">
        <v>42285</v>
      </c>
      <c r="C5761">
        <v>273.88</v>
      </c>
      <c r="D5761">
        <v>1.1275999999999999</v>
      </c>
      <c r="E5761">
        <v>53.05</v>
      </c>
      <c r="F5761">
        <v>234.3</v>
      </c>
      <c r="K5761" s="3"/>
      <c r="O5761" s="3"/>
    </row>
    <row r="5762" spans="1:15">
      <c r="A5762" s="3">
        <v>42286</v>
      </c>
      <c r="B5762" s="3">
        <v>42286</v>
      </c>
      <c r="C5762">
        <v>274.45</v>
      </c>
      <c r="D5762">
        <v>1.1357999999999999</v>
      </c>
      <c r="E5762">
        <v>52.65</v>
      </c>
      <c r="F5762">
        <v>241.4</v>
      </c>
      <c r="K5762" s="3"/>
      <c r="O5762" s="3"/>
    </row>
    <row r="5763" spans="1:15">
      <c r="A5763" s="3">
        <v>42287</v>
      </c>
      <c r="B5763" s="3">
        <v>42287</v>
      </c>
      <c r="C5763">
        <v>274.45</v>
      </c>
      <c r="D5763">
        <v>1.1357999999999999</v>
      </c>
      <c r="E5763">
        <v>52.65</v>
      </c>
      <c r="F5763">
        <v>241.4</v>
      </c>
      <c r="K5763" s="3"/>
      <c r="O5763" s="3"/>
    </row>
    <row r="5764" spans="1:15">
      <c r="A5764" s="3">
        <v>42288</v>
      </c>
      <c r="B5764" s="3">
        <v>42288</v>
      </c>
      <c r="C5764">
        <v>274.45</v>
      </c>
      <c r="D5764">
        <v>1.1357999999999999</v>
      </c>
      <c r="E5764">
        <v>52.65</v>
      </c>
      <c r="F5764">
        <v>241.4</v>
      </c>
      <c r="K5764" s="3"/>
      <c r="O5764" s="3"/>
    </row>
    <row r="5765" spans="1:15">
      <c r="A5765" s="3">
        <v>42289</v>
      </c>
      <c r="B5765" s="3">
        <v>42289</v>
      </c>
      <c r="C5765">
        <v>275.14999999999998</v>
      </c>
      <c r="D5765">
        <v>1.1357999999999999</v>
      </c>
      <c r="E5765">
        <v>49.86</v>
      </c>
      <c r="F5765">
        <v>241.55</v>
      </c>
      <c r="K5765" s="3"/>
      <c r="O5765" s="3"/>
    </row>
    <row r="5766" spans="1:15">
      <c r="A5766" s="3">
        <v>42290</v>
      </c>
      <c r="B5766" s="3">
        <v>42290</v>
      </c>
      <c r="C5766">
        <v>275.64999999999998</v>
      </c>
      <c r="D5766">
        <v>1.1378999999999999</v>
      </c>
      <c r="E5766">
        <v>49.24</v>
      </c>
      <c r="F5766">
        <v>238.75</v>
      </c>
      <c r="K5766" s="3"/>
      <c r="O5766" s="3"/>
    </row>
    <row r="5767" spans="1:15">
      <c r="A5767" s="3">
        <v>42291</v>
      </c>
      <c r="B5767" s="3">
        <v>42291</v>
      </c>
      <c r="C5767">
        <v>276.5</v>
      </c>
      <c r="D5767">
        <v>1.1474</v>
      </c>
      <c r="E5767">
        <v>49.15</v>
      </c>
      <c r="F5767">
        <v>241.55</v>
      </c>
      <c r="K5767" s="3"/>
      <c r="O5767" s="3"/>
    </row>
    <row r="5768" spans="1:15">
      <c r="A5768" s="3">
        <v>42292</v>
      </c>
      <c r="B5768" s="3">
        <v>42292</v>
      </c>
      <c r="C5768">
        <v>276.33999999999997</v>
      </c>
      <c r="D5768">
        <v>1.1386000000000001</v>
      </c>
      <c r="E5768">
        <v>48.71</v>
      </c>
      <c r="F5768">
        <v>242.3</v>
      </c>
      <c r="K5768" s="3"/>
      <c r="O5768" s="3"/>
    </row>
    <row r="5769" spans="1:15">
      <c r="A5769" s="3">
        <v>42293</v>
      </c>
      <c r="B5769" s="3">
        <v>42293</v>
      </c>
      <c r="C5769">
        <v>276.77</v>
      </c>
      <c r="D5769">
        <v>1.1348</v>
      </c>
      <c r="E5769">
        <v>50.46</v>
      </c>
      <c r="F5769">
        <v>240.35</v>
      </c>
      <c r="K5769" s="3"/>
      <c r="O5769" s="3"/>
    </row>
    <row r="5770" spans="1:15">
      <c r="A5770" s="3">
        <v>42294</v>
      </c>
      <c r="B5770" s="3">
        <v>42294</v>
      </c>
      <c r="C5770">
        <v>276.77</v>
      </c>
      <c r="D5770">
        <v>1.1348</v>
      </c>
      <c r="E5770">
        <v>50.46</v>
      </c>
      <c r="F5770">
        <v>240.35</v>
      </c>
      <c r="K5770" s="3"/>
      <c r="O5770" s="3"/>
    </row>
    <row r="5771" spans="1:15">
      <c r="A5771" s="3">
        <v>42295</v>
      </c>
      <c r="B5771" s="3">
        <v>42295</v>
      </c>
      <c r="C5771">
        <v>276.77</v>
      </c>
      <c r="D5771">
        <v>1.1348</v>
      </c>
      <c r="E5771">
        <v>50.46</v>
      </c>
      <c r="F5771">
        <v>240.35</v>
      </c>
      <c r="K5771" s="3"/>
      <c r="O5771" s="3"/>
    </row>
    <row r="5772" spans="1:15">
      <c r="A5772" s="3">
        <v>42296</v>
      </c>
      <c r="B5772" s="3">
        <v>42296</v>
      </c>
      <c r="C5772">
        <v>276.95</v>
      </c>
      <c r="D5772">
        <v>1.1327</v>
      </c>
      <c r="E5772">
        <v>48.61</v>
      </c>
      <c r="F5772">
        <v>236.75</v>
      </c>
      <c r="K5772" s="3"/>
      <c r="O5772" s="3"/>
    </row>
    <row r="5773" spans="1:15">
      <c r="A5773" s="3">
        <v>42297</v>
      </c>
      <c r="B5773" s="3">
        <v>42297</v>
      </c>
      <c r="C5773">
        <v>277.83</v>
      </c>
      <c r="D5773">
        <v>1.1346000000000001</v>
      </c>
      <c r="E5773">
        <v>48.71</v>
      </c>
      <c r="F5773">
        <v>236.55</v>
      </c>
      <c r="K5773" s="3"/>
      <c r="O5773" s="3"/>
    </row>
    <row r="5774" spans="1:15">
      <c r="A5774" s="3">
        <v>42298</v>
      </c>
      <c r="B5774" s="3">
        <v>42298</v>
      </c>
      <c r="C5774">
        <v>277.88</v>
      </c>
      <c r="D5774">
        <v>1.1338999999999999</v>
      </c>
      <c r="E5774">
        <v>47.85</v>
      </c>
      <c r="F5774">
        <v>236.05</v>
      </c>
      <c r="K5774" s="3"/>
      <c r="O5774" s="3"/>
    </row>
    <row r="5775" spans="1:15">
      <c r="A5775" s="3">
        <v>42299</v>
      </c>
      <c r="B5775" s="3">
        <v>42299</v>
      </c>
      <c r="C5775">
        <v>278.29000000000002</v>
      </c>
      <c r="D5775">
        <v>1.1109</v>
      </c>
      <c r="E5775">
        <v>48.08</v>
      </c>
      <c r="F5775">
        <v>238.35</v>
      </c>
      <c r="K5775" s="3"/>
      <c r="O5775" s="3"/>
    </row>
    <row r="5776" spans="1:15">
      <c r="A5776" s="3">
        <v>42300</v>
      </c>
      <c r="B5776" s="3">
        <v>42300</v>
      </c>
      <c r="C5776">
        <v>277.7</v>
      </c>
      <c r="D5776">
        <v>1.1017999999999999</v>
      </c>
      <c r="E5776">
        <v>47.99</v>
      </c>
      <c r="F5776">
        <v>235</v>
      </c>
      <c r="K5776" s="3"/>
      <c r="O5776" s="3"/>
    </row>
    <row r="5777" spans="1:15">
      <c r="A5777" s="3">
        <v>42301</v>
      </c>
      <c r="B5777" s="3">
        <v>42301</v>
      </c>
      <c r="C5777">
        <v>277.7</v>
      </c>
      <c r="D5777">
        <v>1.1017999999999999</v>
      </c>
      <c r="E5777">
        <v>47.99</v>
      </c>
      <c r="F5777">
        <v>235</v>
      </c>
      <c r="K5777" s="3"/>
      <c r="O5777" s="3"/>
    </row>
    <row r="5778" spans="1:15">
      <c r="A5778" s="3">
        <v>42302</v>
      </c>
      <c r="B5778" s="3">
        <v>42302</v>
      </c>
      <c r="C5778">
        <v>277.7</v>
      </c>
      <c r="D5778">
        <v>1.1017999999999999</v>
      </c>
      <c r="E5778">
        <v>47.99</v>
      </c>
      <c r="F5778">
        <v>235</v>
      </c>
      <c r="K5778" s="3"/>
      <c r="O5778" s="3"/>
    </row>
    <row r="5779" spans="1:15">
      <c r="A5779" s="3">
        <v>42303</v>
      </c>
      <c r="B5779" s="3">
        <v>42303</v>
      </c>
      <c r="C5779">
        <v>279.3</v>
      </c>
      <c r="D5779">
        <v>1.1057999999999999</v>
      </c>
      <c r="E5779">
        <v>47.54</v>
      </c>
      <c r="F5779">
        <v>235.7</v>
      </c>
      <c r="K5779" s="3"/>
      <c r="O5779" s="3"/>
    </row>
    <row r="5780" spans="1:15">
      <c r="A5780" s="3">
        <v>42304</v>
      </c>
      <c r="B5780" s="3">
        <v>42304</v>
      </c>
      <c r="C5780">
        <v>279.55</v>
      </c>
      <c r="D5780">
        <v>1.1051</v>
      </c>
      <c r="E5780">
        <v>46.81</v>
      </c>
      <c r="F5780">
        <v>236.2</v>
      </c>
      <c r="K5780" s="3"/>
      <c r="O5780" s="3"/>
    </row>
    <row r="5781" spans="1:15">
      <c r="A5781" s="3">
        <v>42305</v>
      </c>
      <c r="B5781" s="3">
        <v>42305</v>
      </c>
      <c r="C5781">
        <v>279.2</v>
      </c>
      <c r="D5781">
        <v>1.0923</v>
      </c>
      <c r="E5781">
        <v>49.05</v>
      </c>
      <c r="F5781">
        <v>236.25</v>
      </c>
      <c r="K5781" s="3"/>
      <c r="O5781" s="3"/>
    </row>
    <row r="5782" spans="1:15">
      <c r="A5782" s="3">
        <v>42306</v>
      </c>
      <c r="B5782" s="3">
        <v>42306</v>
      </c>
      <c r="C5782">
        <v>278.73</v>
      </c>
      <c r="D5782">
        <v>1.0976999999999999</v>
      </c>
      <c r="E5782">
        <v>48.8</v>
      </c>
      <c r="F5782">
        <v>232.1</v>
      </c>
      <c r="K5782" s="3"/>
      <c r="O5782" s="3"/>
    </row>
    <row r="5783" spans="1:15">
      <c r="A5783" s="3">
        <v>42307</v>
      </c>
      <c r="B5783" s="3">
        <v>42307</v>
      </c>
      <c r="C5783">
        <v>280.08</v>
      </c>
      <c r="D5783">
        <v>1.1006</v>
      </c>
      <c r="E5783">
        <v>49.56</v>
      </c>
      <c r="F5783">
        <v>231.75</v>
      </c>
      <c r="K5783" s="3"/>
      <c r="O5783" s="3"/>
    </row>
    <row r="5784" spans="1:15">
      <c r="A5784" s="3">
        <v>42308</v>
      </c>
      <c r="B5784" s="3">
        <v>42308</v>
      </c>
      <c r="C5784">
        <v>280.08</v>
      </c>
      <c r="D5784">
        <v>1.1006</v>
      </c>
      <c r="E5784">
        <v>49.56</v>
      </c>
      <c r="F5784">
        <v>231.75</v>
      </c>
      <c r="K5784" s="3"/>
      <c r="O5784" s="3"/>
    </row>
    <row r="5785" spans="1:15">
      <c r="A5785" s="3">
        <v>42309</v>
      </c>
      <c r="B5785" s="3">
        <v>42309</v>
      </c>
      <c r="C5785">
        <v>280.08</v>
      </c>
      <c r="D5785">
        <v>1.1006</v>
      </c>
      <c r="E5785">
        <v>49.56</v>
      </c>
      <c r="F5785">
        <v>231.75</v>
      </c>
      <c r="K5785" s="3"/>
      <c r="O5785" s="3"/>
    </row>
    <row r="5786" spans="1:15">
      <c r="A5786" s="3">
        <v>42310</v>
      </c>
      <c r="B5786" s="3">
        <v>42310</v>
      </c>
      <c r="C5786">
        <v>281.26</v>
      </c>
      <c r="D5786">
        <v>1.1015999999999999</v>
      </c>
      <c r="E5786">
        <v>48.79</v>
      </c>
      <c r="F5786">
        <v>231.9</v>
      </c>
      <c r="K5786" s="3"/>
      <c r="O5786" s="3"/>
    </row>
    <row r="5787" spans="1:15">
      <c r="A5787" s="3">
        <v>42311</v>
      </c>
      <c r="B5787" s="3">
        <v>42311</v>
      </c>
      <c r="C5787">
        <v>283.25</v>
      </c>
      <c r="D5787">
        <v>1.0964</v>
      </c>
      <c r="E5787">
        <v>50.54</v>
      </c>
      <c r="F5787">
        <v>233.05</v>
      </c>
      <c r="K5787" s="3"/>
      <c r="O5787" s="3"/>
    </row>
    <row r="5788" spans="1:15">
      <c r="A5788" s="3">
        <v>42312</v>
      </c>
      <c r="B5788" s="3">
        <v>42312</v>
      </c>
      <c r="C5788">
        <v>287.60000000000002</v>
      </c>
      <c r="D5788">
        <v>1.0866</v>
      </c>
      <c r="E5788">
        <v>48.58</v>
      </c>
      <c r="F5788">
        <v>232.25</v>
      </c>
      <c r="K5788" s="3"/>
      <c r="O5788" s="3"/>
    </row>
    <row r="5789" spans="1:15">
      <c r="A5789" s="3">
        <v>42313</v>
      </c>
      <c r="B5789" s="3">
        <v>42313</v>
      </c>
      <c r="C5789">
        <v>299.5</v>
      </c>
      <c r="D5789">
        <v>1.0884</v>
      </c>
      <c r="E5789">
        <v>47.98</v>
      </c>
      <c r="F5789">
        <v>225.5</v>
      </c>
      <c r="K5789" s="3"/>
      <c r="O5789" s="3"/>
    </row>
    <row r="5790" spans="1:15">
      <c r="A5790" s="3">
        <v>42314</v>
      </c>
      <c r="B5790" s="3">
        <v>42314</v>
      </c>
      <c r="C5790">
        <v>307.5</v>
      </c>
      <c r="D5790">
        <v>1.0741000000000001</v>
      </c>
      <c r="E5790">
        <v>47.42</v>
      </c>
      <c r="F5790">
        <v>224.2</v>
      </c>
      <c r="K5790" s="3"/>
      <c r="O5790" s="3"/>
    </row>
    <row r="5791" spans="1:15">
      <c r="A5791" s="3">
        <v>42315</v>
      </c>
      <c r="B5791" s="3">
        <v>42315</v>
      </c>
      <c r="C5791">
        <v>307.5</v>
      </c>
      <c r="D5791">
        <v>1.0741000000000001</v>
      </c>
      <c r="E5791">
        <v>47.42</v>
      </c>
      <c r="F5791">
        <v>224.2</v>
      </c>
      <c r="K5791" s="3"/>
      <c r="O5791" s="3"/>
    </row>
    <row r="5792" spans="1:15">
      <c r="A5792" s="3">
        <v>42316</v>
      </c>
      <c r="B5792" s="3">
        <v>42316</v>
      </c>
      <c r="C5792">
        <v>307.5</v>
      </c>
      <c r="D5792">
        <v>1.0741000000000001</v>
      </c>
      <c r="E5792">
        <v>47.42</v>
      </c>
      <c r="F5792">
        <v>224.2</v>
      </c>
      <c r="K5792" s="3"/>
      <c r="O5792" s="3"/>
    </row>
    <row r="5793" spans="1:15">
      <c r="A5793" s="3">
        <v>42317</v>
      </c>
      <c r="B5793" s="3">
        <v>42317</v>
      </c>
      <c r="C5793">
        <v>307.7</v>
      </c>
      <c r="D5793">
        <v>1.0751999999999999</v>
      </c>
      <c r="E5793">
        <v>47.19</v>
      </c>
      <c r="F5793">
        <v>223</v>
      </c>
      <c r="K5793" s="3"/>
      <c r="O5793" s="3"/>
    </row>
    <row r="5794" spans="1:15">
      <c r="A5794" s="3">
        <v>42318</v>
      </c>
      <c r="B5794" s="3">
        <v>42318</v>
      </c>
      <c r="C5794">
        <v>306.60000000000002</v>
      </c>
      <c r="D5794">
        <v>1.0724</v>
      </c>
      <c r="E5794">
        <v>47.44</v>
      </c>
      <c r="F5794">
        <v>221.75</v>
      </c>
      <c r="K5794" s="3"/>
      <c r="O5794" s="3"/>
    </row>
    <row r="5795" spans="1:15">
      <c r="A5795" s="3">
        <v>42319</v>
      </c>
      <c r="B5795" s="3">
        <v>42319</v>
      </c>
      <c r="C5795">
        <v>306.7</v>
      </c>
      <c r="D5795">
        <v>1.0743</v>
      </c>
      <c r="E5795">
        <v>45.81</v>
      </c>
      <c r="F5795">
        <v>221.8</v>
      </c>
      <c r="K5795" s="3"/>
      <c r="O5795" s="3"/>
    </row>
    <row r="5796" spans="1:15">
      <c r="A5796" s="3">
        <v>42320</v>
      </c>
      <c r="B5796" s="3">
        <v>42320</v>
      </c>
      <c r="C5796">
        <v>307.02</v>
      </c>
      <c r="D5796">
        <v>1.0813999999999999</v>
      </c>
      <c r="E5796">
        <v>44.06</v>
      </c>
      <c r="F5796">
        <v>217.25</v>
      </c>
      <c r="K5796" s="3"/>
      <c r="O5796" s="3"/>
    </row>
    <row r="5797" spans="1:15">
      <c r="A5797" s="3">
        <v>42321</v>
      </c>
      <c r="B5797" s="3">
        <v>42321</v>
      </c>
      <c r="C5797">
        <v>307.89999999999998</v>
      </c>
      <c r="D5797">
        <v>1.0772999999999999</v>
      </c>
      <c r="E5797">
        <v>43.61</v>
      </c>
      <c r="F5797">
        <v>216.8</v>
      </c>
      <c r="K5797" s="3"/>
      <c r="O5797" s="3"/>
    </row>
    <row r="5798" spans="1:15">
      <c r="A5798" s="3">
        <v>42322</v>
      </c>
      <c r="B5798" s="3">
        <v>42322</v>
      </c>
      <c r="C5798">
        <v>307.89999999999998</v>
      </c>
      <c r="D5798">
        <v>1.0772999999999999</v>
      </c>
      <c r="E5798">
        <v>43.61</v>
      </c>
      <c r="F5798">
        <v>216.8</v>
      </c>
      <c r="K5798" s="3"/>
      <c r="O5798" s="3"/>
    </row>
    <row r="5799" spans="1:15">
      <c r="A5799" s="3">
        <v>42323</v>
      </c>
      <c r="B5799" s="3">
        <v>42323</v>
      </c>
      <c r="C5799">
        <v>307.89999999999998</v>
      </c>
      <c r="D5799">
        <v>1.0772999999999999</v>
      </c>
      <c r="E5799">
        <v>43.61</v>
      </c>
      <c r="F5799">
        <v>216.8</v>
      </c>
      <c r="K5799" s="3"/>
      <c r="O5799" s="3"/>
    </row>
    <row r="5800" spans="1:15">
      <c r="A5800" s="3">
        <v>42324</v>
      </c>
      <c r="B5800" s="3">
        <v>42324</v>
      </c>
      <c r="C5800">
        <v>308</v>
      </c>
      <c r="D5800">
        <v>1.0686</v>
      </c>
      <c r="E5800">
        <v>44.56</v>
      </c>
      <c r="F5800">
        <v>211.55</v>
      </c>
      <c r="K5800" s="3"/>
      <c r="O5800" s="3"/>
    </row>
    <row r="5801" spans="1:15">
      <c r="A5801" s="3">
        <v>42325</v>
      </c>
      <c r="B5801" s="3">
        <v>42325</v>
      </c>
      <c r="C5801">
        <v>307.39999999999998</v>
      </c>
      <c r="D5801">
        <v>1.0642</v>
      </c>
      <c r="E5801">
        <v>43.57</v>
      </c>
      <c r="F5801">
        <v>210.4</v>
      </c>
      <c r="K5801" s="3"/>
      <c r="O5801" s="3"/>
    </row>
    <row r="5802" spans="1:15">
      <c r="A5802" s="3">
        <v>42326</v>
      </c>
      <c r="B5802" s="3">
        <v>42326</v>
      </c>
      <c r="C5802">
        <v>307.39999999999998</v>
      </c>
      <c r="D5802">
        <v>1.0660000000000001</v>
      </c>
      <c r="E5802">
        <v>44.14</v>
      </c>
      <c r="F5802">
        <v>207.8</v>
      </c>
      <c r="K5802" s="3"/>
      <c r="O5802" s="3"/>
    </row>
    <row r="5803" spans="1:15">
      <c r="A5803" s="3">
        <v>42327</v>
      </c>
      <c r="B5803" s="3">
        <v>42327</v>
      </c>
      <c r="C5803">
        <v>307.39999999999998</v>
      </c>
      <c r="D5803">
        <v>1.0733999999999999</v>
      </c>
      <c r="E5803">
        <v>44.18</v>
      </c>
      <c r="F5803">
        <v>207.65</v>
      </c>
      <c r="K5803" s="3"/>
      <c r="O5803" s="3"/>
    </row>
    <row r="5804" spans="1:15">
      <c r="A5804" s="3">
        <v>42328</v>
      </c>
      <c r="B5804" s="3">
        <v>42328</v>
      </c>
      <c r="C5804">
        <v>307.37</v>
      </c>
      <c r="D5804">
        <v>1.0646</v>
      </c>
      <c r="E5804">
        <v>44.66</v>
      </c>
      <c r="F5804">
        <v>205.5</v>
      </c>
      <c r="K5804" s="3"/>
      <c r="O5804" s="3"/>
    </row>
    <row r="5805" spans="1:15">
      <c r="A5805" s="3">
        <v>42329</v>
      </c>
      <c r="B5805" s="3">
        <v>42329</v>
      </c>
      <c r="C5805">
        <v>307.37</v>
      </c>
      <c r="D5805">
        <v>1.0646</v>
      </c>
      <c r="E5805">
        <v>44.66</v>
      </c>
      <c r="F5805">
        <v>205.5</v>
      </c>
      <c r="K5805" s="3"/>
      <c r="O5805" s="3"/>
    </row>
    <row r="5806" spans="1:15">
      <c r="A5806" s="3">
        <v>42330</v>
      </c>
      <c r="B5806" s="3">
        <v>42330</v>
      </c>
      <c r="C5806">
        <v>307.37</v>
      </c>
      <c r="D5806">
        <v>1.0646</v>
      </c>
      <c r="E5806">
        <v>44.66</v>
      </c>
      <c r="F5806">
        <v>205.5</v>
      </c>
      <c r="K5806" s="3"/>
      <c r="O5806" s="3"/>
    </row>
    <row r="5807" spans="1:15">
      <c r="A5807" s="3">
        <v>42331</v>
      </c>
      <c r="B5807" s="3">
        <v>42331</v>
      </c>
      <c r="C5807">
        <v>307.18</v>
      </c>
      <c r="D5807">
        <v>1.0636000000000001</v>
      </c>
      <c r="E5807">
        <v>44.83</v>
      </c>
      <c r="F5807">
        <v>202.1</v>
      </c>
      <c r="K5807" s="3"/>
      <c r="O5807" s="3"/>
    </row>
    <row r="5808" spans="1:15">
      <c r="A5808" s="3">
        <v>42332</v>
      </c>
      <c r="B5808" s="3">
        <v>42332</v>
      </c>
      <c r="C5808">
        <v>307.5</v>
      </c>
      <c r="D5808">
        <v>1.0643</v>
      </c>
      <c r="E5808">
        <v>46.12</v>
      </c>
      <c r="F5808">
        <v>205.45</v>
      </c>
      <c r="K5808" s="3"/>
      <c r="O5808" s="3"/>
    </row>
    <row r="5809" spans="1:15">
      <c r="A5809" s="3">
        <v>42333</v>
      </c>
      <c r="B5809" s="3">
        <v>42333</v>
      </c>
      <c r="C5809">
        <v>307.08</v>
      </c>
      <c r="D5809">
        <v>1.0624</v>
      </c>
      <c r="E5809">
        <v>46.17</v>
      </c>
      <c r="F5809">
        <v>204.6</v>
      </c>
      <c r="K5809" s="3"/>
      <c r="O5809" s="3"/>
    </row>
    <row r="5810" spans="1:15">
      <c r="A5810" s="3">
        <v>42334</v>
      </c>
      <c r="B5810" s="3">
        <v>42334</v>
      </c>
      <c r="C5810">
        <v>307.18</v>
      </c>
      <c r="D5810">
        <v>1.0609999999999999</v>
      </c>
      <c r="E5810">
        <v>45.46</v>
      </c>
      <c r="F5810">
        <v>204.6</v>
      </c>
      <c r="K5810" s="3"/>
      <c r="O5810" s="3"/>
    </row>
    <row r="5811" spans="1:15">
      <c r="A5811" s="3">
        <v>42335</v>
      </c>
      <c r="B5811" s="3">
        <v>42335</v>
      </c>
      <c r="C5811">
        <v>307.2</v>
      </c>
      <c r="D5811">
        <v>1.0592999999999999</v>
      </c>
      <c r="E5811">
        <v>44.86</v>
      </c>
      <c r="F5811">
        <v>205.05</v>
      </c>
      <c r="K5811" s="3"/>
      <c r="O5811" s="3"/>
    </row>
    <row r="5812" spans="1:15">
      <c r="A5812" s="3">
        <v>42336</v>
      </c>
      <c r="B5812" s="3">
        <v>42336</v>
      </c>
      <c r="C5812">
        <v>307.2</v>
      </c>
      <c r="D5812">
        <v>1.0592999999999999</v>
      </c>
      <c r="E5812">
        <v>44.86</v>
      </c>
      <c r="F5812">
        <v>205.05</v>
      </c>
      <c r="K5812" s="3"/>
      <c r="O5812" s="3"/>
    </row>
    <row r="5813" spans="1:15">
      <c r="A5813" s="3">
        <v>42337</v>
      </c>
      <c r="B5813" s="3">
        <v>42337</v>
      </c>
      <c r="C5813">
        <v>307.2</v>
      </c>
      <c r="D5813">
        <v>1.0592999999999999</v>
      </c>
      <c r="E5813">
        <v>44.86</v>
      </c>
      <c r="F5813">
        <v>205.05</v>
      </c>
      <c r="K5813" s="3"/>
      <c r="O5813" s="3"/>
    </row>
    <row r="5814" spans="1:15">
      <c r="A5814" s="3">
        <v>42338</v>
      </c>
      <c r="B5814" s="3">
        <v>42338</v>
      </c>
      <c r="C5814">
        <v>307.66000000000003</v>
      </c>
      <c r="D5814">
        <v>1.0565</v>
      </c>
      <c r="E5814">
        <v>44.61</v>
      </c>
      <c r="F5814">
        <v>204.45</v>
      </c>
      <c r="K5814" s="3"/>
      <c r="O5814" s="3"/>
    </row>
    <row r="5815" spans="1:15">
      <c r="A5815" s="3">
        <v>42339</v>
      </c>
      <c r="B5815" s="3">
        <v>42339</v>
      </c>
      <c r="C5815">
        <v>307.64999999999998</v>
      </c>
      <c r="D5815">
        <v>1.0632999999999999</v>
      </c>
      <c r="E5815">
        <v>44.44</v>
      </c>
      <c r="F5815">
        <v>206.65</v>
      </c>
      <c r="K5815" s="3"/>
      <c r="O5815" s="3"/>
    </row>
    <row r="5816" spans="1:15">
      <c r="A5816" s="3">
        <v>42340</v>
      </c>
      <c r="B5816" s="3">
        <v>42340</v>
      </c>
      <c r="C5816">
        <v>307.8</v>
      </c>
      <c r="D5816">
        <v>1.0615000000000001</v>
      </c>
      <c r="E5816">
        <v>42.49</v>
      </c>
      <c r="F5816">
        <v>202.9</v>
      </c>
      <c r="K5816" s="3"/>
      <c r="O5816" s="3"/>
    </row>
    <row r="5817" spans="1:15">
      <c r="A5817" s="3">
        <v>42341</v>
      </c>
      <c r="B5817" s="3">
        <v>42341</v>
      </c>
      <c r="C5817">
        <v>307.52999999999997</v>
      </c>
      <c r="D5817">
        <v>1.0940000000000001</v>
      </c>
      <c r="E5817">
        <v>43.84</v>
      </c>
      <c r="F5817">
        <v>205.6</v>
      </c>
      <c r="K5817" s="3"/>
      <c r="O5817" s="3"/>
    </row>
    <row r="5818" spans="1:15">
      <c r="A5818" s="3">
        <v>42342</v>
      </c>
      <c r="B5818" s="3">
        <v>42342</v>
      </c>
      <c r="C5818">
        <v>307.8</v>
      </c>
      <c r="D5818">
        <v>1.0881000000000001</v>
      </c>
      <c r="E5818">
        <v>43</v>
      </c>
      <c r="F5818">
        <v>207.4</v>
      </c>
      <c r="K5818" s="3"/>
      <c r="O5818" s="3"/>
    </row>
    <row r="5819" spans="1:15">
      <c r="A5819" s="3">
        <v>42343</v>
      </c>
      <c r="B5819" s="3">
        <v>42343</v>
      </c>
      <c r="C5819">
        <v>307.8</v>
      </c>
      <c r="D5819">
        <v>1.0881000000000001</v>
      </c>
      <c r="E5819">
        <v>43</v>
      </c>
      <c r="F5819">
        <v>207.4</v>
      </c>
      <c r="K5819" s="3"/>
      <c r="O5819" s="3"/>
    </row>
    <row r="5820" spans="1:15">
      <c r="A5820" s="3">
        <v>42344</v>
      </c>
      <c r="B5820" s="3">
        <v>42344</v>
      </c>
      <c r="C5820">
        <v>307.8</v>
      </c>
      <c r="D5820">
        <v>1.0881000000000001</v>
      </c>
      <c r="E5820">
        <v>43</v>
      </c>
      <c r="F5820">
        <v>207.4</v>
      </c>
      <c r="K5820" s="3"/>
      <c r="O5820" s="3"/>
    </row>
    <row r="5821" spans="1:15">
      <c r="A5821" s="3">
        <v>42345</v>
      </c>
      <c r="B5821" s="3">
        <v>42345</v>
      </c>
      <c r="C5821">
        <v>307.01</v>
      </c>
      <c r="D5821">
        <v>1.0837000000000001</v>
      </c>
      <c r="E5821">
        <v>40.729999999999997</v>
      </c>
      <c r="F5821">
        <v>204.45</v>
      </c>
      <c r="K5821" s="3"/>
      <c r="O5821" s="3"/>
    </row>
    <row r="5822" spans="1:15">
      <c r="A5822" s="3">
        <v>42346</v>
      </c>
      <c r="B5822" s="3">
        <v>42346</v>
      </c>
      <c r="C5822">
        <v>308.02999999999997</v>
      </c>
      <c r="D5822">
        <v>1.0891999999999999</v>
      </c>
      <c r="E5822">
        <v>40.26</v>
      </c>
      <c r="F5822">
        <v>204.8</v>
      </c>
      <c r="K5822" s="3"/>
      <c r="O5822" s="3"/>
    </row>
    <row r="5823" spans="1:15">
      <c r="A5823" s="3">
        <v>42347</v>
      </c>
      <c r="B5823" s="3">
        <v>42347</v>
      </c>
      <c r="C5823">
        <v>310.25</v>
      </c>
      <c r="D5823">
        <v>1.1025</v>
      </c>
      <c r="E5823">
        <v>40.11</v>
      </c>
      <c r="F5823">
        <v>206</v>
      </c>
      <c r="K5823" s="3"/>
      <c r="O5823" s="3"/>
    </row>
    <row r="5824" spans="1:15">
      <c r="A5824" s="3">
        <v>42348</v>
      </c>
      <c r="B5824" s="3">
        <v>42348</v>
      </c>
      <c r="C5824">
        <v>310.63</v>
      </c>
      <c r="D5824">
        <v>1.0941000000000001</v>
      </c>
      <c r="E5824">
        <v>39.729999999999997</v>
      </c>
      <c r="F5824">
        <v>206.5</v>
      </c>
      <c r="K5824" s="3"/>
      <c r="O5824" s="3"/>
    </row>
    <row r="5825" spans="1:15">
      <c r="A5825" s="3">
        <v>42349</v>
      </c>
      <c r="B5825" s="3">
        <v>42349</v>
      </c>
      <c r="C5825">
        <v>315</v>
      </c>
      <c r="D5825">
        <v>1.0986</v>
      </c>
      <c r="E5825">
        <v>37.93</v>
      </c>
      <c r="F5825">
        <v>210.8</v>
      </c>
      <c r="K5825" s="3"/>
      <c r="O5825" s="3"/>
    </row>
    <row r="5826" spans="1:15">
      <c r="A5826" s="3">
        <v>42350</v>
      </c>
      <c r="B5826" s="3">
        <v>42350</v>
      </c>
      <c r="C5826">
        <v>315</v>
      </c>
      <c r="D5826">
        <v>1.0986</v>
      </c>
      <c r="E5826">
        <v>37.93</v>
      </c>
      <c r="F5826">
        <v>210.8</v>
      </c>
      <c r="K5826" s="3"/>
      <c r="O5826" s="3"/>
    </row>
    <row r="5827" spans="1:15">
      <c r="A5827" s="3">
        <v>42351</v>
      </c>
      <c r="B5827" s="3">
        <v>42351</v>
      </c>
      <c r="C5827">
        <v>315</v>
      </c>
      <c r="D5827">
        <v>1.0986</v>
      </c>
      <c r="E5827">
        <v>37.93</v>
      </c>
      <c r="F5827">
        <v>210.8</v>
      </c>
      <c r="K5827" s="3"/>
      <c r="O5827" s="3"/>
    </row>
    <row r="5828" spans="1:15">
      <c r="A5828" s="3">
        <v>42352</v>
      </c>
      <c r="B5828" s="3">
        <v>42352</v>
      </c>
      <c r="C5828">
        <v>332.96</v>
      </c>
      <c r="D5828">
        <v>1.0992</v>
      </c>
      <c r="E5828">
        <v>37.92</v>
      </c>
      <c r="F5828">
        <v>210.4</v>
      </c>
      <c r="K5828" s="3"/>
      <c r="O5828" s="3"/>
    </row>
    <row r="5829" spans="1:15">
      <c r="A5829" s="3">
        <v>42353</v>
      </c>
      <c r="B5829" s="3">
        <v>42353</v>
      </c>
      <c r="C5829">
        <v>331.73</v>
      </c>
      <c r="D5829">
        <v>1.0931</v>
      </c>
      <c r="E5829">
        <v>38.450000000000003</v>
      </c>
      <c r="F5829">
        <v>205.1</v>
      </c>
      <c r="K5829" s="3"/>
      <c r="O5829" s="3"/>
    </row>
    <row r="5830" spans="1:15">
      <c r="A5830" s="3">
        <v>42354</v>
      </c>
      <c r="B5830" s="3">
        <v>42354</v>
      </c>
      <c r="C5830">
        <v>331.85</v>
      </c>
      <c r="D5830">
        <v>1.0911999999999999</v>
      </c>
      <c r="E5830">
        <v>37.19</v>
      </c>
      <c r="F5830">
        <v>206.1</v>
      </c>
      <c r="K5830" s="3"/>
      <c r="O5830" s="3"/>
    </row>
    <row r="5831" spans="1:15">
      <c r="A5831" s="3">
        <v>42355</v>
      </c>
      <c r="B5831" s="3">
        <v>42355</v>
      </c>
      <c r="C5831">
        <v>331.85</v>
      </c>
      <c r="D5831">
        <v>1.0826</v>
      </c>
      <c r="E5831">
        <v>37.06</v>
      </c>
      <c r="F5831">
        <v>203.45</v>
      </c>
      <c r="K5831" s="3"/>
      <c r="O5831" s="3"/>
    </row>
    <row r="5832" spans="1:15">
      <c r="A5832" s="3">
        <v>42356</v>
      </c>
      <c r="B5832" s="3">
        <v>42356</v>
      </c>
      <c r="C5832">
        <v>344.03</v>
      </c>
      <c r="D5832">
        <v>1.0868</v>
      </c>
      <c r="E5832">
        <v>36.880000000000003</v>
      </c>
      <c r="F5832">
        <v>210.3</v>
      </c>
      <c r="K5832" s="3"/>
      <c r="O5832" s="3"/>
    </row>
    <row r="5833" spans="1:15">
      <c r="A5833" s="3">
        <v>42357</v>
      </c>
      <c r="B5833" s="3">
        <v>42357</v>
      </c>
      <c r="C5833">
        <v>344.03</v>
      </c>
      <c r="D5833">
        <v>1.0868</v>
      </c>
      <c r="E5833">
        <v>36.880000000000003</v>
      </c>
      <c r="F5833">
        <v>210.3</v>
      </c>
      <c r="K5833" s="3"/>
      <c r="O5833" s="3"/>
    </row>
    <row r="5834" spans="1:15">
      <c r="A5834" s="3">
        <v>42358</v>
      </c>
      <c r="B5834" s="3">
        <v>42358</v>
      </c>
      <c r="C5834">
        <v>344.03</v>
      </c>
      <c r="D5834">
        <v>1.0868</v>
      </c>
      <c r="E5834">
        <v>36.880000000000003</v>
      </c>
      <c r="F5834">
        <v>210.3</v>
      </c>
      <c r="K5834" s="3"/>
      <c r="O5834" s="3"/>
    </row>
    <row r="5835" spans="1:15">
      <c r="A5835" s="3">
        <v>42359</v>
      </c>
      <c r="B5835" s="3">
        <v>42359</v>
      </c>
      <c r="C5835">
        <v>339.5</v>
      </c>
      <c r="D5835">
        <v>1.0914999999999999</v>
      </c>
      <c r="E5835">
        <v>36.35</v>
      </c>
      <c r="F5835">
        <v>212.9</v>
      </c>
      <c r="K5835" s="3"/>
      <c r="O5835" s="3"/>
    </row>
    <row r="5836" spans="1:15">
      <c r="A5836" s="3">
        <v>42360</v>
      </c>
      <c r="B5836" s="3">
        <v>42360</v>
      </c>
      <c r="C5836">
        <v>336.5</v>
      </c>
      <c r="D5836">
        <v>1.0956999999999999</v>
      </c>
      <c r="E5836">
        <v>36.11</v>
      </c>
      <c r="F5836">
        <v>209.7</v>
      </c>
      <c r="K5836" s="3"/>
      <c r="O5836" s="3"/>
    </row>
    <row r="5837" spans="1:15">
      <c r="A5837" s="3">
        <v>42361</v>
      </c>
      <c r="B5837" s="3">
        <v>42361</v>
      </c>
      <c r="C5837">
        <v>329.5</v>
      </c>
      <c r="D5837">
        <v>1.0911999999999999</v>
      </c>
      <c r="E5837">
        <v>37.36</v>
      </c>
      <c r="F5837">
        <v>211.15</v>
      </c>
      <c r="K5837" s="3"/>
      <c r="O5837" s="3"/>
    </row>
    <row r="5838" spans="1:15">
      <c r="A5838" s="3">
        <v>42362</v>
      </c>
      <c r="B5838" s="3">
        <v>42362</v>
      </c>
      <c r="C5838">
        <v>326.17</v>
      </c>
      <c r="D5838">
        <v>1.0963000000000001</v>
      </c>
      <c r="E5838">
        <v>37.89</v>
      </c>
      <c r="F5838">
        <v>211.15</v>
      </c>
      <c r="K5838" s="3"/>
      <c r="O5838" s="3"/>
    </row>
    <row r="5839" spans="1:15">
      <c r="A5839" s="3">
        <v>42363</v>
      </c>
      <c r="B5839" s="3">
        <v>42363</v>
      </c>
      <c r="C5839">
        <v>328.75</v>
      </c>
      <c r="D5839">
        <v>1.0960000000000001</v>
      </c>
      <c r="E5839">
        <v>37.89</v>
      </c>
      <c r="F5839">
        <v>211.15</v>
      </c>
      <c r="K5839" s="3"/>
      <c r="O5839" s="3"/>
    </row>
    <row r="5840" spans="1:15">
      <c r="A5840" s="3">
        <v>42364</v>
      </c>
      <c r="B5840" s="3">
        <v>42364</v>
      </c>
      <c r="C5840">
        <v>328.75</v>
      </c>
      <c r="D5840">
        <v>1.0960000000000001</v>
      </c>
      <c r="E5840">
        <v>37.89</v>
      </c>
      <c r="F5840">
        <v>211.15</v>
      </c>
      <c r="K5840" s="3"/>
      <c r="O5840" s="3"/>
    </row>
    <row r="5841" spans="1:15">
      <c r="A5841" s="3">
        <v>42365</v>
      </c>
      <c r="B5841" s="3">
        <v>42365</v>
      </c>
      <c r="C5841">
        <v>328.75</v>
      </c>
      <c r="D5841">
        <v>1.0960000000000001</v>
      </c>
      <c r="E5841">
        <v>37.89</v>
      </c>
      <c r="F5841">
        <v>211.15</v>
      </c>
      <c r="K5841" s="3"/>
      <c r="O5841" s="3"/>
    </row>
    <row r="5842" spans="1:15">
      <c r="A5842" s="3">
        <v>42366</v>
      </c>
      <c r="B5842" s="3">
        <v>42366</v>
      </c>
      <c r="C5842">
        <v>333.01</v>
      </c>
      <c r="D5842">
        <v>1.0968</v>
      </c>
      <c r="E5842">
        <v>36.619999999999997</v>
      </c>
      <c r="F5842">
        <v>206.65</v>
      </c>
      <c r="K5842" s="3"/>
      <c r="O5842" s="3"/>
    </row>
    <row r="5843" spans="1:15">
      <c r="A5843" s="3">
        <v>42367</v>
      </c>
      <c r="B5843" s="3">
        <v>42367</v>
      </c>
      <c r="C5843">
        <v>339</v>
      </c>
      <c r="D5843">
        <v>1.0920000000000001</v>
      </c>
      <c r="E5843">
        <v>37.79</v>
      </c>
      <c r="F5843">
        <v>212.5</v>
      </c>
      <c r="K5843" s="3"/>
      <c r="O5843" s="3"/>
    </row>
    <row r="5844" spans="1:15">
      <c r="A5844" s="3">
        <v>42368</v>
      </c>
      <c r="B5844" s="3">
        <v>42368</v>
      </c>
      <c r="C5844">
        <v>338.95</v>
      </c>
      <c r="D5844">
        <v>1.0932999999999999</v>
      </c>
      <c r="E5844">
        <v>36.46</v>
      </c>
      <c r="F5844">
        <v>214.65</v>
      </c>
      <c r="K5844" s="3"/>
      <c r="O5844" s="3"/>
    </row>
    <row r="5845" spans="1:15">
      <c r="A5845" s="3">
        <v>42369</v>
      </c>
      <c r="B5845" s="3">
        <v>42369</v>
      </c>
      <c r="C5845">
        <v>340.6</v>
      </c>
      <c r="D5845">
        <v>1.0862000000000001</v>
      </c>
      <c r="E5845">
        <v>37.28</v>
      </c>
      <c r="F5845">
        <v>213.5</v>
      </c>
      <c r="K5845" s="3"/>
      <c r="O5845" s="3"/>
    </row>
    <row r="5846" spans="1:15">
      <c r="A5846" s="3">
        <v>42370</v>
      </c>
      <c r="B5846" s="3">
        <v>42370</v>
      </c>
      <c r="C5846">
        <v>340.6</v>
      </c>
      <c r="D5846">
        <v>1.0855999999999999</v>
      </c>
      <c r="E5846">
        <v>37.28</v>
      </c>
      <c r="F5846">
        <v>213.5</v>
      </c>
      <c r="K5846" s="3"/>
      <c r="O5846" s="3"/>
    </row>
    <row r="5847" spans="1:15">
      <c r="A5847" s="3">
        <v>42371</v>
      </c>
      <c r="B5847" s="3">
        <v>42371</v>
      </c>
      <c r="C5847">
        <v>340.6</v>
      </c>
      <c r="D5847">
        <v>1.0855999999999999</v>
      </c>
      <c r="E5847">
        <v>37.28</v>
      </c>
      <c r="F5847">
        <v>213.5</v>
      </c>
      <c r="K5847" s="3"/>
      <c r="O5847" s="3"/>
    </row>
    <row r="5848" spans="1:15">
      <c r="A5848" s="3">
        <v>42372</v>
      </c>
      <c r="B5848" s="3">
        <v>42372</v>
      </c>
      <c r="C5848">
        <v>340.6</v>
      </c>
      <c r="D5848">
        <v>1.0855999999999999</v>
      </c>
      <c r="E5848">
        <v>37.28</v>
      </c>
      <c r="F5848">
        <v>213.5</v>
      </c>
      <c r="K5848" s="3"/>
      <c r="O5848" s="3"/>
    </row>
    <row r="5849" spans="1:15">
      <c r="A5849" s="3">
        <v>42373</v>
      </c>
      <c r="B5849" s="3">
        <v>42373</v>
      </c>
      <c r="C5849">
        <v>340</v>
      </c>
      <c r="D5849">
        <v>1.0831</v>
      </c>
      <c r="E5849">
        <v>37.22</v>
      </c>
      <c r="F5849">
        <v>207.95</v>
      </c>
      <c r="K5849" s="3"/>
      <c r="O5849" s="3"/>
    </row>
    <row r="5850" spans="1:15">
      <c r="A5850" s="3">
        <v>42374</v>
      </c>
      <c r="B5850" s="3">
        <v>42374</v>
      </c>
      <c r="C5850">
        <v>343.47</v>
      </c>
      <c r="D5850">
        <v>1.0748</v>
      </c>
      <c r="E5850">
        <v>36.42</v>
      </c>
      <c r="F5850">
        <v>209.55</v>
      </c>
      <c r="K5850" s="3"/>
      <c r="O5850" s="3"/>
    </row>
    <row r="5851" spans="1:15">
      <c r="A5851" s="3">
        <v>42375</v>
      </c>
      <c r="B5851" s="3">
        <v>42375</v>
      </c>
      <c r="C5851">
        <v>346</v>
      </c>
      <c r="D5851">
        <v>1.0781000000000001</v>
      </c>
      <c r="E5851">
        <v>34.229999999999997</v>
      </c>
      <c r="F5851">
        <v>208.8</v>
      </c>
      <c r="K5851" s="3"/>
      <c r="O5851" s="3"/>
    </row>
    <row r="5852" spans="1:15">
      <c r="A5852" s="3">
        <v>42376</v>
      </c>
      <c r="B5852" s="3">
        <v>42376</v>
      </c>
      <c r="C5852">
        <v>345.22</v>
      </c>
      <c r="D5852">
        <v>1.0931999999999999</v>
      </c>
      <c r="E5852">
        <v>33.75</v>
      </c>
      <c r="F5852">
        <v>202.2</v>
      </c>
      <c r="K5852" s="3"/>
      <c r="O5852" s="3"/>
    </row>
    <row r="5853" spans="1:15">
      <c r="A5853" s="3">
        <v>42377</v>
      </c>
      <c r="B5853" s="3">
        <v>42377</v>
      </c>
      <c r="C5853">
        <v>352.15</v>
      </c>
      <c r="D5853">
        <v>1.0922000000000001</v>
      </c>
      <c r="E5853">
        <v>33.549999999999997</v>
      </c>
      <c r="F5853">
        <v>202.2</v>
      </c>
      <c r="K5853" s="3"/>
      <c r="O5853" s="3"/>
    </row>
    <row r="5854" spans="1:15">
      <c r="A5854" s="3">
        <v>42378</v>
      </c>
      <c r="B5854" s="3">
        <v>42378</v>
      </c>
      <c r="C5854">
        <v>352.15</v>
      </c>
      <c r="D5854">
        <v>1.0922000000000001</v>
      </c>
      <c r="E5854">
        <v>33.549999999999997</v>
      </c>
      <c r="F5854">
        <v>202.2</v>
      </c>
      <c r="K5854" s="3"/>
      <c r="O5854" s="3"/>
    </row>
    <row r="5855" spans="1:15">
      <c r="A5855" s="3">
        <v>42379</v>
      </c>
      <c r="B5855" s="3">
        <v>42379</v>
      </c>
      <c r="C5855">
        <v>352.15</v>
      </c>
      <c r="D5855">
        <v>1.0922000000000001</v>
      </c>
      <c r="E5855">
        <v>33.549999999999997</v>
      </c>
      <c r="F5855">
        <v>202.2</v>
      </c>
      <c r="K5855" s="3"/>
      <c r="O5855" s="3"/>
    </row>
    <row r="5856" spans="1:15">
      <c r="A5856" s="3">
        <v>42380</v>
      </c>
      <c r="B5856" s="3">
        <v>42380</v>
      </c>
      <c r="C5856">
        <v>358</v>
      </c>
      <c r="D5856">
        <v>1.0859000000000001</v>
      </c>
      <c r="E5856">
        <v>31.55</v>
      </c>
      <c r="F5856">
        <v>197.25</v>
      </c>
      <c r="K5856" s="3"/>
      <c r="O5856" s="3"/>
    </row>
    <row r="5857" spans="1:15">
      <c r="A5857" s="3">
        <v>42381</v>
      </c>
      <c r="B5857" s="3">
        <v>42381</v>
      </c>
      <c r="C5857">
        <v>358.25</v>
      </c>
      <c r="D5857">
        <v>1.0858000000000001</v>
      </c>
      <c r="E5857">
        <v>30.86</v>
      </c>
      <c r="F5857">
        <v>195.9</v>
      </c>
      <c r="K5857" s="3"/>
      <c r="O5857" s="3"/>
    </row>
    <row r="5858" spans="1:15">
      <c r="A5858" s="3">
        <v>42382</v>
      </c>
      <c r="B5858" s="3">
        <v>42382</v>
      </c>
      <c r="C5858">
        <v>364.22</v>
      </c>
      <c r="D5858">
        <v>1.0876999999999999</v>
      </c>
      <c r="E5858">
        <v>30.31</v>
      </c>
      <c r="F5858">
        <v>195.6</v>
      </c>
      <c r="K5858" s="3"/>
      <c r="O5858" s="3"/>
    </row>
    <row r="5859" spans="1:15">
      <c r="A5859" s="3">
        <v>42383</v>
      </c>
      <c r="B5859" s="3">
        <v>42383</v>
      </c>
      <c r="C5859">
        <v>362.02</v>
      </c>
      <c r="D5859">
        <v>1.0865</v>
      </c>
      <c r="E5859">
        <v>31.03</v>
      </c>
      <c r="F5859">
        <v>197.6</v>
      </c>
      <c r="K5859" s="3"/>
      <c r="O5859" s="3"/>
    </row>
    <row r="5860" spans="1:15">
      <c r="A5860" s="3">
        <v>42384</v>
      </c>
      <c r="B5860" s="3">
        <v>42384</v>
      </c>
      <c r="C5860">
        <v>361.13</v>
      </c>
      <c r="D5860">
        <v>1.0915999999999999</v>
      </c>
      <c r="E5860">
        <v>28.94</v>
      </c>
      <c r="F5860">
        <v>194.35</v>
      </c>
      <c r="K5860" s="3"/>
      <c r="O5860" s="3"/>
    </row>
    <row r="5861" spans="1:15">
      <c r="A5861" s="3">
        <v>42385</v>
      </c>
      <c r="B5861" s="3">
        <v>42385</v>
      </c>
      <c r="C5861">
        <v>361.13</v>
      </c>
      <c r="D5861">
        <v>1.0915999999999999</v>
      </c>
      <c r="E5861">
        <v>28.94</v>
      </c>
      <c r="F5861">
        <v>194.35</v>
      </c>
      <c r="K5861" s="3"/>
      <c r="O5861" s="3"/>
    </row>
    <row r="5862" spans="1:15">
      <c r="A5862" s="3">
        <v>42386</v>
      </c>
      <c r="B5862" s="3">
        <v>42386</v>
      </c>
      <c r="C5862">
        <v>361.13</v>
      </c>
      <c r="D5862">
        <v>1.0915999999999999</v>
      </c>
      <c r="E5862">
        <v>28.94</v>
      </c>
      <c r="F5862">
        <v>194.35</v>
      </c>
      <c r="K5862" s="3"/>
      <c r="O5862" s="3"/>
    </row>
    <row r="5863" spans="1:15">
      <c r="A5863" s="3">
        <v>42387</v>
      </c>
      <c r="B5863" s="3">
        <v>42387</v>
      </c>
      <c r="C5863">
        <v>377.25</v>
      </c>
      <c r="D5863">
        <v>1.0891999999999999</v>
      </c>
      <c r="E5863">
        <v>28.55</v>
      </c>
      <c r="F5863">
        <v>194.35</v>
      </c>
      <c r="K5863" s="3"/>
      <c r="O5863" s="3"/>
    </row>
    <row r="5864" spans="1:15">
      <c r="A5864" s="3">
        <v>42388</v>
      </c>
      <c r="B5864" s="3">
        <v>42388</v>
      </c>
      <c r="C5864">
        <v>378.24</v>
      </c>
      <c r="D5864">
        <v>1.0908</v>
      </c>
      <c r="E5864">
        <v>28.76</v>
      </c>
      <c r="F5864">
        <v>197.75</v>
      </c>
      <c r="K5864" s="3"/>
      <c r="O5864" s="3"/>
    </row>
    <row r="5865" spans="1:15">
      <c r="A5865" s="3">
        <v>42389</v>
      </c>
      <c r="B5865" s="3">
        <v>42389</v>
      </c>
      <c r="C5865">
        <v>376.76</v>
      </c>
      <c r="D5865">
        <v>1.089</v>
      </c>
      <c r="E5865">
        <v>27.88</v>
      </c>
      <c r="F5865">
        <v>195.95</v>
      </c>
      <c r="K5865" s="3"/>
      <c r="O5865" s="3"/>
    </row>
    <row r="5866" spans="1:15">
      <c r="A5866" s="3">
        <v>42390</v>
      </c>
      <c r="B5866" s="3">
        <v>42390</v>
      </c>
      <c r="C5866">
        <v>385.25</v>
      </c>
      <c r="D5866">
        <v>1.0873999999999999</v>
      </c>
      <c r="E5866">
        <v>29.25</v>
      </c>
      <c r="F5866">
        <v>199.65</v>
      </c>
      <c r="K5866" s="3"/>
      <c r="O5866" s="3"/>
    </row>
    <row r="5867" spans="1:15">
      <c r="A5867" s="3">
        <v>42391</v>
      </c>
      <c r="B5867" s="3">
        <v>42391</v>
      </c>
      <c r="C5867">
        <v>381.27</v>
      </c>
      <c r="D5867">
        <v>1.0795999999999999</v>
      </c>
      <c r="E5867">
        <v>32.18</v>
      </c>
      <c r="F5867">
        <v>200.25</v>
      </c>
      <c r="K5867" s="3"/>
      <c r="O5867" s="3"/>
    </row>
    <row r="5868" spans="1:15">
      <c r="A5868" s="3">
        <v>42392</v>
      </c>
      <c r="B5868" s="3">
        <v>42392</v>
      </c>
      <c r="C5868">
        <v>381.27</v>
      </c>
      <c r="D5868">
        <v>1.0795999999999999</v>
      </c>
      <c r="E5868">
        <v>32.18</v>
      </c>
      <c r="F5868">
        <v>200.25</v>
      </c>
      <c r="K5868" s="3"/>
      <c r="O5868" s="3"/>
    </row>
    <row r="5869" spans="1:15">
      <c r="A5869" s="3">
        <v>42393</v>
      </c>
      <c r="B5869" s="3">
        <v>42393</v>
      </c>
      <c r="C5869">
        <v>381.27</v>
      </c>
      <c r="D5869">
        <v>1.0795999999999999</v>
      </c>
      <c r="E5869">
        <v>32.18</v>
      </c>
      <c r="F5869">
        <v>200.25</v>
      </c>
      <c r="K5869" s="3"/>
      <c r="O5869" s="3"/>
    </row>
    <row r="5870" spans="1:15">
      <c r="A5870" s="3">
        <v>42394</v>
      </c>
      <c r="B5870" s="3">
        <v>42394</v>
      </c>
      <c r="C5870">
        <v>376</v>
      </c>
      <c r="D5870">
        <v>1.0849</v>
      </c>
      <c r="E5870">
        <v>30.5</v>
      </c>
      <c r="F5870">
        <v>199.8</v>
      </c>
      <c r="K5870" s="3"/>
      <c r="O5870" s="3"/>
    </row>
    <row r="5871" spans="1:15">
      <c r="A5871" s="3">
        <v>42395</v>
      </c>
      <c r="B5871" s="3">
        <v>42395</v>
      </c>
      <c r="C5871">
        <v>380.7</v>
      </c>
      <c r="D5871">
        <v>1.087</v>
      </c>
      <c r="E5871">
        <v>31.8</v>
      </c>
      <c r="F5871">
        <v>203.75</v>
      </c>
      <c r="K5871" s="3"/>
      <c r="O5871" s="3"/>
    </row>
    <row r="5872" spans="1:15">
      <c r="A5872" s="3">
        <v>42396</v>
      </c>
      <c r="B5872" s="3">
        <v>42396</v>
      </c>
      <c r="C5872">
        <v>376.73</v>
      </c>
      <c r="D5872">
        <v>1.0892999999999999</v>
      </c>
      <c r="E5872">
        <v>33.1</v>
      </c>
      <c r="F5872">
        <v>206.4</v>
      </c>
      <c r="K5872" s="3"/>
      <c r="O5872" s="3"/>
    </row>
    <row r="5873" spans="1:15">
      <c r="A5873" s="3">
        <v>42397</v>
      </c>
      <c r="B5873" s="3">
        <v>42397</v>
      </c>
      <c r="C5873">
        <v>370.65</v>
      </c>
      <c r="D5873">
        <v>1.0940000000000001</v>
      </c>
      <c r="E5873">
        <v>33.89</v>
      </c>
      <c r="F5873">
        <v>205.15</v>
      </c>
      <c r="K5873" s="3"/>
      <c r="O5873" s="3"/>
    </row>
    <row r="5874" spans="1:15">
      <c r="A5874" s="3">
        <v>42398</v>
      </c>
      <c r="B5874" s="3">
        <v>42398</v>
      </c>
      <c r="C5874">
        <v>365.05</v>
      </c>
      <c r="D5874">
        <v>1.0831</v>
      </c>
      <c r="E5874">
        <v>34.74</v>
      </c>
      <c r="F5874">
        <v>206.7</v>
      </c>
      <c r="K5874" s="3"/>
      <c r="O5874" s="3"/>
    </row>
    <row r="5875" spans="1:15">
      <c r="A5875" s="3">
        <v>42399</v>
      </c>
      <c r="B5875" s="3">
        <v>42399</v>
      </c>
      <c r="C5875">
        <v>365.05</v>
      </c>
      <c r="D5875">
        <v>1.0831</v>
      </c>
      <c r="E5875">
        <v>34.74</v>
      </c>
      <c r="F5875">
        <v>206.7</v>
      </c>
      <c r="K5875" s="3"/>
      <c r="O5875" s="3"/>
    </row>
    <row r="5876" spans="1:15">
      <c r="A5876" s="3">
        <v>42400</v>
      </c>
      <c r="B5876" s="3">
        <v>42400</v>
      </c>
      <c r="C5876">
        <v>365.05</v>
      </c>
      <c r="D5876">
        <v>1.0831</v>
      </c>
      <c r="E5876">
        <v>34.74</v>
      </c>
      <c r="F5876">
        <v>206.7</v>
      </c>
      <c r="K5876" s="3"/>
      <c r="O5876" s="3"/>
    </row>
    <row r="5877" spans="1:15">
      <c r="A5877" s="3">
        <v>42401</v>
      </c>
      <c r="B5877" s="3">
        <v>42401</v>
      </c>
      <c r="C5877">
        <v>360.2</v>
      </c>
      <c r="D5877">
        <v>1.0888</v>
      </c>
      <c r="E5877">
        <v>34.24</v>
      </c>
      <c r="F5877">
        <v>205.55</v>
      </c>
      <c r="K5877" s="3"/>
      <c r="O5877" s="3"/>
    </row>
    <row r="5878" spans="1:15">
      <c r="A5878" s="3">
        <v>42402</v>
      </c>
      <c r="B5878" s="3">
        <v>42402</v>
      </c>
      <c r="C5878">
        <v>375.5</v>
      </c>
      <c r="D5878">
        <v>1.0919000000000001</v>
      </c>
      <c r="E5878">
        <v>32.72</v>
      </c>
      <c r="F5878">
        <v>205.5</v>
      </c>
      <c r="K5878" s="3"/>
      <c r="O5878" s="3"/>
    </row>
    <row r="5879" spans="1:15">
      <c r="A5879" s="3">
        <v>42403</v>
      </c>
      <c r="B5879" s="3">
        <v>42403</v>
      </c>
      <c r="C5879">
        <v>369.74</v>
      </c>
      <c r="D5879">
        <v>1.1105</v>
      </c>
      <c r="E5879">
        <v>35.04</v>
      </c>
      <c r="F5879">
        <v>209.5</v>
      </c>
      <c r="K5879" s="3"/>
      <c r="O5879" s="3"/>
    </row>
    <row r="5880" spans="1:15">
      <c r="A5880" s="3">
        <v>42404</v>
      </c>
      <c r="B5880" s="3">
        <v>42404</v>
      </c>
      <c r="C5880">
        <v>364.99</v>
      </c>
      <c r="D5880">
        <v>1.1209</v>
      </c>
      <c r="E5880">
        <v>34.46</v>
      </c>
      <c r="F5880">
        <v>213.15</v>
      </c>
      <c r="K5880" s="3"/>
      <c r="O5880" s="3"/>
    </row>
    <row r="5881" spans="1:15">
      <c r="A5881" s="3">
        <v>42405</v>
      </c>
      <c r="B5881" s="3">
        <v>42405</v>
      </c>
      <c r="C5881">
        <v>364.75</v>
      </c>
      <c r="D5881">
        <v>1.1157999999999999</v>
      </c>
      <c r="E5881">
        <v>34.06</v>
      </c>
      <c r="F5881">
        <v>210.3</v>
      </c>
      <c r="K5881" s="3"/>
      <c r="O5881" s="3"/>
    </row>
    <row r="5882" spans="1:15">
      <c r="A5882" s="3">
        <v>42406</v>
      </c>
      <c r="B5882" s="3">
        <v>42406</v>
      </c>
      <c r="C5882">
        <v>364.75</v>
      </c>
      <c r="D5882">
        <v>1.1157999999999999</v>
      </c>
      <c r="E5882">
        <v>34.06</v>
      </c>
      <c r="F5882">
        <v>210.3</v>
      </c>
      <c r="K5882" s="3"/>
      <c r="O5882" s="3"/>
    </row>
    <row r="5883" spans="1:15">
      <c r="A5883" s="3">
        <v>42407</v>
      </c>
      <c r="B5883" s="3">
        <v>42407</v>
      </c>
      <c r="C5883">
        <v>364.75</v>
      </c>
      <c r="D5883">
        <v>1.1157999999999999</v>
      </c>
      <c r="E5883">
        <v>34.06</v>
      </c>
      <c r="F5883">
        <v>210.3</v>
      </c>
      <c r="K5883" s="3"/>
      <c r="O5883" s="3"/>
    </row>
    <row r="5884" spans="1:15">
      <c r="A5884" s="3">
        <v>42408</v>
      </c>
      <c r="B5884" s="3">
        <v>42408</v>
      </c>
      <c r="C5884">
        <v>359.34</v>
      </c>
      <c r="D5884">
        <v>1.1193</v>
      </c>
      <c r="E5884">
        <v>32.880000000000003</v>
      </c>
      <c r="F5884">
        <v>209.05</v>
      </c>
      <c r="K5884" s="3"/>
      <c r="O5884" s="3"/>
    </row>
    <row r="5885" spans="1:15">
      <c r="A5885" s="3">
        <v>42409</v>
      </c>
      <c r="B5885" s="3">
        <v>42409</v>
      </c>
      <c r="C5885">
        <v>360.96</v>
      </c>
      <c r="D5885">
        <v>1.1293</v>
      </c>
      <c r="E5885">
        <v>30.32</v>
      </c>
      <c r="F5885">
        <v>203.95</v>
      </c>
      <c r="K5885" s="3"/>
      <c r="O5885" s="3"/>
    </row>
    <row r="5886" spans="1:15">
      <c r="A5886" s="3">
        <v>42410</v>
      </c>
      <c r="B5886" s="3">
        <v>42410</v>
      </c>
      <c r="C5886">
        <v>360.1</v>
      </c>
      <c r="D5886">
        <v>1.1292</v>
      </c>
      <c r="E5886">
        <v>30.84</v>
      </c>
      <c r="F5886">
        <v>202.7</v>
      </c>
      <c r="K5886" s="3"/>
      <c r="O5886" s="3"/>
    </row>
    <row r="5887" spans="1:15">
      <c r="A5887" s="3">
        <v>42411</v>
      </c>
      <c r="B5887" s="3">
        <v>42411</v>
      </c>
      <c r="C5887">
        <v>360.05</v>
      </c>
      <c r="D5887">
        <v>1.1323000000000001</v>
      </c>
      <c r="E5887">
        <v>30.06</v>
      </c>
      <c r="F5887">
        <v>200.65</v>
      </c>
      <c r="K5887" s="3"/>
      <c r="O5887" s="3"/>
    </row>
    <row r="5888" spans="1:15">
      <c r="A5888" s="3">
        <v>42412</v>
      </c>
      <c r="B5888" s="3">
        <v>42412</v>
      </c>
      <c r="C5888">
        <v>369.34</v>
      </c>
      <c r="D5888">
        <v>1.1255999999999999</v>
      </c>
      <c r="E5888">
        <v>33.36</v>
      </c>
      <c r="F5888">
        <v>202.9</v>
      </c>
      <c r="K5888" s="3"/>
      <c r="O5888" s="3"/>
    </row>
    <row r="5889" spans="1:15">
      <c r="A5889" s="3">
        <v>42413</v>
      </c>
      <c r="B5889" s="3">
        <v>42413</v>
      </c>
      <c r="C5889">
        <v>369.34</v>
      </c>
      <c r="D5889">
        <v>1.1255999999999999</v>
      </c>
      <c r="E5889">
        <v>33.36</v>
      </c>
      <c r="F5889">
        <v>202.9</v>
      </c>
      <c r="K5889" s="3"/>
      <c r="O5889" s="3"/>
    </row>
    <row r="5890" spans="1:15">
      <c r="A5890" s="3">
        <v>42414</v>
      </c>
      <c r="B5890" s="3">
        <v>42414</v>
      </c>
      <c r="C5890">
        <v>369.34</v>
      </c>
      <c r="D5890">
        <v>1.1255999999999999</v>
      </c>
      <c r="E5890">
        <v>33.36</v>
      </c>
      <c r="F5890">
        <v>202.9</v>
      </c>
      <c r="K5890" s="3"/>
      <c r="O5890" s="3"/>
    </row>
    <row r="5891" spans="1:15">
      <c r="A5891" s="3">
        <v>42415</v>
      </c>
      <c r="B5891" s="3">
        <v>42415</v>
      </c>
      <c r="C5891">
        <v>364</v>
      </c>
      <c r="D5891">
        <v>1.1155999999999999</v>
      </c>
      <c r="E5891">
        <v>33.39</v>
      </c>
      <c r="F5891">
        <v>202.9</v>
      </c>
      <c r="K5891" s="3"/>
      <c r="O5891" s="3"/>
    </row>
    <row r="5892" spans="1:15">
      <c r="A5892" s="3">
        <v>42416</v>
      </c>
      <c r="B5892" s="3">
        <v>42416</v>
      </c>
      <c r="C5892">
        <v>359.8</v>
      </c>
      <c r="D5892">
        <v>1.1144000000000001</v>
      </c>
      <c r="E5892">
        <v>32.18</v>
      </c>
      <c r="F5892">
        <v>205.1</v>
      </c>
      <c r="K5892" s="3"/>
      <c r="O5892" s="3"/>
    </row>
    <row r="5893" spans="1:15">
      <c r="A5893" s="3">
        <v>42417</v>
      </c>
      <c r="B5893" s="3">
        <v>42417</v>
      </c>
      <c r="C5893">
        <v>358.99</v>
      </c>
      <c r="D5893">
        <v>1.1128</v>
      </c>
      <c r="E5893">
        <v>34.5</v>
      </c>
      <c r="F5893">
        <v>207.55</v>
      </c>
      <c r="K5893" s="3"/>
      <c r="O5893" s="3"/>
    </row>
    <row r="5894" spans="1:15">
      <c r="A5894" s="3">
        <v>42418</v>
      </c>
      <c r="B5894" s="3">
        <v>42418</v>
      </c>
      <c r="C5894">
        <v>350.25</v>
      </c>
      <c r="D5894">
        <v>1.1107</v>
      </c>
      <c r="E5894">
        <v>34.28</v>
      </c>
      <c r="F5894">
        <v>207.35</v>
      </c>
      <c r="K5894" s="3"/>
      <c r="O5894" s="3"/>
    </row>
    <row r="5895" spans="1:15">
      <c r="A5895" s="3">
        <v>42419</v>
      </c>
      <c r="B5895" s="3">
        <v>42419</v>
      </c>
      <c r="C5895">
        <v>355.75</v>
      </c>
      <c r="D5895">
        <v>1.113</v>
      </c>
      <c r="E5895">
        <v>33.01</v>
      </c>
      <c r="F5895">
        <v>207.65</v>
      </c>
      <c r="K5895" s="3"/>
      <c r="O5895" s="3"/>
    </row>
    <row r="5896" spans="1:15">
      <c r="A5896" s="3">
        <v>42420</v>
      </c>
      <c r="B5896" s="3">
        <v>42420</v>
      </c>
      <c r="C5896">
        <v>355.75</v>
      </c>
      <c r="D5896">
        <v>1.113</v>
      </c>
      <c r="E5896">
        <v>33.01</v>
      </c>
      <c r="F5896">
        <v>207.65</v>
      </c>
      <c r="K5896" s="3"/>
      <c r="O5896" s="3"/>
    </row>
    <row r="5897" spans="1:15">
      <c r="A5897" s="3">
        <v>42421</v>
      </c>
      <c r="B5897" s="3">
        <v>42421</v>
      </c>
      <c r="C5897">
        <v>355.75</v>
      </c>
      <c r="D5897">
        <v>1.113</v>
      </c>
      <c r="E5897">
        <v>33.01</v>
      </c>
      <c r="F5897">
        <v>207.65</v>
      </c>
      <c r="K5897" s="3"/>
      <c r="O5897" s="3"/>
    </row>
    <row r="5898" spans="1:15">
      <c r="A5898" s="3">
        <v>42422</v>
      </c>
      <c r="B5898" s="3">
        <v>42422</v>
      </c>
      <c r="C5898">
        <v>352</v>
      </c>
      <c r="D5898">
        <v>1.103</v>
      </c>
      <c r="E5898">
        <v>34.69</v>
      </c>
      <c r="F5898">
        <v>211.5</v>
      </c>
      <c r="K5898" s="3"/>
      <c r="O5898" s="3"/>
    </row>
    <row r="5899" spans="1:15">
      <c r="A5899" s="3">
        <v>42423</v>
      </c>
      <c r="B5899" s="3">
        <v>42423</v>
      </c>
      <c r="C5899">
        <v>349</v>
      </c>
      <c r="D5899">
        <v>1.1020000000000001</v>
      </c>
      <c r="E5899">
        <v>33.270000000000003</v>
      </c>
      <c r="F5899">
        <v>210.55</v>
      </c>
      <c r="K5899" s="3"/>
      <c r="O5899" s="3"/>
    </row>
    <row r="5900" spans="1:15">
      <c r="A5900" s="3">
        <v>42424</v>
      </c>
      <c r="B5900" s="3">
        <v>42424</v>
      </c>
      <c r="C5900">
        <v>350.56</v>
      </c>
      <c r="D5900">
        <v>1.1012999999999999</v>
      </c>
      <c r="E5900">
        <v>34.409999999999997</v>
      </c>
      <c r="F5900">
        <v>209.6</v>
      </c>
      <c r="K5900" s="3"/>
      <c r="O5900" s="3"/>
    </row>
    <row r="5901" spans="1:15">
      <c r="A5901" s="3">
        <v>42425</v>
      </c>
      <c r="B5901" s="3">
        <v>42425</v>
      </c>
      <c r="C5901">
        <v>350.02</v>
      </c>
      <c r="D5901">
        <v>1.1017999999999999</v>
      </c>
      <c r="E5901">
        <v>35.29</v>
      </c>
      <c r="F5901">
        <v>206.65</v>
      </c>
      <c r="K5901" s="3"/>
      <c r="O5901" s="3"/>
    </row>
    <row r="5902" spans="1:15">
      <c r="A5902" s="3">
        <v>42426</v>
      </c>
      <c r="B5902" s="3">
        <v>42426</v>
      </c>
      <c r="C5902">
        <v>349.3</v>
      </c>
      <c r="D5902">
        <v>1.0933999999999999</v>
      </c>
      <c r="E5902">
        <v>35.1</v>
      </c>
      <c r="F5902">
        <v>211.8</v>
      </c>
      <c r="K5902" s="3"/>
      <c r="O5902" s="3"/>
    </row>
    <row r="5903" spans="1:15">
      <c r="A5903" s="3">
        <v>42427</v>
      </c>
      <c r="B5903" s="3">
        <v>42427</v>
      </c>
      <c r="C5903">
        <v>349.3</v>
      </c>
      <c r="D5903">
        <v>1.0933999999999999</v>
      </c>
      <c r="E5903">
        <v>35.1</v>
      </c>
      <c r="F5903">
        <v>211.8</v>
      </c>
      <c r="K5903" s="3"/>
      <c r="O5903" s="3"/>
    </row>
    <row r="5904" spans="1:15">
      <c r="A5904" s="3">
        <v>42428</v>
      </c>
      <c r="B5904" s="3">
        <v>42428</v>
      </c>
      <c r="C5904">
        <v>349.3</v>
      </c>
      <c r="D5904">
        <v>1.0933999999999999</v>
      </c>
      <c r="E5904">
        <v>35.1</v>
      </c>
      <c r="F5904">
        <v>211.8</v>
      </c>
      <c r="K5904" s="3"/>
      <c r="O5904" s="3"/>
    </row>
    <row r="5905" spans="1:15">
      <c r="A5905" s="3">
        <v>42429</v>
      </c>
      <c r="B5905" s="3">
        <v>42429</v>
      </c>
      <c r="C5905">
        <v>350</v>
      </c>
      <c r="D5905">
        <v>1.0872999999999999</v>
      </c>
      <c r="E5905">
        <v>35.97</v>
      </c>
      <c r="F5905">
        <v>212.85</v>
      </c>
      <c r="K5905" s="3"/>
      <c r="O5905" s="3"/>
    </row>
    <row r="5906" spans="1:15">
      <c r="A5906" s="3">
        <v>42430</v>
      </c>
      <c r="B5906" s="3">
        <v>42430</v>
      </c>
      <c r="C5906">
        <v>348.3</v>
      </c>
      <c r="D5906">
        <v>1.0868</v>
      </c>
      <c r="E5906">
        <v>36.81</v>
      </c>
      <c r="F5906">
        <v>214.15</v>
      </c>
      <c r="K5906" s="3"/>
      <c r="O5906" s="3"/>
    </row>
    <row r="5907" spans="1:15">
      <c r="A5907" s="3">
        <v>42431</v>
      </c>
      <c r="B5907" s="3">
        <v>42431</v>
      </c>
      <c r="C5907">
        <v>346.9</v>
      </c>
      <c r="D5907">
        <v>1.0868</v>
      </c>
      <c r="E5907">
        <v>36.93</v>
      </c>
      <c r="F5907">
        <v>217.75</v>
      </c>
      <c r="K5907" s="3"/>
      <c r="O5907" s="3"/>
    </row>
    <row r="5908" spans="1:15">
      <c r="A5908" s="3">
        <v>42432</v>
      </c>
      <c r="B5908" s="3">
        <v>42432</v>
      </c>
      <c r="C5908">
        <v>345.6</v>
      </c>
      <c r="D5908">
        <v>1.0956999999999999</v>
      </c>
      <c r="E5908">
        <v>37.07</v>
      </c>
      <c r="F5908">
        <v>220.45</v>
      </c>
      <c r="K5908" s="3"/>
      <c r="O5908" s="3"/>
    </row>
    <row r="5909" spans="1:15">
      <c r="A5909" s="3">
        <v>42433</v>
      </c>
      <c r="B5909" s="3">
        <v>42433</v>
      </c>
      <c r="C5909">
        <v>345.4</v>
      </c>
      <c r="D5909">
        <v>1.1005</v>
      </c>
      <c r="E5909">
        <v>38.72</v>
      </c>
      <c r="F5909">
        <v>227.1</v>
      </c>
      <c r="K5909" s="3"/>
      <c r="O5909" s="3"/>
    </row>
    <row r="5910" spans="1:15">
      <c r="A5910" s="3">
        <v>42434</v>
      </c>
      <c r="B5910" s="3">
        <v>42434</v>
      </c>
      <c r="C5910">
        <v>345.4</v>
      </c>
      <c r="D5910">
        <v>1.1005</v>
      </c>
      <c r="E5910">
        <v>38.72</v>
      </c>
      <c r="F5910">
        <v>227.1</v>
      </c>
      <c r="K5910" s="3"/>
      <c r="O5910" s="3"/>
    </row>
    <row r="5911" spans="1:15">
      <c r="A5911" s="3">
        <v>42435</v>
      </c>
      <c r="B5911" s="3">
        <v>42435</v>
      </c>
      <c r="C5911">
        <v>345.4</v>
      </c>
      <c r="D5911">
        <v>1.1005</v>
      </c>
      <c r="E5911">
        <v>38.72</v>
      </c>
      <c r="F5911">
        <v>227.1</v>
      </c>
      <c r="K5911" s="3"/>
      <c r="O5911" s="3"/>
    </row>
    <row r="5912" spans="1:15">
      <c r="A5912" s="3">
        <v>42436</v>
      </c>
      <c r="B5912" s="3">
        <v>42436</v>
      </c>
      <c r="C5912">
        <v>344.95</v>
      </c>
      <c r="D5912">
        <v>1.1013999999999999</v>
      </c>
      <c r="E5912">
        <v>40.840000000000003</v>
      </c>
      <c r="F5912">
        <v>228.05</v>
      </c>
      <c r="K5912" s="3"/>
      <c r="O5912" s="3"/>
    </row>
    <row r="5913" spans="1:15">
      <c r="A5913" s="3">
        <v>42437</v>
      </c>
      <c r="B5913" s="3">
        <v>42437</v>
      </c>
      <c r="C5913">
        <v>344.95</v>
      </c>
      <c r="D5913">
        <v>1.1011</v>
      </c>
      <c r="E5913">
        <v>39.65</v>
      </c>
      <c r="F5913">
        <v>221.85</v>
      </c>
      <c r="K5913" s="3"/>
      <c r="O5913" s="3"/>
    </row>
    <row r="5914" spans="1:15">
      <c r="A5914" s="3">
        <v>42438</v>
      </c>
      <c r="B5914" s="3">
        <v>42438</v>
      </c>
      <c r="C5914">
        <v>344.7</v>
      </c>
      <c r="D5914">
        <v>1.0999000000000001</v>
      </c>
      <c r="E5914">
        <v>41.07</v>
      </c>
      <c r="F5914">
        <v>223</v>
      </c>
      <c r="K5914" s="3"/>
      <c r="O5914" s="3"/>
    </row>
    <row r="5915" spans="1:15">
      <c r="A5915" s="3">
        <v>42439</v>
      </c>
      <c r="B5915" s="3">
        <v>42439</v>
      </c>
      <c r="C5915">
        <v>344.24</v>
      </c>
      <c r="D5915">
        <v>1.1176999999999999</v>
      </c>
      <c r="E5915">
        <v>40.049999999999997</v>
      </c>
      <c r="F5915">
        <v>221.75</v>
      </c>
      <c r="K5915" s="3"/>
      <c r="O5915" s="3"/>
    </row>
    <row r="5916" spans="1:15">
      <c r="A5916" s="3">
        <v>42440</v>
      </c>
      <c r="B5916" s="3">
        <v>42440</v>
      </c>
      <c r="C5916">
        <v>343.87</v>
      </c>
      <c r="D5916">
        <v>1.1155999999999999</v>
      </c>
      <c r="E5916">
        <v>40.39</v>
      </c>
      <c r="F5916">
        <v>223.85</v>
      </c>
      <c r="K5916" s="3"/>
      <c r="O5916" s="3"/>
    </row>
    <row r="5917" spans="1:15">
      <c r="A5917" s="3">
        <v>42441</v>
      </c>
      <c r="B5917" s="3">
        <v>42441</v>
      </c>
      <c r="C5917">
        <v>343.87</v>
      </c>
      <c r="D5917">
        <v>1.1155999999999999</v>
      </c>
      <c r="E5917">
        <v>40.39</v>
      </c>
      <c r="F5917">
        <v>223.85</v>
      </c>
      <c r="K5917" s="3"/>
      <c r="O5917" s="3"/>
    </row>
    <row r="5918" spans="1:15">
      <c r="A5918" s="3">
        <v>42442</v>
      </c>
      <c r="B5918" s="3">
        <v>42442</v>
      </c>
      <c r="C5918">
        <v>343.87</v>
      </c>
      <c r="D5918">
        <v>1.1155999999999999</v>
      </c>
      <c r="E5918">
        <v>40.39</v>
      </c>
      <c r="F5918">
        <v>223.85</v>
      </c>
      <c r="K5918" s="3"/>
      <c r="O5918" s="3"/>
    </row>
    <row r="5919" spans="1:15">
      <c r="A5919" s="3">
        <v>42443</v>
      </c>
      <c r="B5919" s="3">
        <v>42443</v>
      </c>
      <c r="C5919">
        <v>343.8</v>
      </c>
      <c r="D5919">
        <v>1.1103000000000001</v>
      </c>
      <c r="E5919">
        <v>39.53</v>
      </c>
      <c r="F5919">
        <v>223.7</v>
      </c>
      <c r="K5919" s="3"/>
      <c r="O5919" s="3"/>
    </row>
    <row r="5920" spans="1:15">
      <c r="A5920" s="3">
        <v>42444</v>
      </c>
      <c r="B5920" s="3">
        <v>42444</v>
      </c>
      <c r="C5920">
        <v>344.66</v>
      </c>
      <c r="D5920">
        <v>1.1109</v>
      </c>
      <c r="E5920">
        <v>38.74</v>
      </c>
      <c r="F5920">
        <v>223.1</v>
      </c>
      <c r="K5920" s="3"/>
      <c r="O5920" s="3"/>
    </row>
    <row r="5921" spans="1:15">
      <c r="A5921" s="3">
        <v>42445</v>
      </c>
      <c r="B5921" s="3">
        <v>42445</v>
      </c>
      <c r="C5921">
        <v>349.07</v>
      </c>
      <c r="D5921">
        <v>1.1224000000000001</v>
      </c>
      <c r="E5921">
        <v>40.33</v>
      </c>
      <c r="F5921">
        <v>223.15</v>
      </c>
      <c r="K5921" s="3"/>
      <c r="O5921" s="3"/>
    </row>
    <row r="5922" spans="1:15">
      <c r="A5922" s="3">
        <v>42446</v>
      </c>
      <c r="B5922" s="3">
        <v>42446</v>
      </c>
      <c r="C5922">
        <v>346.25</v>
      </c>
      <c r="D5922">
        <v>1.1317999999999999</v>
      </c>
      <c r="E5922">
        <v>41.54</v>
      </c>
      <c r="F5922">
        <v>228.9</v>
      </c>
      <c r="K5922" s="3"/>
      <c r="O5922" s="3"/>
    </row>
    <row r="5923" spans="1:15">
      <c r="A5923" s="3">
        <v>42447</v>
      </c>
      <c r="B5923" s="3">
        <v>42447</v>
      </c>
      <c r="C5923">
        <v>346.25</v>
      </c>
      <c r="D5923">
        <v>1.127</v>
      </c>
      <c r="E5923">
        <v>41.2</v>
      </c>
      <c r="F5923">
        <v>227.95</v>
      </c>
      <c r="K5923" s="3"/>
      <c r="O5923" s="3"/>
    </row>
    <row r="5924" spans="1:15">
      <c r="A5924" s="3">
        <v>42448</v>
      </c>
      <c r="B5924" s="3">
        <v>42448</v>
      </c>
      <c r="C5924">
        <v>346.25</v>
      </c>
      <c r="D5924">
        <v>1.127</v>
      </c>
      <c r="E5924">
        <v>41.2</v>
      </c>
      <c r="F5924">
        <v>227.95</v>
      </c>
      <c r="K5924" s="3"/>
      <c r="O5924" s="3"/>
    </row>
    <row r="5925" spans="1:15">
      <c r="A5925" s="3">
        <v>42449</v>
      </c>
      <c r="B5925" s="3">
        <v>42449</v>
      </c>
      <c r="C5925">
        <v>346.25</v>
      </c>
      <c r="D5925">
        <v>1.127</v>
      </c>
      <c r="E5925">
        <v>41.2</v>
      </c>
      <c r="F5925">
        <v>227.95</v>
      </c>
      <c r="K5925" s="3"/>
      <c r="O5925" s="3"/>
    </row>
    <row r="5926" spans="1:15">
      <c r="A5926" s="3">
        <v>42450</v>
      </c>
      <c r="B5926" s="3">
        <v>42450</v>
      </c>
      <c r="C5926">
        <v>345.5</v>
      </c>
      <c r="D5926">
        <v>1.1241000000000001</v>
      </c>
      <c r="E5926">
        <v>41.54</v>
      </c>
      <c r="F5926">
        <v>228.95</v>
      </c>
      <c r="K5926" s="3"/>
      <c r="O5926" s="3"/>
    </row>
    <row r="5927" spans="1:15">
      <c r="A5927" s="3">
        <v>42451</v>
      </c>
      <c r="B5927" s="3">
        <v>42451</v>
      </c>
      <c r="C5927">
        <v>345.5</v>
      </c>
      <c r="D5927">
        <v>1.1216999999999999</v>
      </c>
      <c r="E5927">
        <v>41.79</v>
      </c>
      <c r="F5927">
        <v>228.45</v>
      </c>
      <c r="K5927" s="3"/>
      <c r="O5927" s="3"/>
    </row>
    <row r="5928" spans="1:15">
      <c r="A5928" s="3">
        <v>42452</v>
      </c>
      <c r="B5928" s="3">
        <v>42452</v>
      </c>
      <c r="C5928">
        <v>345.5</v>
      </c>
      <c r="D5928">
        <v>1.1181000000000001</v>
      </c>
      <c r="E5928">
        <v>40.47</v>
      </c>
      <c r="F5928">
        <v>223.05</v>
      </c>
      <c r="K5928" s="3"/>
      <c r="O5928" s="3"/>
    </row>
    <row r="5929" spans="1:15">
      <c r="A5929" s="3">
        <v>42453</v>
      </c>
      <c r="B5929" s="3">
        <v>42453</v>
      </c>
      <c r="C5929">
        <v>347.3</v>
      </c>
      <c r="D5929">
        <v>1.1173999999999999</v>
      </c>
      <c r="E5929">
        <v>40.44</v>
      </c>
      <c r="F5929">
        <v>222.45</v>
      </c>
      <c r="K5929" s="3"/>
      <c r="O5929" s="3"/>
    </row>
    <row r="5930" spans="1:15">
      <c r="A5930" s="3">
        <v>42454</v>
      </c>
      <c r="B5930" s="3">
        <v>42454</v>
      </c>
      <c r="C5930">
        <v>343.06</v>
      </c>
      <c r="D5930">
        <v>1.1167</v>
      </c>
      <c r="E5930">
        <v>40.44</v>
      </c>
      <c r="F5930">
        <v>222.45</v>
      </c>
      <c r="K5930" s="3"/>
      <c r="O5930" s="3"/>
    </row>
    <row r="5931" spans="1:15">
      <c r="A5931" s="3">
        <v>42455</v>
      </c>
      <c r="B5931" s="3">
        <v>42455</v>
      </c>
      <c r="C5931">
        <v>343.06</v>
      </c>
      <c r="D5931">
        <v>1.1167</v>
      </c>
      <c r="E5931">
        <v>40.44</v>
      </c>
      <c r="F5931">
        <v>222.45</v>
      </c>
      <c r="K5931" s="3"/>
      <c r="O5931" s="3"/>
    </row>
    <row r="5932" spans="1:15">
      <c r="A5932" s="3">
        <v>42456</v>
      </c>
      <c r="B5932" s="3">
        <v>42456</v>
      </c>
      <c r="C5932">
        <v>343.06</v>
      </c>
      <c r="D5932">
        <v>1.1167</v>
      </c>
      <c r="E5932">
        <v>40.44</v>
      </c>
      <c r="F5932">
        <v>222.45</v>
      </c>
      <c r="K5932" s="3"/>
      <c r="O5932" s="3"/>
    </row>
    <row r="5933" spans="1:15">
      <c r="A5933" s="3">
        <v>42457</v>
      </c>
      <c r="B5933" s="3">
        <v>42457</v>
      </c>
      <c r="C5933">
        <v>339.99</v>
      </c>
      <c r="D5933">
        <v>1.1195999999999999</v>
      </c>
      <c r="E5933">
        <v>40.270000000000003</v>
      </c>
      <c r="F5933">
        <v>224.15</v>
      </c>
      <c r="K5933" s="3"/>
      <c r="O5933" s="3"/>
    </row>
    <row r="5934" spans="1:15">
      <c r="A5934" s="3">
        <v>42458</v>
      </c>
      <c r="B5934" s="3">
        <v>42458</v>
      </c>
      <c r="C5934">
        <v>343.25</v>
      </c>
      <c r="D5934">
        <v>1.1291</v>
      </c>
      <c r="E5934">
        <v>39.14</v>
      </c>
      <c r="F5934">
        <v>220.85</v>
      </c>
      <c r="K5934" s="3"/>
      <c r="O5934" s="3"/>
    </row>
    <row r="5935" spans="1:15">
      <c r="A5935" s="3">
        <v>42459</v>
      </c>
      <c r="B5935" s="3">
        <v>42459</v>
      </c>
      <c r="C5935">
        <v>343.8</v>
      </c>
      <c r="D5935">
        <v>1.1337999999999999</v>
      </c>
      <c r="E5935">
        <v>39.26</v>
      </c>
      <c r="F5935">
        <v>219</v>
      </c>
      <c r="K5935" s="3"/>
      <c r="O5935" s="3"/>
    </row>
    <row r="5936" spans="1:15">
      <c r="A5936" s="3">
        <v>42460</v>
      </c>
      <c r="B5936" s="3">
        <v>42460</v>
      </c>
      <c r="C5936">
        <v>344.59</v>
      </c>
      <c r="D5936">
        <v>1.1379999999999999</v>
      </c>
      <c r="E5936">
        <v>39.6</v>
      </c>
      <c r="F5936">
        <v>218.3</v>
      </c>
      <c r="K5936" s="3"/>
      <c r="O5936" s="3"/>
    </row>
    <row r="5937" spans="1:15">
      <c r="A5937" s="3">
        <v>42461</v>
      </c>
      <c r="B5937" s="3">
        <v>42461</v>
      </c>
      <c r="C5937">
        <v>342.21</v>
      </c>
      <c r="D5937">
        <v>1.1391</v>
      </c>
      <c r="E5937">
        <v>38.67</v>
      </c>
      <c r="F5937">
        <v>216.3</v>
      </c>
      <c r="K5937" s="3"/>
      <c r="O5937" s="3"/>
    </row>
    <row r="5938" spans="1:15">
      <c r="A5938" s="3">
        <v>42462</v>
      </c>
      <c r="B5938" s="3">
        <v>42462</v>
      </c>
      <c r="C5938">
        <v>342.21</v>
      </c>
      <c r="D5938">
        <v>1.1391</v>
      </c>
      <c r="E5938">
        <v>38.67</v>
      </c>
      <c r="F5938">
        <v>216.3</v>
      </c>
      <c r="K5938" s="3"/>
      <c r="O5938" s="3"/>
    </row>
    <row r="5939" spans="1:15">
      <c r="A5939" s="3">
        <v>42463</v>
      </c>
      <c r="B5939" s="3">
        <v>42463</v>
      </c>
      <c r="C5939">
        <v>342.21</v>
      </c>
      <c r="D5939">
        <v>1.1391</v>
      </c>
      <c r="E5939">
        <v>38.67</v>
      </c>
      <c r="F5939">
        <v>216.3</v>
      </c>
      <c r="K5939" s="3"/>
      <c r="O5939" s="3"/>
    </row>
    <row r="5940" spans="1:15">
      <c r="A5940" s="3">
        <v>42464</v>
      </c>
      <c r="B5940" s="3">
        <v>42464</v>
      </c>
      <c r="C5940">
        <v>344.48</v>
      </c>
      <c r="D5940">
        <v>1.1391</v>
      </c>
      <c r="E5940">
        <v>37.69</v>
      </c>
      <c r="F5940">
        <v>214.05</v>
      </c>
      <c r="K5940" s="3"/>
      <c r="O5940" s="3"/>
    </row>
    <row r="5941" spans="1:15">
      <c r="A5941" s="3">
        <v>42465</v>
      </c>
      <c r="B5941" s="3">
        <v>42465</v>
      </c>
      <c r="C5941">
        <v>345.01</v>
      </c>
      <c r="D5941">
        <v>1.1384000000000001</v>
      </c>
      <c r="E5941">
        <v>37.869999999999997</v>
      </c>
      <c r="F5941">
        <v>213.8</v>
      </c>
      <c r="K5941" s="3"/>
      <c r="O5941" s="3"/>
    </row>
    <row r="5942" spans="1:15">
      <c r="A5942" s="3">
        <v>42466</v>
      </c>
      <c r="B5942" s="3">
        <v>42466</v>
      </c>
      <c r="C5942">
        <v>344.6</v>
      </c>
      <c r="D5942">
        <v>1.1398999999999999</v>
      </c>
      <c r="E5942">
        <v>39.840000000000003</v>
      </c>
      <c r="F5942">
        <v>214.35</v>
      </c>
      <c r="K5942" s="3"/>
      <c r="O5942" s="3"/>
    </row>
    <row r="5943" spans="1:15">
      <c r="A5943" s="3">
        <v>42467</v>
      </c>
      <c r="B5943" s="3">
        <v>42467</v>
      </c>
      <c r="C5943">
        <v>341.54</v>
      </c>
      <c r="D5943">
        <v>1.1377999999999999</v>
      </c>
      <c r="E5943">
        <v>39.43</v>
      </c>
      <c r="F5943">
        <v>207.65</v>
      </c>
      <c r="K5943" s="3"/>
      <c r="O5943" s="3"/>
    </row>
    <row r="5944" spans="1:15">
      <c r="A5944" s="3">
        <v>42468</v>
      </c>
      <c r="B5944" s="3">
        <v>42468</v>
      </c>
      <c r="C5944">
        <v>340.3</v>
      </c>
      <c r="D5944">
        <v>1.1398999999999999</v>
      </c>
      <c r="E5944">
        <v>41.94</v>
      </c>
      <c r="F5944">
        <v>208.7</v>
      </c>
      <c r="K5944" s="3"/>
      <c r="O5944" s="3"/>
    </row>
    <row r="5945" spans="1:15">
      <c r="A5945" s="3">
        <v>42469</v>
      </c>
      <c r="B5945" s="3">
        <v>42469</v>
      </c>
      <c r="C5945">
        <v>340.3</v>
      </c>
      <c r="D5945">
        <v>1.1398999999999999</v>
      </c>
      <c r="E5945">
        <v>41.94</v>
      </c>
      <c r="F5945">
        <v>208.7</v>
      </c>
      <c r="K5945" s="3"/>
      <c r="O5945" s="3"/>
    </row>
    <row r="5946" spans="1:15">
      <c r="A5946" s="3">
        <v>42470</v>
      </c>
      <c r="B5946" s="3">
        <v>42470</v>
      </c>
      <c r="C5946">
        <v>340.3</v>
      </c>
      <c r="D5946">
        <v>1.1398999999999999</v>
      </c>
      <c r="E5946">
        <v>41.94</v>
      </c>
      <c r="F5946">
        <v>208.7</v>
      </c>
      <c r="K5946" s="3"/>
      <c r="O5946" s="3"/>
    </row>
    <row r="5947" spans="1:15">
      <c r="A5947" s="3">
        <v>42471</v>
      </c>
      <c r="B5947" s="3">
        <v>42471</v>
      </c>
      <c r="C5947">
        <v>336.46</v>
      </c>
      <c r="D5947">
        <v>1.1408</v>
      </c>
      <c r="E5947">
        <v>42.83</v>
      </c>
      <c r="F5947">
        <v>209.05</v>
      </c>
      <c r="K5947" s="3"/>
      <c r="O5947" s="3"/>
    </row>
    <row r="5948" spans="1:15">
      <c r="A5948" s="3">
        <v>42472</v>
      </c>
      <c r="B5948" s="3">
        <v>42472</v>
      </c>
      <c r="C5948">
        <v>335.6</v>
      </c>
      <c r="D5948">
        <v>1.1386000000000001</v>
      </c>
      <c r="E5948">
        <v>44.69</v>
      </c>
      <c r="F5948">
        <v>214.7</v>
      </c>
      <c r="K5948" s="3"/>
      <c r="O5948" s="3"/>
    </row>
    <row r="5949" spans="1:15">
      <c r="A5949" s="3">
        <v>42473</v>
      </c>
      <c r="B5949" s="3">
        <v>42473</v>
      </c>
      <c r="C5949">
        <v>334.01</v>
      </c>
      <c r="D5949">
        <v>1.1274</v>
      </c>
      <c r="E5949">
        <v>44.18</v>
      </c>
      <c r="F5949">
        <v>216.8</v>
      </c>
      <c r="K5949" s="3"/>
      <c r="O5949" s="3"/>
    </row>
    <row r="5950" spans="1:15">
      <c r="A5950" s="3">
        <v>42474</v>
      </c>
      <c r="B5950" s="3">
        <v>42474</v>
      </c>
      <c r="C5950">
        <v>335.98</v>
      </c>
      <c r="D5950">
        <v>1.1268</v>
      </c>
      <c r="E5950">
        <v>43.84</v>
      </c>
      <c r="F5950">
        <v>217.1</v>
      </c>
      <c r="K5950" s="3"/>
      <c r="O5950" s="3"/>
    </row>
    <row r="5951" spans="1:15">
      <c r="A5951" s="3">
        <v>42475</v>
      </c>
      <c r="B5951" s="3">
        <v>42475</v>
      </c>
      <c r="C5951">
        <v>334.33</v>
      </c>
      <c r="D5951">
        <v>1.1284000000000001</v>
      </c>
      <c r="E5951">
        <v>43.1</v>
      </c>
      <c r="F5951">
        <v>215.3</v>
      </c>
      <c r="K5951" s="3"/>
      <c r="O5951" s="3"/>
    </row>
    <row r="5952" spans="1:15">
      <c r="A5952" s="3">
        <v>42476</v>
      </c>
      <c r="B5952" s="3">
        <v>42476</v>
      </c>
      <c r="C5952">
        <v>334.33</v>
      </c>
      <c r="D5952">
        <v>1.1284000000000001</v>
      </c>
      <c r="E5952">
        <v>43.1</v>
      </c>
      <c r="F5952">
        <v>215.3</v>
      </c>
      <c r="K5952" s="3"/>
      <c r="O5952" s="3"/>
    </row>
    <row r="5953" spans="1:15">
      <c r="A5953" s="3">
        <v>42477</v>
      </c>
      <c r="B5953" s="3">
        <v>42477</v>
      </c>
      <c r="C5953">
        <v>334.33</v>
      </c>
      <c r="D5953">
        <v>1.1284000000000001</v>
      </c>
      <c r="E5953">
        <v>43.1</v>
      </c>
      <c r="F5953">
        <v>215.3</v>
      </c>
      <c r="K5953" s="3"/>
      <c r="O5953" s="3"/>
    </row>
    <row r="5954" spans="1:15">
      <c r="A5954" s="3">
        <v>42478</v>
      </c>
      <c r="B5954" s="3">
        <v>42478</v>
      </c>
      <c r="C5954">
        <v>341.04</v>
      </c>
      <c r="D5954">
        <v>1.1313</v>
      </c>
      <c r="E5954">
        <v>42.91</v>
      </c>
      <c r="F5954">
        <v>216.45</v>
      </c>
      <c r="K5954" s="3"/>
      <c r="O5954" s="3"/>
    </row>
    <row r="5955" spans="1:15">
      <c r="A5955" s="3">
        <v>42479</v>
      </c>
      <c r="B5955" s="3">
        <v>42479</v>
      </c>
      <c r="C5955">
        <v>338.52</v>
      </c>
      <c r="D5955">
        <v>1.1357999999999999</v>
      </c>
      <c r="E5955">
        <v>44.03</v>
      </c>
      <c r="F5955">
        <v>222.35</v>
      </c>
      <c r="K5955" s="3"/>
      <c r="O5955" s="3"/>
    </row>
    <row r="5956" spans="1:15">
      <c r="A5956" s="3">
        <v>42480</v>
      </c>
      <c r="B5956" s="3">
        <v>42480</v>
      </c>
      <c r="C5956">
        <v>338.02</v>
      </c>
      <c r="D5956">
        <v>1.1296999999999999</v>
      </c>
      <c r="E5956">
        <v>45.8</v>
      </c>
      <c r="F5956">
        <v>223.8</v>
      </c>
      <c r="K5956" s="3"/>
      <c r="O5956" s="3"/>
    </row>
    <row r="5957" spans="1:15">
      <c r="A5957" s="3">
        <v>42481</v>
      </c>
      <c r="B5957" s="3">
        <v>42481</v>
      </c>
      <c r="C5957">
        <v>333.5</v>
      </c>
      <c r="D5957">
        <v>1.1288</v>
      </c>
      <c r="E5957">
        <v>44.53</v>
      </c>
      <c r="F5957">
        <v>225.1</v>
      </c>
      <c r="K5957" s="3"/>
      <c r="O5957" s="3"/>
    </row>
    <row r="5958" spans="1:15">
      <c r="A5958" s="3">
        <v>42482</v>
      </c>
      <c r="B5958" s="3">
        <v>42482</v>
      </c>
      <c r="C5958">
        <v>334.75</v>
      </c>
      <c r="D5958">
        <v>1.1222000000000001</v>
      </c>
      <c r="E5958">
        <v>45.11</v>
      </c>
      <c r="F5958">
        <v>226.45</v>
      </c>
      <c r="K5958" s="3"/>
      <c r="O5958" s="3"/>
    </row>
    <row r="5959" spans="1:15">
      <c r="A5959" s="3">
        <v>42483</v>
      </c>
      <c r="B5959" s="3">
        <v>42483</v>
      </c>
      <c r="C5959">
        <v>334.75</v>
      </c>
      <c r="D5959">
        <v>1.1222000000000001</v>
      </c>
      <c r="E5959">
        <v>45.11</v>
      </c>
      <c r="F5959">
        <v>226.45</v>
      </c>
      <c r="K5959" s="3"/>
      <c r="O5959" s="3"/>
    </row>
    <row r="5960" spans="1:15">
      <c r="A5960" s="3">
        <v>42484</v>
      </c>
      <c r="B5960" s="3">
        <v>42484</v>
      </c>
      <c r="C5960">
        <v>334.75</v>
      </c>
      <c r="D5960">
        <v>1.1222000000000001</v>
      </c>
      <c r="E5960">
        <v>45.11</v>
      </c>
      <c r="F5960">
        <v>226.45</v>
      </c>
      <c r="K5960" s="3"/>
      <c r="O5960" s="3"/>
    </row>
    <row r="5961" spans="1:15">
      <c r="A5961" s="3">
        <v>42485</v>
      </c>
      <c r="B5961" s="3">
        <v>42485</v>
      </c>
      <c r="C5961">
        <v>333.75</v>
      </c>
      <c r="D5961">
        <v>1.1268</v>
      </c>
      <c r="E5961">
        <v>44.48</v>
      </c>
      <c r="F5961">
        <v>225.25</v>
      </c>
      <c r="K5961" s="3"/>
      <c r="O5961" s="3"/>
    </row>
    <row r="5962" spans="1:15">
      <c r="A5962" s="3">
        <v>42486</v>
      </c>
      <c r="B5962" s="3">
        <v>42486</v>
      </c>
      <c r="C5962">
        <v>333.3</v>
      </c>
      <c r="D5962">
        <v>1.1296999999999999</v>
      </c>
      <c r="E5962">
        <v>45.74</v>
      </c>
      <c r="F5962">
        <v>224.2</v>
      </c>
      <c r="K5962" s="3"/>
      <c r="O5962" s="3"/>
    </row>
    <row r="5963" spans="1:15">
      <c r="A5963" s="3">
        <v>42487</v>
      </c>
      <c r="B5963" s="3">
        <v>42487</v>
      </c>
      <c r="C5963">
        <v>331.01</v>
      </c>
      <c r="D5963">
        <v>1.1322000000000001</v>
      </c>
      <c r="E5963">
        <v>47.18</v>
      </c>
      <c r="F5963">
        <v>221.65</v>
      </c>
      <c r="K5963" s="3"/>
      <c r="O5963" s="3"/>
    </row>
    <row r="5964" spans="1:15">
      <c r="A5964" s="3">
        <v>42488</v>
      </c>
      <c r="B5964" s="3">
        <v>42488</v>
      </c>
      <c r="C5964">
        <v>331.1</v>
      </c>
      <c r="D5964">
        <v>1.1352</v>
      </c>
      <c r="E5964">
        <v>48.14</v>
      </c>
      <c r="F5964">
        <v>222.45</v>
      </c>
      <c r="K5964" s="3"/>
      <c r="O5964" s="3"/>
    </row>
    <row r="5965" spans="1:15">
      <c r="A5965" s="3">
        <v>42489</v>
      </c>
      <c r="B5965" s="3">
        <v>42489</v>
      </c>
      <c r="C5965">
        <v>327.36</v>
      </c>
      <c r="D5965">
        <v>1.1451</v>
      </c>
      <c r="E5965">
        <v>48.13</v>
      </c>
      <c r="F5965">
        <v>227.9</v>
      </c>
      <c r="K5965" s="3"/>
      <c r="O5965" s="3"/>
    </row>
    <row r="5966" spans="1:15">
      <c r="A5966" s="3">
        <v>42490</v>
      </c>
      <c r="B5966" s="3">
        <v>42490</v>
      </c>
      <c r="C5966">
        <v>327.36</v>
      </c>
      <c r="D5966">
        <v>1.1451</v>
      </c>
      <c r="E5966">
        <v>48.13</v>
      </c>
      <c r="F5966">
        <v>227.9</v>
      </c>
      <c r="K5966" s="3"/>
      <c r="O5966" s="3"/>
    </row>
    <row r="5967" spans="1:15">
      <c r="A5967" s="3">
        <v>42491</v>
      </c>
      <c r="B5967" s="3">
        <v>42491</v>
      </c>
      <c r="C5967">
        <v>327.36</v>
      </c>
      <c r="D5967">
        <v>1.1451</v>
      </c>
      <c r="E5967">
        <v>48.13</v>
      </c>
      <c r="F5967">
        <v>227.9</v>
      </c>
      <c r="K5967" s="3"/>
      <c r="O5967" s="3"/>
    </row>
    <row r="5968" spans="1:15">
      <c r="A5968" s="3">
        <v>42492</v>
      </c>
      <c r="B5968" s="3">
        <v>42492</v>
      </c>
      <c r="C5968">
        <v>327.35000000000002</v>
      </c>
      <c r="D5968">
        <v>1.1534</v>
      </c>
      <c r="E5968">
        <v>45.83</v>
      </c>
      <c r="F5968">
        <v>226.15</v>
      </c>
      <c r="K5968" s="3"/>
      <c r="O5968" s="3"/>
    </row>
    <row r="5969" spans="1:15">
      <c r="A5969" s="3">
        <v>42493</v>
      </c>
      <c r="B5969" s="3">
        <v>42493</v>
      </c>
      <c r="C5969">
        <v>336.5</v>
      </c>
      <c r="D5969">
        <v>1.1496</v>
      </c>
      <c r="E5969">
        <v>44.97</v>
      </c>
      <c r="F5969">
        <v>221.45</v>
      </c>
      <c r="K5969" s="3"/>
      <c r="O5969" s="3"/>
    </row>
    <row r="5970" spans="1:15">
      <c r="A5970" s="3">
        <v>42494</v>
      </c>
      <c r="B5970" s="3">
        <v>42494</v>
      </c>
      <c r="C5970">
        <v>333</v>
      </c>
      <c r="D5970">
        <v>1.1487000000000001</v>
      </c>
      <c r="E5970">
        <v>44.62</v>
      </c>
      <c r="F5970">
        <v>218.3</v>
      </c>
      <c r="K5970" s="3"/>
      <c r="O5970" s="3"/>
    </row>
    <row r="5971" spans="1:15">
      <c r="A5971" s="3">
        <v>42495</v>
      </c>
      <c r="B5971" s="3">
        <v>42495</v>
      </c>
      <c r="C5971">
        <v>332.18</v>
      </c>
      <c r="D5971">
        <v>1.1405000000000001</v>
      </c>
      <c r="E5971">
        <v>45.01</v>
      </c>
      <c r="F5971">
        <v>215.1</v>
      </c>
      <c r="K5971" s="3"/>
      <c r="O5971" s="3"/>
    </row>
    <row r="5972" spans="1:15">
      <c r="A5972" s="3">
        <v>42496</v>
      </c>
      <c r="B5972" s="3">
        <v>42496</v>
      </c>
      <c r="C5972">
        <v>334.69</v>
      </c>
      <c r="D5972">
        <v>1.1404000000000001</v>
      </c>
      <c r="E5972">
        <v>45.37</v>
      </c>
      <c r="F5972">
        <v>215.1</v>
      </c>
      <c r="K5972" s="3"/>
      <c r="O5972" s="3"/>
    </row>
    <row r="5973" spans="1:15">
      <c r="A5973" s="3">
        <v>42497</v>
      </c>
      <c r="B5973" s="3">
        <v>42497</v>
      </c>
      <c r="C5973">
        <v>334.69</v>
      </c>
      <c r="D5973">
        <v>1.1404000000000001</v>
      </c>
      <c r="E5973">
        <v>45.37</v>
      </c>
      <c r="F5973">
        <v>215.1</v>
      </c>
      <c r="K5973" s="3"/>
      <c r="O5973" s="3"/>
    </row>
    <row r="5974" spans="1:15">
      <c r="A5974" s="3">
        <v>42498</v>
      </c>
      <c r="B5974" s="3">
        <v>42498</v>
      </c>
      <c r="C5974">
        <v>334.69</v>
      </c>
      <c r="D5974">
        <v>1.1404000000000001</v>
      </c>
      <c r="E5974">
        <v>45.37</v>
      </c>
      <c r="F5974">
        <v>215.1</v>
      </c>
      <c r="K5974" s="3"/>
      <c r="O5974" s="3"/>
    </row>
    <row r="5975" spans="1:15">
      <c r="A5975" s="3">
        <v>42499</v>
      </c>
      <c r="B5975" s="3">
        <v>42499</v>
      </c>
      <c r="C5975">
        <v>334</v>
      </c>
      <c r="D5975">
        <v>1.1383000000000001</v>
      </c>
      <c r="E5975">
        <v>43.63</v>
      </c>
      <c r="F5975">
        <v>210.4</v>
      </c>
      <c r="K5975" s="3"/>
      <c r="O5975" s="3"/>
    </row>
    <row r="5976" spans="1:15">
      <c r="A5976" s="3">
        <v>42500</v>
      </c>
      <c r="B5976" s="3">
        <v>42500</v>
      </c>
      <c r="C5976">
        <v>334</v>
      </c>
      <c r="D5976">
        <v>1.1372</v>
      </c>
      <c r="E5976">
        <v>45.52</v>
      </c>
      <c r="F5976">
        <v>209</v>
      </c>
      <c r="K5976" s="3"/>
      <c r="O5976" s="3"/>
    </row>
    <row r="5977" spans="1:15">
      <c r="A5977" s="3">
        <v>42501</v>
      </c>
      <c r="B5977" s="3">
        <v>42501</v>
      </c>
      <c r="C5977">
        <v>333</v>
      </c>
      <c r="D5977">
        <v>1.1426000000000001</v>
      </c>
      <c r="E5977">
        <v>47.6</v>
      </c>
      <c r="F5977">
        <v>210.1</v>
      </c>
      <c r="K5977" s="3"/>
      <c r="O5977" s="3"/>
    </row>
    <row r="5978" spans="1:15">
      <c r="A5978" s="3">
        <v>42502</v>
      </c>
      <c r="B5978" s="3">
        <v>42502</v>
      </c>
      <c r="C5978">
        <v>330</v>
      </c>
      <c r="D5978">
        <v>1.1376999999999999</v>
      </c>
      <c r="E5978">
        <v>48.08</v>
      </c>
      <c r="F5978">
        <v>207.3</v>
      </c>
      <c r="K5978" s="3"/>
      <c r="O5978" s="3"/>
    </row>
    <row r="5979" spans="1:15">
      <c r="A5979" s="3">
        <v>42503</v>
      </c>
      <c r="B5979" s="3">
        <v>42503</v>
      </c>
      <c r="C5979">
        <v>328</v>
      </c>
      <c r="D5979">
        <v>1.1309</v>
      </c>
      <c r="E5979">
        <v>47.83</v>
      </c>
      <c r="F5979">
        <v>207.5</v>
      </c>
      <c r="K5979" s="3"/>
      <c r="O5979" s="3"/>
    </row>
    <row r="5980" spans="1:15">
      <c r="A5980" s="3">
        <v>42504</v>
      </c>
      <c r="B5980" s="3">
        <v>42504</v>
      </c>
      <c r="C5980">
        <v>328</v>
      </c>
      <c r="D5980">
        <v>1.1309</v>
      </c>
      <c r="E5980">
        <v>47.83</v>
      </c>
      <c r="F5980">
        <v>207.5</v>
      </c>
      <c r="K5980" s="3"/>
      <c r="O5980" s="3"/>
    </row>
    <row r="5981" spans="1:15">
      <c r="A5981" s="3">
        <v>42505</v>
      </c>
      <c r="B5981" s="3">
        <v>42505</v>
      </c>
      <c r="C5981">
        <v>328</v>
      </c>
      <c r="D5981">
        <v>1.1309</v>
      </c>
      <c r="E5981">
        <v>47.83</v>
      </c>
      <c r="F5981">
        <v>207.5</v>
      </c>
      <c r="K5981" s="3"/>
      <c r="O5981" s="3"/>
    </row>
    <row r="5982" spans="1:15">
      <c r="A5982" s="3">
        <v>42506</v>
      </c>
      <c r="B5982" s="3">
        <v>42506</v>
      </c>
      <c r="C5982">
        <v>328.22</v>
      </c>
      <c r="D5982">
        <v>1.1321000000000001</v>
      </c>
      <c r="E5982">
        <v>48.97</v>
      </c>
      <c r="F5982">
        <v>209.1</v>
      </c>
      <c r="K5982" s="3"/>
      <c r="O5982" s="3"/>
    </row>
    <row r="5983" spans="1:15">
      <c r="A5983" s="3">
        <v>42507</v>
      </c>
      <c r="B5983" s="3">
        <v>42507</v>
      </c>
      <c r="C5983">
        <v>329.05</v>
      </c>
      <c r="D5983">
        <v>1.1313</v>
      </c>
      <c r="E5983">
        <v>49.28</v>
      </c>
      <c r="F5983">
        <v>209.2</v>
      </c>
      <c r="K5983" s="3"/>
      <c r="O5983" s="3"/>
    </row>
    <row r="5984" spans="1:15">
      <c r="A5984" s="3">
        <v>42508</v>
      </c>
      <c r="B5984" s="3">
        <v>42508</v>
      </c>
      <c r="C5984">
        <v>329.83</v>
      </c>
      <c r="D5984">
        <v>1.1215999999999999</v>
      </c>
      <c r="E5984">
        <v>48.93</v>
      </c>
      <c r="F5984">
        <v>208.15</v>
      </c>
      <c r="K5984" s="3"/>
      <c r="O5984" s="3"/>
    </row>
    <row r="5985" spans="1:15">
      <c r="A5985" s="3">
        <v>42509</v>
      </c>
      <c r="B5985" s="3">
        <v>42509</v>
      </c>
      <c r="C5985">
        <v>335.59</v>
      </c>
      <c r="D5985">
        <v>1.1203000000000001</v>
      </c>
      <c r="E5985">
        <v>48.81</v>
      </c>
      <c r="F5985">
        <v>206.3</v>
      </c>
      <c r="K5985" s="3"/>
      <c r="O5985" s="3"/>
    </row>
    <row r="5986" spans="1:15">
      <c r="A5986" s="3">
        <v>42510</v>
      </c>
      <c r="B5986" s="3">
        <v>42510</v>
      </c>
      <c r="C5986">
        <v>335</v>
      </c>
      <c r="D5986">
        <v>1.1224000000000001</v>
      </c>
      <c r="E5986">
        <v>48.72</v>
      </c>
      <c r="F5986">
        <v>205.85</v>
      </c>
      <c r="K5986" s="3"/>
      <c r="O5986" s="3"/>
    </row>
    <row r="5987" spans="1:15">
      <c r="A5987" s="3">
        <v>42511</v>
      </c>
      <c r="B5987" s="3">
        <v>42511</v>
      </c>
      <c r="C5987">
        <v>335</v>
      </c>
      <c r="D5987">
        <v>1.1224000000000001</v>
      </c>
      <c r="E5987">
        <v>48.72</v>
      </c>
      <c r="F5987">
        <v>205.85</v>
      </c>
      <c r="K5987" s="3"/>
      <c r="O5987" s="3"/>
    </row>
    <row r="5988" spans="1:15">
      <c r="A5988" s="3">
        <v>42512</v>
      </c>
      <c r="B5988" s="3">
        <v>42512</v>
      </c>
      <c r="C5988">
        <v>335</v>
      </c>
      <c r="D5988">
        <v>1.1224000000000001</v>
      </c>
      <c r="E5988">
        <v>48.72</v>
      </c>
      <c r="F5988">
        <v>205.85</v>
      </c>
      <c r="K5988" s="3"/>
      <c r="O5988" s="3"/>
    </row>
    <row r="5989" spans="1:15">
      <c r="A5989" s="3">
        <v>42513</v>
      </c>
      <c r="B5989" s="3">
        <v>42513</v>
      </c>
      <c r="C5989">
        <v>336.69</v>
      </c>
      <c r="D5989">
        <v>1.1220000000000001</v>
      </c>
      <c r="E5989">
        <v>48.35</v>
      </c>
      <c r="F5989">
        <v>205.75</v>
      </c>
      <c r="K5989" s="3"/>
      <c r="O5989" s="3"/>
    </row>
    <row r="5990" spans="1:15">
      <c r="A5990" s="3">
        <v>42514</v>
      </c>
      <c r="B5990" s="3">
        <v>42514</v>
      </c>
      <c r="C5990">
        <v>336.74</v>
      </c>
      <c r="D5990">
        <v>1.1141000000000001</v>
      </c>
      <c r="E5990">
        <v>48.61</v>
      </c>
      <c r="F5990">
        <v>206.95</v>
      </c>
      <c r="K5990" s="3"/>
      <c r="O5990" s="3"/>
    </row>
    <row r="5991" spans="1:15">
      <c r="A5991" s="3">
        <v>42515</v>
      </c>
      <c r="B5991" s="3">
        <v>42515</v>
      </c>
      <c r="C5991">
        <v>335.68</v>
      </c>
      <c r="D5991">
        <v>1.1154999999999999</v>
      </c>
      <c r="E5991">
        <v>49.74</v>
      </c>
      <c r="F5991">
        <v>210.5</v>
      </c>
      <c r="K5991" s="3"/>
      <c r="O5991" s="3"/>
    </row>
    <row r="5992" spans="1:15">
      <c r="A5992" s="3">
        <v>42516</v>
      </c>
      <c r="B5992" s="3">
        <v>42516</v>
      </c>
      <c r="C5992">
        <v>333.32</v>
      </c>
      <c r="D5992">
        <v>1.1194</v>
      </c>
      <c r="E5992">
        <v>49.59</v>
      </c>
      <c r="F5992">
        <v>210.65</v>
      </c>
      <c r="K5992" s="3"/>
      <c r="O5992" s="3"/>
    </row>
    <row r="5993" spans="1:15">
      <c r="A5993" s="3">
        <v>42517</v>
      </c>
      <c r="B5993" s="3">
        <v>42517</v>
      </c>
      <c r="C5993">
        <v>336.45</v>
      </c>
      <c r="D5993">
        <v>1.1114999999999999</v>
      </c>
      <c r="E5993">
        <v>49.32</v>
      </c>
      <c r="F5993">
        <v>211.4</v>
      </c>
      <c r="K5993" s="3"/>
      <c r="O5993" s="3"/>
    </row>
    <row r="5994" spans="1:15">
      <c r="A5994" s="3">
        <v>42518</v>
      </c>
      <c r="B5994" s="3">
        <v>42518</v>
      </c>
      <c r="C5994">
        <v>336.45</v>
      </c>
      <c r="D5994">
        <v>1.1114999999999999</v>
      </c>
      <c r="E5994">
        <v>49.32</v>
      </c>
      <c r="F5994">
        <v>211.4</v>
      </c>
      <c r="K5994" s="3"/>
      <c r="O5994" s="3"/>
    </row>
    <row r="5995" spans="1:15">
      <c r="A5995" s="3">
        <v>42519</v>
      </c>
      <c r="B5995" s="3">
        <v>42519</v>
      </c>
      <c r="C5995">
        <v>336.45</v>
      </c>
      <c r="D5995">
        <v>1.1114999999999999</v>
      </c>
      <c r="E5995">
        <v>49.32</v>
      </c>
      <c r="F5995">
        <v>211.4</v>
      </c>
      <c r="K5995" s="3"/>
      <c r="O5995" s="3"/>
    </row>
    <row r="5996" spans="1:15">
      <c r="A5996" s="3">
        <v>42520</v>
      </c>
      <c r="B5996" s="3">
        <v>42520</v>
      </c>
      <c r="C5996">
        <v>336.09</v>
      </c>
      <c r="D5996">
        <v>1.1137999999999999</v>
      </c>
      <c r="E5996">
        <v>49.76</v>
      </c>
      <c r="F5996">
        <v>211.4</v>
      </c>
      <c r="K5996" s="3"/>
      <c r="O5996" s="3"/>
    </row>
    <row r="5997" spans="1:15">
      <c r="A5997" s="3">
        <v>42521</v>
      </c>
      <c r="B5997" s="3">
        <v>42521</v>
      </c>
      <c r="C5997">
        <v>336.1</v>
      </c>
      <c r="D5997">
        <v>1.1132</v>
      </c>
      <c r="E5997">
        <v>49.69</v>
      </c>
      <c r="F5997">
        <v>209.55</v>
      </c>
      <c r="K5997" s="3"/>
      <c r="O5997" s="3"/>
    </row>
    <row r="5998" spans="1:15">
      <c r="A5998" s="3">
        <v>42522</v>
      </c>
      <c r="B5998" s="3">
        <v>42522</v>
      </c>
      <c r="C5998">
        <v>337.3</v>
      </c>
      <c r="D5998">
        <v>1.1188</v>
      </c>
      <c r="E5998">
        <v>49.72</v>
      </c>
      <c r="F5998">
        <v>207.3</v>
      </c>
      <c r="K5998" s="3"/>
      <c r="O5998" s="3"/>
    </row>
    <row r="5999" spans="1:15">
      <c r="A5999" s="3">
        <v>42523</v>
      </c>
      <c r="B5999" s="3">
        <v>42523</v>
      </c>
      <c r="C5999">
        <v>337</v>
      </c>
      <c r="D5999">
        <v>1.1151</v>
      </c>
      <c r="E5999">
        <v>50.04</v>
      </c>
      <c r="F5999">
        <v>207</v>
      </c>
      <c r="K5999" s="3"/>
      <c r="O5999" s="3"/>
    </row>
    <row r="6000" spans="1:15">
      <c r="A6000" s="3">
        <v>42524</v>
      </c>
      <c r="B6000" s="3">
        <v>42524</v>
      </c>
      <c r="C6000">
        <v>336.22</v>
      </c>
      <c r="D6000">
        <v>1.1367</v>
      </c>
      <c r="E6000">
        <v>49.64</v>
      </c>
      <c r="F6000">
        <v>211.3</v>
      </c>
      <c r="K6000" s="3"/>
      <c r="O6000" s="3"/>
    </row>
    <row r="6001" spans="1:15">
      <c r="A6001" s="3">
        <v>42525</v>
      </c>
      <c r="B6001" s="3">
        <v>42525</v>
      </c>
      <c r="C6001">
        <v>336.22</v>
      </c>
      <c r="D6001">
        <v>1.1367</v>
      </c>
      <c r="E6001">
        <v>49.64</v>
      </c>
      <c r="F6001">
        <v>211.3</v>
      </c>
      <c r="K6001" s="3"/>
      <c r="O6001" s="3"/>
    </row>
    <row r="6002" spans="1:15">
      <c r="A6002" s="3">
        <v>42526</v>
      </c>
      <c r="B6002" s="3">
        <v>42526</v>
      </c>
      <c r="C6002">
        <v>336.22</v>
      </c>
      <c r="D6002">
        <v>1.1367</v>
      </c>
      <c r="E6002">
        <v>49.64</v>
      </c>
      <c r="F6002">
        <v>211.3</v>
      </c>
      <c r="K6002" s="3"/>
      <c r="O6002" s="3"/>
    </row>
    <row r="6003" spans="1:15">
      <c r="A6003" s="3">
        <v>42527</v>
      </c>
      <c r="B6003" s="3">
        <v>42527</v>
      </c>
      <c r="C6003">
        <v>336.22</v>
      </c>
      <c r="D6003">
        <v>1.1355</v>
      </c>
      <c r="E6003">
        <v>50.55</v>
      </c>
      <c r="F6003">
        <v>211.75</v>
      </c>
      <c r="K6003" s="3"/>
      <c r="O6003" s="3"/>
    </row>
    <row r="6004" spans="1:15">
      <c r="A6004" s="3">
        <v>42528</v>
      </c>
      <c r="B6004" s="3">
        <v>42528</v>
      </c>
      <c r="C6004">
        <v>334.25</v>
      </c>
      <c r="D6004">
        <v>1.1357999999999999</v>
      </c>
      <c r="E6004">
        <v>51.44</v>
      </c>
      <c r="F6004">
        <v>205.1</v>
      </c>
      <c r="K6004" s="3"/>
      <c r="O6004" s="3"/>
    </row>
    <row r="6005" spans="1:15">
      <c r="A6005" s="3">
        <v>42529</v>
      </c>
      <c r="B6005" s="3">
        <v>42529</v>
      </c>
      <c r="C6005">
        <v>329.75</v>
      </c>
      <c r="D6005">
        <v>1.1395</v>
      </c>
      <c r="E6005">
        <v>52.51</v>
      </c>
      <c r="F6005">
        <v>206.15</v>
      </c>
      <c r="K6005" s="3"/>
      <c r="O6005" s="3"/>
    </row>
    <row r="6006" spans="1:15">
      <c r="A6006" s="3">
        <v>42530</v>
      </c>
      <c r="B6006" s="3">
        <v>42530</v>
      </c>
      <c r="C6006">
        <v>331.59</v>
      </c>
      <c r="D6006">
        <v>1.1315999999999999</v>
      </c>
      <c r="E6006">
        <v>51.95</v>
      </c>
      <c r="F6006">
        <v>203.9</v>
      </c>
      <c r="K6006" s="3"/>
      <c r="O6006" s="3"/>
    </row>
    <row r="6007" spans="1:15">
      <c r="A6007" s="3">
        <v>42531</v>
      </c>
      <c r="B6007" s="3">
        <v>42531</v>
      </c>
      <c r="C6007">
        <v>335.09</v>
      </c>
      <c r="D6007">
        <v>1.1251</v>
      </c>
      <c r="E6007">
        <v>50.54</v>
      </c>
      <c r="F6007">
        <v>203.05</v>
      </c>
      <c r="K6007" s="3"/>
      <c r="O6007" s="3"/>
    </row>
    <row r="6008" spans="1:15">
      <c r="A6008" s="3">
        <v>42532</v>
      </c>
      <c r="B6008" s="3">
        <v>42532</v>
      </c>
      <c r="C6008">
        <v>335.09</v>
      </c>
      <c r="D6008">
        <v>1.1251</v>
      </c>
      <c r="E6008">
        <v>50.54</v>
      </c>
      <c r="F6008">
        <v>203.05</v>
      </c>
      <c r="K6008" s="3"/>
      <c r="O6008" s="3"/>
    </row>
    <row r="6009" spans="1:15">
      <c r="A6009" s="3">
        <v>42533</v>
      </c>
      <c r="B6009" s="3">
        <v>42533</v>
      </c>
      <c r="C6009">
        <v>335.09</v>
      </c>
      <c r="D6009">
        <v>1.1251</v>
      </c>
      <c r="E6009">
        <v>50.54</v>
      </c>
      <c r="F6009">
        <v>203.05</v>
      </c>
      <c r="K6009" s="3"/>
      <c r="O6009" s="3"/>
    </row>
    <row r="6010" spans="1:15">
      <c r="A6010" s="3">
        <v>42534</v>
      </c>
      <c r="B6010" s="3">
        <v>42534</v>
      </c>
      <c r="C6010">
        <v>333.9</v>
      </c>
      <c r="D6010">
        <v>1.1292</v>
      </c>
      <c r="E6010">
        <v>50.35</v>
      </c>
      <c r="F6010">
        <v>205.35</v>
      </c>
      <c r="K6010" s="3"/>
      <c r="O6010" s="3"/>
    </row>
    <row r="6011" spans="1:15">
      <c r="A6011" s="3">
        <v>42535</v>
      </c>
      <c r="B6011" s="3">
        <v>42535</v>
      </c>
      <c r="C6011">
        <v>337.99</v>
      </c>
      <c r="D6011">
        <v>1.1207</v>
      </c>
      <c r="E6011">
        <v>49.83</v>
      </c>
      <c r="F6011">
        <v>204.05</v>
      </c>
      <c r="K6011" s="3"/>
      <c r="O6011" s="3"/>
    </row>
    <row r="6012" spans="1:15">
      <c r="A6012" s="3">
        <v>42536</v>
      </c>
      <c r="B6012" s="3">
        <v>42536</v>
      </c>
      <c r="C6012">
        <v>337.94</v>
      </c>
      <c r="D6012">
        <v>1.1259999999999999</v>
      </c>
      <c r="E6012">
        <v>48.97</v>
      </c>
      <c r="F6012">
        <v>209.1</v>
      </c>
      <c r="K6012" s="3"/>
      <c r="O6012" s="3"/>
    </row>
    <row r="6013" spans="1:15">
      <c r="A6013" s="3">
        <v>42537</v>
      </c>
      <c r="B6013" s="3">
        <v>42537</v>
      </c>
      <c r="C6013">
        <v>336.22</v>
      </c>
      <c r="D6013">
        <v>1.1225000000000001</v>
      </c>
      <c r="E6013">
        <v>47.19</v>
      </c>
      <c r="F6013">
        <v>204.8</v>
      </c>
      <c r="K6013" s="3"/>
      <c r="O6013" s="3"/>
    </row>
    <row r="6014" spans="1:15">
      <c r="A6014" s="3">
        <v>42538</v>
      </c>
      <c r="B6014" s="3">
        <v>42538</v>
      </c>
      <c r="C6014">
        <v>338.84</v>
      </c>
      <c r="D6014">
        <v>1.1276999999999999</v>
      </c>
      <c r="E6014">
        <v>49.17</v>
      </c>
      <c r="F6014">
        <v>205.1</v>
      </c>
      <c r="K6014" s="3"/>
      <c r="O6014" s="3"/>
    </row>
    <row r="6015" spans="1:15">
      <c r="A6015" s="3">
        <v>42539</v>
      </c>
      <c r="B6015" s="3">
        <v>42539</v>
      </c>
      <c r="C6015">
        <v>338.84</v>
      </c>
      <c r="D6015">
        <v>1.1276999999999999</v>
      </c>
      <c r="E6015">
        <v>49.17</v>
      </c>
      <c r="F6015">
        <v>205.1</v>
      </c>
      <c r="K6015" s="3"/>
      <c r="O6015" s="3"/>
    </row>
    <row r="6016" spans="1:15">
      <c r="A6016" s="3">
        <v>42540</v>
      </c>
      <c r="B6016" s="3">
        <v>42540</v>
      </c>
      <c r="C6016">
        <v>338.84</v>
      </c>
      <c r="D6016">
        <v>1.1276999999999999</v>
      </c>
      <c r="E6016">
        <v>49.17</v>
      </c>
      <c r="F6016">
        <v>205.1</v>
      </c>
      <c r="K6016" s="3"/>
      <c r="O6016" s="3"/>
    </row>
    <row r="6017" spans="1:15">
      <c r="A6017" s="3">
        <v>42541</v>
      </c>
      <c r="B6017" s="3">
        <v>42541</v>
      </c>
      <c r="C6017">
        <v>329.5</v>
      </c>
      <c r="D6017">
        <v>1.1314</v>
      </c>
      <c r="E6017">
        <v>50.65</v>
      </c>
      <c r="F6017">
        <v>209.3</v>
      </c>
      <c r="K6017" s="3"/>
      <c r="O6017" s="3"/>
    </row>
    <row r="6018" spans="1:15">
      <c r="A6018" s="3">
        <v>42542</v>
      </c>
      <c r="B6018" s="3">
        <v>42542</v>
      </c>
      <c r="C6018">
        <v>335.25</v>
      </c>
      <c r="D6018">
        <v>1.1242000000000001</v>
      </c>
      <c r="E6018">
        <v>50.62</v>
      </c>
      <c r="F6018">
        <v>211.6</v>
      </c>
      <c r="K6018" s="3"/>
      <c r="O6018" s="3"/>
    </row>
    <row r="6019" spans="1:15">
      <c r="A6019" s="3">
        <v>42543</v>
      </c>
      <c r="B6019" s="3">
        <v>42543</v>
      </c>
      <c r="C6019">
        <v>334.75</v>
      </c>
      <c r="D6019">
        <v>1.1295999999999999</v>
      </c>
      <c r="E6019">
        <v>49.88</v>
      </c>
      <c r="F6019">
        <v>213.55</v>
      </c>
      <c r="K6019" s="3"/>
      <c r="O6019" s="3"/>
    </row>
    <row r="6020" spans="1:15">
      <c r="A6020" s="3">
        <v>42544</v>
      </c>
      <c r="B6020" s="3">
        <v>42544</v>
      </c>
      <c r="C6020">
        <v>334.59</v>
      </c>
      <c r="D6020">
        <v>1.1385000000000001</v>
      </c>
      <c r="E6020">
        <v>50.91</v>
      </c>
      <c r="F6020">
        <v>216.25</v>
      </c>
      <c r="K6020" s="3"/>
      <c r="O6020" s="3"/>
    </row>
    <row r="6021" spans="1:15">
      <c r="A6021" s="3">
        <v>42545</v>
      </c>
      <c r="B6021" s="3">
        <v>42545</v>
      </c>
      <c r="C6021">
        <v>340</v>
      </c>
      <c r="D6021">
        <v>1.1116999999999999</v>
      </c>
      <c r="E6021">
        <v>48.41</v>
      </c>
      <c r="F6021">
        <v>211.05</v>
      </c>
      <c r="K6021" s="3"/>
      <c r="O6021" s="3"/>
    </row>
    <row r="6022" spans="1:15">
      <c r="A6022" s="3">
        <v>42546</v>
      </c>
      <c r="B6022" s="3">
        <v>42546</v>
      </c>
      <c r="C6022">
        <v>340</v>
      </c>
      <c r="D6022">
        <v>1.1116999999999999</v>
      </c>
      <c r="E6022">
        <v>48.41</v>
      </c>
      <c r="F6022">
        <v>211.05</v>
      </c>
      <c r="K6022" s="3"/>
      <c r="O6022" s="3"/>
    </row>
    <row r="6023" spans="1:15">
      <c r="A6023" s="3">
        <v>42547</v>
      </c>
      <c r="B6023" s="3">
        <v>42547</v>
      </c>
      <c r="C6023">
        <v>340</v>
      </c>
      <c r="D6023">
        <v>1.1116999999999999</v>
      </c>
      <c r="E6023">
        <v>48.41</v>
      </c>
      <c r="F6023">
        <v>211.05</v>
      </c>
      <c r="K6023" s="3"/>
      <c r="O6023" s="3"/>
    </row>
    <row r="6024" spans="1:15">
      <c r="A6024" s="3">
        <v>42548</v>
      </c>
      <c r="B6024" s="3">
        <v>42548</v>
      </c>
      <c r="C6024">
        <v>340</v>
      </c>
      <c r="D6024">
        <v>1.1025</v>
      </c>
      <c r="E6024">
        <v>47.16</v>
      </c>
      <c r="F6024">
        <v>212.2</v>
      </c>
      <c r="K6024" s="3"/>
      <c r="O6024" s="3"/>
    </row>
    <row r="6025" spans="1:15">
      <c r="A6025" s="3">
        <v>42549</v>
      </c>
      <c r="B6025" s="3">
        <v>42549</v>
      </c>
      <c r="C6025">
        <v>339.01</v>
      </c>
      <c r="D6025">
        <v>1.1065</v>
      </c>
      <c r="E6025">
        <v>48.58</v>
      </c>
      <c r="F6025">
        <v>217.05</v>
      </c>
      <c r="K6025" s="3"/>
      <c r="O6025" s="3"/>
    </row>
    <row r="6026" spans="1:15">
      <c r="A6026" s="3">
        <v>42550</v>
      </c>
      <c r="B6026" s="3">
        <v>42550</v>
      </c>
      <c r="C6026">
        <v>339.25</v>
      </c>
      <c r="D6026">
        <v>1.1125</v>
      </c>
      <c r="E6026">
        <v>50.61</v>
      </c>
      <c r="F6026">
        <v>218.35</v>
      </c>
      <c r="K6026" s="3"/>
      <c r="O6026" s="3"/>
    </row>
    <row r="6027" spans="1:15">
      <c r="A6027" s="3">
        <v>42551</v>
      </c>
      <c r="B6027" s="3">
        <v>42551</v>
      </c>
      <c r="C6027">
        <v>339.18</v>
      </c>
      <c r="D6027">
        <v>1.1106</v>
      </c>
      <c r="E6027">
        <v>49.68</v>
      </c>
      <c r="F6027">
        <v>219.45</v>
      </c>
      <c r="K6027" s="3"/>
      <c r="O6027" s="3"/>
    </row>
    <row r="6028" spans="1:15">
      <c r="A6028" s="3">
        <v>42552</v>
      </c>
      <c r="B6028" s="3">
        <v>42552</v>
      </c>
      <c r="C6028">
        <v>337.62</v>
      </c>
      <c r="D6028">
        <v>1.1135999999999999</v>
      </c>
      <c r="E6028">
        <v>50.35</v>
      </c>
      <c r="F6028">
        <v>221.5</v>
      </c>
      <c r="K6028" s="3"/>
      <c r="O6028" s="3"/>
    </row>
    <row r="6029" spans="1:15">
      <c r="A6029" s="3">
        <v>42553</v>
      </c>
      <c r="B6029" s="3">
        <v>42553</v>
      </c>
      <c r="C6029">
        <v>337.62</v>
      </c>
      <c r="D6029">
        <v>1.1135999999999999</v>
      </c>
      <c r="E6029">
        <v>50.35</v>
      </c>
      <c r="F6029">
        <v>221.5</v>
      </c>
      <c r="K6029" s="3"/>
      <c r="O6029" s="3"/>
    </row>
    <row r="6030" spans="1:15">
      <c r="A6030" s="3">
        <v>42554</v>
      </c>
      <c r="B6030" s="3">
        <v>42554</v>
      </c>
      <c r="C6030">
        <v>337.62</v>
      </c>
      <c r="D6030">
        <v>1.1135999999999999</v>
      </c>
      <c r="E6030">
        <v>50.35</v>
      </c>
      <c r="F6030">
        <v>221.5</v>
      </c>
      <c r="K6030" s="3"/>
      <c r="O6030" s="3"/>
    </row>
    <row r="6031" spans="1:15">
      <c r="A6031" s="3">
        <v>42555</v>
      </c>
      <c r="B6031" s="3">
        <v>42555</v>
      </c>
      <c r="C6031">
        <v>337.03</v>
      </c>
      <c r="D6031">
        <v>1.1153999999999999</v>
      </c>
      <c r="E6031">
        <v>50.1</v>
      </c>
      <c r="F6031">
        <v>221.5</v>
      </c>
      <c r="K6031" s="3"/>
      <c r="O6031" s="3"/>
    </row>
    <row r="6032" spans="1:15">
      <c r="A6032" s="3">
        <v>42556</v>
      </c>
      <c r="B6032" s="3">
        <v>42556</v>
      </c>
      <c r="C6032">
        <v>336.83</v>
      </c>
      <c r="D6032">
        <v>1.1075999999999999</v>
      </c>
      <c r="E6032">
        <v>47.96</v>
      </c>
      <c r="F6032">
        <v>218.15</v>
      </c>
      <c r="K6032" s="3"/>
      <c r="O6032" s="3"/>
    </row>
    <row r="6033" spans="1:15">
      <c r="A6033" s="3">
        <v>42557</v>
      </c>
      <c r="B6033" s="3">
        <v>42557</v>
      </c>
      <c r="C6033">
        <v>337.16</v>
      </c>
      <c r="D6033">
        <v>1.1100000000000001</v>
      </c>
      <c r="E6033">
        <v>48.8</v>
      </c>
      <c r="F6033">
        <v>215.15</v>
      </c>
      <c r="K6033" s="3"/>
      <c r="O6033" s="3"/>
    </row>
    <row r="6034" spans="1:15">
      <c r="A6034" s="3">
        <v>42558</v>
      </c>
      <c r="B6034" s="3">
        <v>42558</v>
      </c>
      <c r="C6034">
        <v>338</v>
      </c>
      <c r="D6034">
        <v>1.1063000000000001</v>
      </c>
      <c r="E6034">
        <v>46.4</v>
      </c>
      <c r="F6034">
        <v>212.25</v>
      </c>
      <c r="K6034" s="3"/>
      <c r="O6034" s="3"/>
    </row>
    <row r="6035" spans="1:15">
      <c r="A6035" s="3">
        <v>42559</v>
      </c>
      <c r="B6035" s="3">
        <v>42559</v>
      </c>
      <c r="C6035">
        <v>338</v>
      </c>
      <c r="D6035">
        <v>1.1051</v>
      </c>
      <c r="E6035">
        <v>46.76</v>
      </c>
      <c r="F6035">
        <v>211.85</v>
      </c>
      <c r="K6035" s="3"/>
      <c r="O6035" s="3"/>
    </row>
    <row r="6036" spans="1:15">
      <c r="A6036" s="3">
        <v>42560</v>
      </c>
      <c r="B6036" s="3">
        <v>42560</v>
      </c>
      <c r="C6036">
        <v>338</v>
      </c>
      <c r="D6036">
        <v>1.1051</v>
      </c>
      <c r="E6036">
        <v>46.76</v>
      </c>
      <c r="F6036">
        <v>211.85</v>
      </c>
      <c r="K6036" s="3"/>
      <c r="O6036" s="3"/>
    </row>
    <row r="6037" spans="1:15">
      <c r="A6037" s="3">
        <v>42561</v>
      </c>
      <c r="B6037" s="3">
        <v>42561</v>
      </c>
      <c r="C6037">
        <v>338</v>
      </c>
      <c r="D6037">
        <v>1.1051</v>
      </c>
      <c r="E6037">
        <v>46.76</v>
      </c>
      <c r="F6037">
        <v>211.85</v>
      </c>
      <c r="K6037" s="3"/>
      <c r="O6037" s="3"/>
    </row>
    <row r="6038" spans="1:15">
      <c r="A6038" s="3">
        <v>42562</v>
      </c>
      <c r="B6038" s="3">
        <v>42562</v>
      </c>
      <c r="C6038">
        <v>338.11</v>
      </c>
      <c r="D6038">
        <v>1.1057999999999999</v>
      </c>
      <c r="E6038">
        <v>46.25</v>
      </c>
      <c r="F6038">
        <v>214.7</v>
      </c>
      <c r="K6038" s="3"/>
      <c r="O6038" s="3"/>
    </row>
    <row r="6039" spans="1:15">
      <c r="A6039" s="3">
        <v>42563</v>
      </c>
      <c r="B6039" s="3">
        <v>42563</v>
      </c>
      <c r="C6039">
        <v>338.12</v>
      </c>
      <c r="D6039">
        <v>1.1061000000000001</v>
      </c>
      <c r="E6039">
        <v>48.47</v>
      </c>
      <c r="F6039">
        <v>221.1</v>
      </c>
      <c r="K6039" s="3"/>
      <c r="O6039" s="3"/>
    </row>
    <row r="6040" spans="1:15">
      <c r="A6040" s="3">
        <v>42564</v>
      </c>
      <c r="B6040" s="3">
        <v>42564</v>
      </c>
      <c r="C6040">
        <v>338.48</v>
      </c>
      <c r="D6040">
        <v>1.109</v>
      </c>
      <c r="E6040">
        <v>46.26</v>
      </c>
      <c r="F6040">
        <v>223.8</v>
      </c>
      <c r="K6040" s="3"/>
      <c r="O6040" s="3"/>
    </row>
    <row r="6041" spans="1:15">
      <c r="A6041" s="3">
        <v>42565</v>
      </c>
      <c r="B6041" s="3">
        <v>42565</v>
      </c>
      <c r="C6041">
        <v>339</v>
      </c>
      <c r="D6041">
        <v>1.1120000000000001</v>
      </c>
      <c r="E6041">
        <v>47.37</v>
      </c>
      <c r="F6041">
        <v>224.1</v>
      </c>
      <c r="K6041" s="3"/>
      <c r="O6041" s="3"/>
    </row>
    <row r="6042" spans="1:15">
      <c r="A6042" s="3">
        <v>42566</v>
      </c>
      <c r="B6042" s="3">
        <v>42566</v>
      </c>
      <c r="C6042">
        <v>339.19</v>
      </c>
      <c r="D6042">
        <v>1.1034999999999999</v>
      </c>
      <c r="E6042">
        <v>47.61</v>
      </c>
      <c r="F6042">
        <v>223.05</v>
      </c>
      <c r="K6042" s="3"/>
      <c r="O6042" s="3"/>
    </row>
    <row r="6043" spans="1:15">
      <c r="A6043" s="3">
        <v>42567</v>
      </c>
      <c r="B6043" s="3">
        <v>42567</v>
      </c>
      <c r="C6043">
        <v>339.19</v>
      </c>
      <c r="D6043">
        <v>1.1034999999999999</v>
      </c>
      <c r="E6043">
        <v>47.61</v>
      </c>
      <c r="F6043">
        <v>223.05</v>
      </c>
      <c r="K6043" s="3"/>
      <c r="O6043" s="3"/>
    </row>
    <row r="6044" spans="1:15">
      <c r="A6044" s="3">
        <v>42568</v>
      </c>
      <c r="B6044" s="3">
        <v>42568</v>
      </c>
      <c r="C6044">
        <v>339.19</v>
      </c>
      <c r="D6044">
        <v>1.1034999999999999</v>
      </c>
      <c r="E6044">
        <v>47.61</v>
      </c>
      <c r="F6044">
        <v>223.05</v>
      </c>
      <c r="K6044" s="3"/>
      <c r="O6044" s="3"/>
    </row>
    <row r="6045" spans="1:15">
      <c r="A6045" s="3">
        <v>42569</v>
      </c>
      <c r="B6045" s="3">
        <v>42569</v>
      </c>
      <c r="C6045">
        <v>339.3</v>
      </c>
      <c r="D6045">
        <v>1.1074999999999999</v>
      </c>
      <c r="E6045">
        <v>46.96</v>
      </c>
      <c r="F6045">
        <v>223.4</v>
      </c>
      <c r="K6045" s="3"/>
      <c r="O6045" s="3"/>
    </row>
    <row r="6046" spans="1:15">
      <c r="A6046" s="3">
        <v>42570</v>
      </c>
      <c r="B6046" s="3">
        <v>42570</v>
      </c>
      <c r="C6046">
        <v>339</v>
      </c>
      <c r="D6046">
        <v>1.1021000000000001</v>
      </c>
      <c r="E6046">
        <v>46.66</v>
      </c>
      <c r="F6046">
        <v>226.15</v>
      </c>
      <c r="K6046" s="3"/>
      <c r="O6046" s="3"/>
    </row>
    <row r="6047" spans="1:15">
      <c r="A6047" s="3">
        <v>42571</v>
      </c>
      <c r="B6047" s="3">
        <v>42571</v>
      </c>
      <c r="C6047">
        <v>340.25</v>
      </c>
      <c r="D6047">
        <v>1.1014999999999999</v>
      </c>
      <c r="E6047">
        <v>47.17</v>
      </c>
      <c r="F6047">
        <v>225.2</v>
      </c>
      <c r="K6047" s="3"/>
      <c r="O6047" s="3"/>
    </row>
    <row r="6048" spans="1:15">
      <c r="A6048" s="3">
        <v>42572</v>
      </c>
      <c r="B6048" s="3">
        <v>42572</v>
      </c>
      <c r="C6048">
        <v>342</v>
      </c>
      <c r="D6048">
        <v>1.1026</v>
      </c>
      <c r="E6048">
        <v>46.2</v>
      </c>
      <c r="F6048">
        <v>225.6</v>
      </c>
      <c r="K6048" s="3"/>
      <c r="O6048" s="3"/>
    </row>
    <row r="6049" spans="1:15">
      <c r="A6049" s="3">
        <v>42573</v>
      </c>
      <c r="B6049" s="3">
        <v>42573</v>
      </c>
      <c r="C6049">
        <v>343</v>
      </c>
      <c r="D6049">
        <v>1.0976999999999999</v>
      </c>
      <c r="E6049">
        <v>45.69</v>
      </c>
      <c r="F6049">
        <v>223.4</v>
      </c>
      <c r="K6049" s="3"/>
      <c r="O6049" s="3"/>
    </row>
    <row r="6050" spans="1:15">
      <c r="A6050" s="3">
        <v>42574</v>
      </c>
      <c r="B6050" s="3">
        <v>42574</v>
      </c>
      <c r="C6050">
        <v>343</v>
      </c>
      <c r="D6050">
        <v>1.0976999999999999</v>
      </c>
      <c r="E6050">
        <v>45.69</v>
      </c>
      <c r="F6050">
        <v>223.4</v>
      </c>
      <c r="K6050" s="3"/>
      <c r="O6050" s="3"/>
    </row>
    <row r="6051" spans="1:15">
      <c r="A6051" s="3">
        <v>42575</v>
      </c>
      <c r="B6051" s="3">
        <v>42575</v>
      </c>
      <c r="C6051">
        <v>343</v>
      </c>
      <c r="D6051">
        <v>1.0976999999999999</v>
      </c>
      <c r="E6051">
        <v>45.69</v>
      </c>
      <c r="F6051">
        <v>223.4</v>
      </c>
      <c r="K6051" s="3"/>
      <c r="O6051" s="3"/>
    </row>
    <row r="6052" spans="1:15">
      <c r="A6052" s="3">
        <v>42576</v>
      </c>
      <c r="B6052" s="3">
        <v>42576</v>
      </c>
      <c r="C6052">
        <v>336.82</v>
      </c>
      <c r="D6052">
        <v>1.0994999999999999</v>
      </c>
      <c r="E6052">
        <v>44.72</v>
      </c>
      <c r="F6052">
        <v>221.6</v>
      </c>
      <c r="K6052" s="3"/>
      <c r="O6052" s="3"/>
    </row>
    <row r="6053" spans="1:15">
      <c r="A6053" s="3">
        <v>42577</v>
      </c>
      <c r="B6053" s="3">
        <v>42577</v>
      </c>
      <c r="C6053">
        <v>354.5</v>
      </c>
      <c r="D6053">
        <v>1.0986</v>
      </c>
      <c r="E6053">
        <v>44.87</v>
      </c>
      <c r="F6053">
        <v>222.5</v>
      </c>
      <c r="K6053" s="3"/>
      <c r="O6053" s="3"/>
    </row>
    <row r="6054" spans="1:15">
      <c r="A6054" s="3">
        <v>42578</v>
      </c>
      <c r="B6054" s="3">
        <v>42578</v>
      </c>
      <c r="C6054">
        <v>352.4</v>
      </c>
      <c r="D6054">
        <v>1.1057999999999999</v>
      </c>
      <c r="E6054">
        <v>43.47</v>
      </c>
      <c r="F6054">
        <v>218.5</v>
      </c>
      <c r="K6054" s="3"/>
      <c r="O6054" s="3"/>
    </row>
    <row r="6055" spans="1:15">
      <c r="A6055" s="3">
        <v>42579</v>
      </c>
      <c r="B6055" s="3">
        <v>42579</v>
      </c>
      <c r="C6055">
        <v>353.59</v>
      </c>
      <c r="D6055">
        <v>1.1076999999999999</v>
      </c>
      <c r="E6055">
        <v>42.7</v>
      </c>
      <c r="F6055">
        <v>220.9</v>
      </c>
      <c r="K6055" s="3"/>
      <c r="O6055" s="3"/>
    </row>
    <row r="6056" spans="1:15">
      <c r="A6056" s="3">
        <v>42580</v>
      </c>
      <c r="B6056" s="3">
        <v>42580</v>
      </c>
      <c r="C6056">
        <v>352</v>
      </c>
      <c r="D6056">
        <v>1.1173999999999999</v>
      </c>
      <c r="E6056">
        <v>42.46</v>
      </c>
      <c r="F6056">
        <v>222.15</v>
      </c>
      <c r="K6056" s="3"/>
      <c r="O6056" s="3"/>
    </row>
    <row r="6057" spans="1:15">
      <c r="A6057" s="3">
        <v>42581</v>
      </c>
      <c r="B6057" s="3">
        <v>42581</v>
      </c>
      <c r="C6057">
        <v>352</v>
      </c>
      <c r="D6057">
        <v>1.1173999999999999</v>
      </c>
      <c r="E6057">
        <v>42.46</v>
      </c>
      <c r="F6057">
        <v>222.15</v>
      </c>
      <c r="K6057" s="3"/>
      <c r="O6057" s="3"/>
    </row>
    <row r="6058" spans="1:15">
      <c r="A6058" s="3">
        <v>42582</v>
      </c>
      <c r="B6058" s="3">
        <v>42582</v>
      </c>
      <c r="C6058">
        <v>352</v>
      </c>
      <c r="D6058">
        <v>1.1173999999999999</v>
      </c>
      <c r="E6058">
        <v>42.46</v>
      </c>
      <c r="F6058">
        <v>222.15</v>
      </c>
      <c r="K6058" s="3"/>
      <c r="O6058" s="3"/>
    </row>
    <row r="6059" spans="1:15">
      <c r="A6059" s="3">
        <v>42583</v>
      </c>
      <c r="B6059" s="3">
        <v>42583</v>
      </c>
      <c r="C6059">
        <v>352.35</v>
      </c>
      <c r="D6059">
        <v>1.1163000000000001</v>
      </c>
      <c r="E6059">
        <v>42.14</v>
      </c>
      <c r="F6059">
        <v>219.95</v>
      </c>
      <c r="K6059" s="3"/>
      <c r="O6059" s="3"/>
    </row>
    <row r="6060" spans="1:15">
      <c r="A6060" s="3">
        <v>42584</v>
      </c>
      <c r="B6060" s="3">
        <v>42584</v>
      </c>
      <c r="C6060">
        <v>354.02</v>
      </c>
      <c r="D6060">
        <v>1.1224000000000001</v>
      </c>
      <c r="E6060">
        <v>41.8</v>
      </c>
      <c r="F6060">
        <v>220.9</v>
      </c>
      <c r="K6060" s="3"/>
      <c r="O6060" s="3"/>
    </row>
    <row r="6061" spans="1:15">
      <c r="A6061" s="3">
        <v>42585</v>
      </c>
      <c r="B6061" s="3">
        <v>42585</v>
      </c>
      <c r="C6061">
        <v>354.48</v>
      </c>
      <c r="D6061">
        <v>1.1149</v>
      </c>
      <c r="E6061">
        <v>43.1</v>
      </c>
      <c r="F6061">
        <v>219.85</v>
      </c>
      <c r="K6061" s="3"/>
      <c r="O6061" s="3"/>
    </row>
    <row r="6062" spans="1:15">
      <c r="A6062" s="3">
        <v>42586</v>
      </c>
      <c r="B6062" s="3">
        <v>42586</v>
      </c>
      <c r="C6062">
        <v>352.35</v>
      </c>
      <c r="D6062">
        <v>1.113</v>
      </c>
      <c r="E6062">
        <v>44.29</v>
      </c>
      <c r="F6062">
        <v>217.4</v>
      </c>
      <c r="K6062" s="3"/>
      <c r="O6062" s="3"/>
    </row>
    <row r="6063" spans="1:15">
      <c r="A6063" s="3">
        <v>42587</v>
      </c>
      <c r="B6063" s="3">
        <v>42587</v>
      </c>
      <c r="C6063">
        <v>347.69</v>
      </c>
      <c r="D6063">
        <v>1.1086</v>
      </c>
      <c r="E6063">
        <v>44.27</v>
      </c>
      <c r="F6063">
        <v>215.4</v>
      </c>
      <c r="K6063" s="3"/>
      <c r="O6063" s="3"/>
    </row>
    <row r="6064" spans="1:15">
      <c r="A6064" s="3">
        <v>42588</v>
      </c>
      <c r="B6064" s="3">
        <v>42588</v>
      </c>
      <c r="C6064">
        <v>347.69</v>
      </c>
      <c r="D6064">
        <v>1.1086</v>
      </c>
      <c r="E6064">
        <v>44.27</v>
      </c>
      <c r="F6064">
        <v>215.4</v>
      </c>
      <c r="K6064" s="3"/>
      <c r="O6064" s="3"/>
    </row>
    <row r="6065" spans="1:15">
      <c r="A6065" s="3">
        <v>42589</v>
      </c>
      <c r="B6065" s="3">
        <v>42589</v>
      </c>
      <c r="C6065">
        <v>347.69</v>
      </c>
      <c r="D6065">
        <v>1.1086</v>
      </c>
      <c r="E6065">
        <v>44.27</v>
      </c>
      <c r="F6065">
        <v>215.4</v>
      </c>
      <c r="K6065" s="3"/>
      <c r="O6065" s="3"/>
    </row>
    <row r="6066" spans="1:15">
      <c r="A6066" s="3">
        <v>42590</v>
      </c>
      <c r="B6066" s="3">
        <v>42590</v>
      </c>
      <c r="C6066">
        <v>346.75</v>
      </c>
      <c r="D6066">
        <v>1.1088</v>
      </c>
      <c r="E6066">
        <v>45.39</v>
      </c>
      <c r="F6066">
        <v>216.5</v>
      </c>
      <c r="K6066" s="3"/>
      <c r="O6066" s="3"/>
    </row>
    <row r="6067" spans="1:15">
      <c r="A6067" s="3">
        <v>42591</v>
      </c>
      <c r="B6067" s="3">
        <v>42591</v>
      </c>
      <c r="C6067">
        <v>346.33</v>
      </c>
      <c r="D6067">
        <v>1.1116999999999999</v>
      </c>
      <c r="E6067">
        <v>44.98</v>
      </c>
      <c r="F6067">
        <v>215</v>
      </c>
      <c r="K6067" s="3"/>
      <c r="O6067" s="3"/>
    </row>
    <row r="6068" spans="1:15">
      <c r="A6068" s="3">
        <v>42592</v>
      </c>
      <c r="B6068" s="3">
        <v>42592</v>
      </c>
      <c r="C6068">
        <v>346.75</v>
      </c>
      <c r="D6068">
        <v>1.1175999999999999</v>
      </c>
      <c r="E6068">
        <v>44.05</v>
      </c>
      <c r="F6068">
        <v>217.1</v>
      </c>
      <c r="K6068" s="3"/>
      <c r="O6068" s="3"/>
    </row>
    <row r="6069" spans="1:15">
      <c r="A6069" s="3">
        <v>42593</v>
      </c>
      <c r="B6069" s="3">
        <v>42593</v>
      </c>
      <c r="C6069">
        <v>347.1</v>
      </c>
      <c r="D6069">
        <v>1.1136999999999999</v>
      </c>
      <c r="E6069">
        <v>46.04</v>
      </c>
      <c r="F6069">
        <v>219.1</v>
      </c>
      <c r="K6069" s="3"/>
      <c r="O6069" s="3"/>
    </row>
    <row r="6070" spans="1:15">
      <c r="A6070" s="3">
        <v>42594</v>
      </c>
      <c r="B6070" s="3">
        <v>42594</v>
      </c>
      <c r="C6070">
        <v>345.01</v>
      </c>
      <c r="D6070">
        <v>1.1162000000000001</v>
      </c>
      <c r="E6070">
        <v>46.97</v>
      </c>
      <c r="F6070">
        <v>214</v>
      </c>
      <c r="K6070" s="3"/>
      <c r="O6070" s="3"/>
    </row>
    <row r="6071" spans="1:15">
      <c r="A6071" s="3">
        <v>42595</v>
      </c>
      <c r="B6071" s="3">
        <v>42595</v>
      </c>
      <c r="C6071">
        <v>345.01</v>
      </c>
      <c r="D6071">
        <v>1.1162000000000001</v>
      </c>
      <c r="E6071">
        <v>46.97</v>
      </c>
      <c r="F6071">
        <v>214</v>
      </c>
      <c r="K6071" s="3"/>
      <c r="O6071" s="3"/>
    </row>
    <row r="6072" spans="1:15">
      <c r="A6072" s="3">
        <v>42596</v>
      </c>
      <c r="B6072" s="3">
        <v>42596</v>
      </c>
      <c r="C6072">
        <v>345.01</v>
      </c>
      <c r="D6072">
        <v>1.1162000000000001</v>
      </c>
      <c r="E6072">
        <v>46.97</v>
      </c>
      <c r="F6072">
        <v>214</v>
      </c>
      <c r="K6072" s="3"/>
      <c r="O6072" s="3"/>
    </row>
    <row r="6073" spans="1:15">
      <c r="A6073" s="3">
        <v>42597</v>
      </c>
      <c r="B6073" s="3">
        <v>42597</v>
      </c>
      <c r="C6073">
        <v>336.82</v>
      </c>
      <c r="D6073">
        <v>1.1184000000000001</v>
      </c>
      <c r="E6073">
        <v>48.35</v>
      </c>
      <c r="F6073">
        <v>215.15</v>
      </c>
      <c r="K6073" s="3"/>
      <c r="O6073" s="3"/>
    </row>
    <row r="6074" spans="1:15">
      <c r="A6074" s="3">
        <v>42598</v>
      </c>
      <c r="B6074" s="3">
        <v>42598</v>
      </c>
      <c r="C6074">
        <v>343.75</v>
      </c>
      <c r="D6074">
        <v>1.1278999999999999</v>
      </c>
      <c r="E6074">
        <v>49.23</v>
      </c>
      <c r="F6074">
        <v>217.2</v>
      </c>
      <c r="K6074" s="3"/>
      <c r="O6074" s="3"/>
    </row>
    <row r="6075" spans="1:15">
      <c r="A6075" s="3">
        <v>42599</v>
      </c>
      <c r="B6075" s="3">
        <v>42599</v>
      </c>
      <c r="C6075">
        <v>342</v>
      </c>
      <c r="D6075">
        <v>1.1289</v>
      </c>
      <c r="E6075">
        <v>49.85</v>
      </c>
      <c r="F6075">
        <v>215.2</v>
      </c>
      <c r="K6075" s="3"/>
      <c r="O6075" s="3"/>
    </row>
    <row r="6076" spans="1:15">
      <c r="A6076" s="3">
        <v>42600</v>
      </c>
      <c r="B6076" s="3">
        <v>42600</v>
      </c>
      <c r="C6076">
        <v>339</v>
      </c>
      <c r="D6076">
        <v>1.1354</v>
      </c>
      <c r="E6076">
        <v>50.89</v>
      </c>
      <c r="F6076">
        <v>216.75</v>
      </c>
      <c r="K6076" s="3"/>
      <c r="O6076" s="3"/>
    </row>
    <row r="6077" spans="1:15">
      <c r="A6077" s="3">
        <v>42601</v>
      </c>
      <c r="B6077" s="3">
        <v>42601</v>
      </c>
      <c r="C6077">
        <v>338.75</v>
      </c>
      <c r="D6077">
        <v>1.1325000000000001</v>
      </c>
      <c r="E6077">
        <v>50.88</v>
      </c>
      <c r="F6077">
        <v>216.7</v>
      </c>
      <c r="K6077" s="3"/>
      <c r="O6077" s="3"/>
    </row>
    <row r="6078" spans="1:15">
      <c r="A6078" s="3">
        <v>42602</v>
      </c>
      <c r="B6078" s="3">
        <v>42602</v>
      </c>
      <c r="C6078">
        <v>338.75</v>
      </c>
      <c r="D6078">
        <v>1.1325000000000001</v>
      </c>
      <c r="E6078">
        <v>50.88</v>
      </c>
      <c r="F6078">
        <v>216.7</v>
      </c>
      <c r="K6078" s="3"/>
      <c r="O6078" s="3"/>
    </row>
    <row r="6079" spans="1:15">
      <c r="A6079" s="3">
        <v>42603</v>
      </c>
      <c r="B6079" s="3">
        <v>42603</v>
      </c>
      <c r="C6079">
        <v>338.75</v>
      </c>
      <c r="D6079">
        <v>1.1325000000000001</v>
      </c>
      <c r="E6079">
        <v>50.88</v>
      </c>
      <c r="F6079">
        <v>216.7</v>
      </c>
      <c r="K6079" s="3"/>
      <c r="O6079" s="3"/>
    </row>
    <row r="6080" spans="1:15">
      <c r="A6080" s="3">
        <v>42604</v>
      </c>
      <c r="B6080" s="3">
        <v>42604</v>
      </c>
      <c r="C6080">
        <v>339.62</v>
      </c>
      <c r="D6080">
        <v>1.1319999999999999</v>
      </c>
      <c r="E6080">
        <v>49.16</v>
      </c>
      <c r="F6080">
        <v>214</v>
      </c>
      <c r="K6080" s="3"/>
      <c r="O6080" s="3"/>
    </row>
    <row r="6081" spans="1:15">
      <c r="A6081" s="3">
        <v>42605</v>
      </c>
      <c r="B6081" s="3">
        <v>42605</v>
      </c>
      <c r="C6081">
        <v>340</v>
      </c>
      <c r="D6081">
        <v>1.1305000000000001</v>
      </c>
      <c r="E6081">
        <v>49.96</v>
      </c>
      <c r="F6081">
        <v>211.5</v>
      </c>
      <c r="K6081" s="3"/>
      <c r="O6081" s="3"/>
    </row>
    <row r="6082" spans="1:15">
      <c r="A6082" s="3">
        <v>42606</v>
      </c>
      <c r="B6082" s="3">
        <v>42606</v>
      </c>
      <c r="C6082">
        <v>339.5</v>
      </c>
      <c r="D6082">
        <v>1.1264000000000001</v>
      </c>
      <c r="E6082">
        <v>49.05</v>
      </c>
      <c r="F6082">
        <v>207.65</v>
      </c>
      <c r="K6082" s="3"/>
      <c r="O6082" s="3"/>
    </row>
    <row r="6083" spans="1:15">
      <c r="A6083" s="3">
        <v>42607</v>
      </c>
      <c r="B6083" s="3">
        <v>42607</v>
      </c>
      <c r="C6083">
        <v>339.12</v>
      </c>
      <c r="D6083">
        <v>1.1285000000000001</v>
      </c>
      <c r="E6083">
        <v>49.67</v>
      </c>
      <c r="F6083">
        <v>207.65</v>
      </c>
      <c r="K6083" s="3"/>
      <c r="O6083" s="3"/>
    </row>
    <row r="6084" spans="1:15">
      <c r="A6084" s="3">
        <v>42608</v>
      </c>
      <c r="B6084" s="3">
        <v>42608</v>
      </c>
      <c r="C6084">
        <v>339.5</v>
      </c>
      <c r="D6084">
        <v>1.1197999999999999</v>
      </c>
      <c r="E6084">
        <v>49.92</v>
      </c>
      <c r="F6084">
        <v>207.85</v>
      </c>
      <c r="K6084" s="3"/>
      <c r="O6084" s="3"/>
    </row>
    <row r="6085" spans="1:15">
      <c r="A6085" s="3">
        <v>42609</v>
      </c>
      <c r="B6085" s="3">
        <v>42609</v>
      </c>
      <c r="C6085">
        <v>339.5</v>
      </c>
      <c r="D6085">
        <v>1.1197999999999999</v>
      </c>
      <c r="E6085">
        <v>49.92</v>
      </c>
      <c r="F6085">
        <v>207.85</v>
      </c>
      <c r="K6085" s="3"/>
      <c r="O6085" s="3"/>
    </row>
    <row r="6086" spans="1:15">
      <c r="A6086" s="3">
        <v>42610</v>
      </c>
      <c r="B6086" s="3">
        <v>42610</v>
      </c>
      <c r="C6086">
        <v>339.5</v>
      </c>
      <c r="D6086">
        <v>1.1197999999999999</v>
      </c>
      <c r="E6086">
        <v>49.92</v>
      </c>
      <c r="F6086">
        <v>207.85</v>
      </c>
      <c r="K6086" s="3"/>
      <c r="O6086" s="3"/>
    </row>
    <row r="6087" spans="1:15">
      <c r="A6087" s="3">
        <v>42611</v>
      </c>
      <c r="B6087" s="3">
        <v>42611</v>
      </c>
      <c r="C6087">
        <v>336.82</v>
      </c>
      <c r="D6087">
        <v>1.1189</v>
      </c>
      <c r="E6087">
        <v>49.26</v>
      </c>
      <c r="F6087">
        <v>207.45</v>
      </c>
      <c r="K6087" s="3"/>
      <c r="O6087" s="3"/>
    </row>
    <row r="6088" spans="1:15">
      <c r="A6088" s="3">
        <v>42612</v>
      </c>
      <c r="B6088" s="3">
        <v>42612</v>
      </c>
      <c r="C6088">
        <v>338.5</v>
      </c>
      <c r="D6088">
        <v>1.1143000000000001</v>
      </c>
      <c r="E6088">
        <v>48.37</v>
      </c>
      <c r="F6088">
        <v>206.9</v>
      </c>
      <c r="K6088" s="3"/>
      <c r="O6088" s="3"/>
    </row>
    <row r="6089" spans="1:15">
      <c r="A6089" s="3">
        <v>42613</v>
      </c>
      <c r="B6089" s="3">
        <v>42613</v>
      </c>
      <c r="C6089">
        <v>340.5</v>
      </c>
      <c r="D6089">
        <v>1.1157999999999999</v>
      </c>
      <c r="E6089">
        <v>47.04</v>
      </c>
      <c r="F6089">
        <v>206.95</v>
      </c>
      <c r="K6089" s="3"/>
      <c r="O6089" s="3"/>
    </row>
    <row r="6090" spans="1:15">
      <c r="A6090" s="3">
        <v>42614</v>
      </c>
      <c r="B6090" s="3">
        <v>42614</v>
      </c>
      <c r="C6090">
        <v>341.08</v>
      </c>
      <c r="D6090">
        <v>1.1196999999999999</v>
      </c>
      <c r="E6090">
        <v>45.45</v>
      </c>
      <c r="F6090">
        <v>206.85</v>
      </c>
      <c r="K6090" s="3"/>
      <c r="O6090" s="3"/>
    </row>
    <row r="6091" spans="1:15">
      <c r="A6091" s="3">
        <v>42615</v>
      </c>
      <c r="B6091" s="3">
        <v>42615</v>
      </c>
      <c r="C6091">
        <v>341.5</v>
      </c>
      <c r="D6091">
        <v>1.1155999999999999</v>
      </c>
      <c r="E6091">
        <v>46.83</v>
      </c>
      <c r="F6091">
        <v>207.15</v>
      </c>
      <c r="K6091" s="3"/>
      <c r="O6091" s="3"/>
    </row>
    <row r="6092" spans="1:15">
      <c r="A6092" s="3">
        <v>42616</v>
      </c>
      <c r="B6092" s="3">
        <v>42616</v>
      </c>
      <c r="C6092">
        <v>341.5</v>
      </c>
      <c r="D6092">
        <v>1.1155999999999999</v>
      </c>
      <c r="E6092">
        <v>46.83</v>
      </c>
      <c r="F6092">
        <v>207.15</v>
      </c>
      <c r="K6092" s="3"/>
      <c r="O6092" s="3"/>
    </row>
    <row r="6093" spans="1:15">
      <c r="A6093" s="3">
        <v>42617</v>
      </c>
      <c r="B6093" s="3">
        <v>42617</v>
      </c>
      <c r="C6093">
        <v>341.5</v>
      </c>
      <c r="D6093">
        <v>1.1155999999999999</v>
      </c>
      <c r="E6093">
        <v>46.83</v>
      </c>
      <c r="F6093">
        <v>207.15</v>
      </c>
      <c r="K6093" s="3"/>
      <c r="O6093" s="3"/>
    </row>
    <row r="6094" spans="1:15">
      <c r="A6094" s="3">
        <v>42618</v>
      </c>
      <c r="B6094" s="3">
        <v>42618</v>
      </c>
      <c r="C6094">
        <v>340.78</v>
      </c>
      <c r="D6094">
        <v>1.1147</v>
      </c>
      <c r="E6094">
        <v>47.63</v>
      </c>
      <c r="F6094">
        <v>207.15</v>
      </c>
      <c r="K6094" s="3"/>
      <c r="O6094" s="3"/>
    </row>
    <row r="6095" spans="1:15">
      <c r="A6095" s="3">
        <v>42619</v>
      </c>
      <c r="B6095" s="3">
        <v>42619</v>
      </c>
      <c r="C6095">
        <v>339.82</v>
      </c>
      <c r="D6095">
        <v>1.1254999999999999</v>
      </c>
      <c r="E6095">
        <v>47.26</v>
      </c>
      <c r="F6095">
        <v>208.4</v>
      </c>
      <c r="K6095" s="3"/>
      <c r="O6095" s="3"/>
    </row>
    <row r="6096" spans="1:15">
      <c r="A6096" s="3">
        <v>42620</v>
      </c>
      <c r="B6096" s="3">
        <v>42620</v>
      </c>
      <c r="C6096">
        <v>338</v>
      </c>
      <c r="D6096">
        <v>1.1238999999999999</v>
      </c>
      <c r="E6096">
        <v>47.98</v>
      </c>
      <c r="F6096">
        <v>209.3</v>
      </c>
      <c r="K6096" s="3"/>
      <c r="O6096" s="3"/>
    </row>
    <row r="6097" spans="1:15">
      <c r="A6097" s="3">
        <v>42621</v>
      </c>
      <c r="B6097" s="3">
        <v>42621</v>
      </c>
      <c r="C6097">
        <v>337.7</v>
      </c>
      <c r="D6097">
        <v>1.1259999999999999</v>
      </c>
      <c r="E6097">
        <v>49.99</v>
      </c>
      <c r="F6097">
        <v>209.6</v>
      </c>
      <c r="K6097" s="3"/>
      <c r="O6097" s="3"/>
    </row>
    <row r="6098" spans="1:15">
      <c r="A6098" s="3">
        <v>42622</v>
      </c>
      <c r="B6098" s="3">
        <v>42622</v>
      </c>
      <c r="C6098">
        <v>337.84</v>
      </c>
      <c r="D6098">
        <v>1.1233</v>
      </c>
      <c r="E6098">
        <v>48.01</v>
      </c>
      <c r="F6098">
        <v>208.85</v>
      </c>
      <c r="K6098" s="3"/>
      <c r="O6098" s="3"/>
    </row>
    <row r="6099" spans="1:15">
      <c r="A6099" s="3">
        <v>42623</v>
      </c>
      <c r="B6099" s="3">
        <v>42623</v>
      </c>
      <c r="C6099">
        <v>337.84</v>
      </c>
      <c r="D6099">
        <v>1.1233</v>
      </c>
      <c r="E6099">
        <v>48.01</v>
      </c>
      <c r="F6099">
        <v>208.85</v>
      </c>
      <c r="K6099" s="3"/>
      <c r="O6099" s="3"/>
    </row>
    <row r="6100" spans="1:15">
      <c r="A6100" s="3">
        <v>42624</v>
      </c>
      <c r="B6100" s="3">
        <v>42624</v>
      </c>
      <c r="C6100">
        <v>337.84</v>
      </c>
      <c r="D6100">
        <v>1.1233</v>
      </c>
      <c r="E6100">
        <v>48.01</v>
      </c>
      <c r="F6100">
        <v>208.85</v>
      </c>
      <c r="K6100" s="3"/>
      <c r="O6100" s="3"/>
    </row>
    <row r="6101" spans="1:15">
      <c r="A6101" s="3">
        <v>42625</v>
      </c>
      <c r="B6101" s="3">
        <v>42625</v>
      </c>
      <c r="C6101">
        <v>337.84</v>
      </c>
      <c r="D6101">
        <v>1.1234999999999999</v>
      </c>
      <c r="E6101">
        <v>48.32</v>
      </c>
      <c r="F6101">
        <v>209.6</v>
      </c>
      <c r="K6101" s="3"/>
      <c r="O6101" s="3"/>
    </row>
    <row r="6102" spans="1:15">
      <c r="A6102" s="3">
        <v>42626</v>
      </c>
      <c r="B6102" s="3">
        <v>42626</v>
      </c>
      <c r="C6102">
        <v>338</v>
      </c>
      <c r="D6102">
        <v>1.1220000000000001</v>
      </c>
      <c r="E6102">
        <v>47.1</v>
      </c>
      <c r="F6102">
        <v>209.55</v>
      </c>
      <c r="K6102" s="3"/>
      <c r="O6102" s="3"/>
    </row>
    <row r="6103" spans="1:15">
      <c r="A6103" s="3">
        <v>42627</v>
      </c>
      <c r="B6103" s="3">
        <v>42627</v>
      </c>
      <c r="C6103">
        <v>338.6</v>
      </c>
      <c r="D6103">
        <v>1.125</v>
      </c>
      <c r="E6103">
        <v>45.85</v>
      </c>
      <c r="F6103">
        <v>214.8</v>
      </c>
      <c r="K6103" s="3"/>
      <c r="O6103" s="3"/>
    </row>
    <row r="6104" spans="1:15">
      <c r="A6104" s="3">
        <v>42628</v>
      </c>
      <c r="B6104" s="3">
        <v>42628</v>
      </c>
      <c r="C6104">
        <v>339.15</v>
      </c>
      <c r="D6104">
        <v>1.1244000000000001</v>
      </c>
      <c r="E6104">
        <v>46.59</v>
      </c>
      <c r="F6104">
        <v>215.2</v>
      </c>
      <c r="K6104" s="3"/>
      <c r="O6104" s="3"/>
    </row>
    <row r="6105" spans="1:15">
      <c r="A6105" s="3">
        <v>42629</v>
      </c>
      <c r="B6105" s="3">
        <v>42629</v>
      </c>
      <c r="C6105">
        <v>339.83</v>
      </c>
      <c r="D6105">
        <v>1.1154999999999999</v>
      </c>
      <c r="E6105">
        <v>45.77</v>
      </c>
      <c r="F6105">
        <v>215.15</v>
      </c>
      <c r="K6105" s="3"/>
      <c r="O6105" s="3"/>
    </row>
    <row r="6106" spans="1:15">
      <c r="A6106" s="3">
        <v>42630</v>
      </c>
      <c r="B6106" s="3">
        <v>42630</v>
      </c>
      <c r="C6106">
        <v>339.83</v>
      </c>
      <c r="D6106">
        <v>1.1154999999999999</v>
      </c>
      <c r="E6106">
        <v>45.77</v>
      </c>
      <c r="F6106">
        <v>215.15</v>
      </c>
      <c r="K6106" s="3"/>
      <c r="O6106" s="3"/>
    </row>
    <row r="6107" spans="1:15">
      <c r="A6107" s="3">
        <v>42631</v>
      </c>
      <c r="B6107" s="3">
        <v>42631</v>
      </c>
      <c r="C6107">
        <v>339.83</v>
      </c>
      <c r="D6107">
        <v>1.1154999999999999</v>
      </c>
      <c r="E6107">
        <v>45.77</v>
      </c>
      <c r="F6107">
        <v>215.15</v>
      </c>
      <c r="K6107" s="3"/>
      <c r="O6107" s="3"/>
    </row>
    <row r="6108" spans="1:15">
      <c r="A6108" s="3">
        <v>42632</v>
      </c>
      <c r="B6108" s="3">
        <v>42632</v>
      </c>
      <c r="C6108">
        <v>339.45</v>
      </c>
      <c r="D6108">
        <v>1.1174999999999999</v>
      </c>
      <c r="E6108">
        <v>45.95</v>
      </c>
      <c r="F6108">
        <v>214.9</v>
      </c>
      <c r="K6108" s="3"/>
      <c r="O6108" s="3"/>
    </row>
    <row r="6109" spans="1:15">
      <c r="A6109" s="3">
        <v>42633</v>
      </c>
      <c r="B6109" s="3">
        <v>42633</v>
      </c>
      <c r="C6109">
        <v>339.53</v>
      </c>
      <c r="D6109">
        <v>1.1151</v>
      </c>
      <c r="E6109">
        <v>45.88</v>
      </c>
      <c r="F6109">
        <v>215.55</v>
      </c>
      <c r="K6109" s="3"/>
      <c r="O6109" s="3"/>
    </row>
    <row r="6110" spans="1:15">
      <c r="A6110" s="3">
        <v>42634</v>
      </c>
      <c r="B6110" s="3">
        <v>42634</v>
      </c>
      <c r="C6110">
        <v>338.94</v>
      </c>
      <c r="D6110">
        <v>1.1189</v>
      </c>
      <c r="E6110">
        <v>46.83</v>
      </c>
      <c r="F6110">
        <v>214.5</v>
      </c>
      <c r="K6110" s="3"/>
      <c r="O6110" s="3"/>
    </row>
    <row r="6111" spans="1:15">
      <c r="A6111" s="3">
        <v>42635</v>
      </c>
      <c r="B6111" s="3">
        <v>42635</v>
      </c>
      <c r="C6111">
        <v>337.88</v>
      </c>
      <c r="D6111">
        <v>1.1208</v>
      </c>
      <c r="E6111">
        <v>47.65</v>
      </c>
      <c r="F6111">
        <v>218.75</v>
      </c>
      <c r="K6111" s="3"/>
      <c r="O6111" s="3"/>
    </row>
    <row r="6112" spans="1:15">
      <c r="A6112" s="3">
        <v>42636</v>
      </c>
      <c r="B6112" s="3">
        <v>42636</v>
      </c>
      <c r="C6112">
        <v>337.89</v>
      </c>
      <c r="D6112">
        <v>1.1226</v>
      </c>
      <c r="E6112">
        <v>45.89</v>
      </c>
      <c r="F6112">
        <v>219.25</v>
      </c>
      <c r="K6112" s="3"/>
      <c r="O6112" s="3"/>
    </row>
    <row r="6113" spans="1:15">
      <c r="A6113" s="3">
        <v>42637</v>
      </c>
      <c r="B6113" s="3">
        <v>42637</v>
      </c>
      <c r="C6113">
        <v>337.89</v>
      </c>
      <c r="D6113">
        <v>1.1226</v>
      </c>
      <c r="E6113">
        <v>45.89</v>
      </c>
      <c r="F6113">
        <v>219.25</v>
      </c>
      <c r="K6113" s="3"/>
      <c r="O6113" s="3"/>
    </row>
    <row r="6114" spans="1:15">
      <c r="A6114" s="3">
        <v>42638</v>
      </c>
      <c r="B6114" s="3">
        <v>42638</v>
      </c>
      <c r="C6114">
        <v>337.89</v>
      </c>
      <c r="D6114">
        <v>1.1226</v>
      </c>
      <c r="E6114">
        <v>45.89</v>
      </c>
      <c r="F6114">
        <v>219.25</v>
      </c>
      <c r="K6114" s="3"/>
      <c r="O6114" s="3"/>
    </row>
    <row r="6115" spans="1:15">
      <c r="A6115" s="3">
        <v>42639</v>
      </c>
      <c r="B6115" s="3">
        <v>42639</v>
      </c>
      <c r="C6115">
        <v>337.3</v>
      </c>
      <c r="D6115">
        <v>1.1254</v>
      </c>
      <c r="E6115">
        <v>47.35</v>
      </c>
      <c r="F6115">
        <v>219</v>
      </c>
      <c r="K6115" s="3"/>
      <c r="O6115" s="3"/>
    </row>
    <row r="6116" spans="1:15">
      <c r="A6116" s="3">
        <v>42640</v>
      </c>
      <c r="B6116" s="3">
        <v>42640</v>
      </c>
      <c r="C6116">
        <v>336.9</v>
      </c>
      <c r="D6116">
        <v>1.1214999999999999</v>
      </c>
      <c r="E6116">
        <v>45.97</v>
      </c>
      <c r="F6116">
        <v>216.15</v>
      </c>
      <c r="K6116" s="3"/>
      <c r="O6116" s="3"/>
    </row>
    <row r="6117" spans="1:15">
      <c r="A6117" s="3">
        <v>42641</v>
      </c>
      <c r="B6117" s="3">
        <v>42641</v>
      </c>
      <c r="C6117">
        <v>337.05</v>
      </c>
      <c r="D6117">
        <v>1.1216999999999999</v>
      </c>
      <c r="E6117">
        <v>48.69</v>
      </c>
      <c r="F6117">
        <v>217.95</v>
      </c>
      <c r="K6117" s="3"/>
      <c r="O6117" s="3"/>
    </row>
    <row r="6118" spans="1:15">
      <c r="A6118" s="3">
        <v>42642</v>
      </c>
      <c r="B6118" s="3">
        <v>42642</v>
      </c>
      <c r="C6118">
        <v>335.3</v>
      </c>
      <c r="D6118">
        <v>1.1222000000000001</v>
      </c>
      <c r="E6118">
        <v>49.24</v>
      </c>
      <c r="F6118">
        <v>219</v>
      </c>
      <c r="K6118" s="3"/>
      <c r="O6118" s="3"/>
    </row>
    <row r="6119" spans="1:15">
      <c r="A6119" s="3">
        <v>42643</v>
      </c>
      <c r="B6119" s="3">
        <v>42643</v>
      </c>
      <c r="C6119">
        <v>335.84</v>
      </c>
      <c r="D6119">
        <v>1.1234999999999999</v>
      </c>
      <c r="E6119">
        <v>49.06</v>
      </c>
      <c r="F6119">
        <v>221.05</v>
      </c>
      <c r="K6119" s="3"/>
      <c r="O6119" s="3"/>
    </row>
    <row r="6120" spans="1:15">
      <c r="A6120" s="3">
        <v>42644</v>
      </c>
      <c r="B6120" s="3">
        <v>42644</v>
      </c>
      <c r="C6120">
        <v>335.84</v>
      </c>
      <c r="D6120">
        <v>1.1234999999999999</v>
      </c>
      <c r="E6120">
        <v>49.06</v>
      </c>
      <c r="F6120">
        <v>221.05</v>
      </c>
      <c r="K6120" s="3"/>
      <c r="O6120" s="3"/>
    </row>
    <row r="6121" spans="1:15">
      <c r="A6121" s="3">
        <v>42645</v>
      </c>
      <c r="B6121" s="3">
        <v>42645</v>
      </c>
      <c r="C6121">
        <v>335.84</v>
      </c>
      <c r="D6121">
        <v>1.1234999999999999</v>
      </c>
      <c r="E6121">
        <v>49.06</v>
      </c>
      <c r="F6121">
        <v>221.05</v>
      </c>
      <c r="K6121" s="3"/>
      <c r="O6121" s="3"/>
    </row>
    <row r="6122" spans="1:15">
      <c r="A6122" s="3">
        <v>42646</v>
      </c>
      <c r="B6122" s="3">
        <v>42646</v>
      </c>
      <c r="C6122">
        <v>332.35</v>
      </c>
      <c r="D6122">
        <v>1.1211</v>
      </c>
      <c r="E6122">
        <v>50.89</v>
      </c>
      <c r="F6122">
        <v>219.2</v>
      </c>
      <c r="K6122" s="3"/>
      <c r="O6122" s="3"/>
    </row>
    <row r="6123" spans="1:15">
      <c r="A6123" s="3">
        <v>42647</v>
      </c>
      <c r="B6123" s="3">
        <v>42647</v>
      </c>
      <c r="C6123">
        <v>334.13</v>
      </c>
      <c r="D6123">
        <v>1.1204000000000001</v>
      </c>
      <c r="E6123">
        <v>50.87</v>
      </c>
      <c r="F6123">
        <v>216.7</v>
      </c>
      <c r="K6123" s="3"/>
      <c r="O6123" s="3"/>
    </row>
    <row r="6124" spans="1:15">
      <c r="A6124" s="3">
        <v>42648</v>
      </c>
      <c r="B6124" s="3">
        <v>42648</v>
      </c>
      <c r="C6124">
        <v>332.53</v>
      </c>
      <c r="D6124">
        <v>1.1205000000000001</v>
      </c>
      <c r="E6124">
        <v>51.86</v>
      </c>
      <c r="F6124">
        <v>216.45</v>
      </c>
      <c r="K6124" s="3"/>
      <c r="O6124" s="3"/>
    </row>
    <row r="6125" spans="1:15">
      <c r="A6125" s="3">
        <v>42649</v>
      </c>
      <c r="B6125" s="3">
        <v>42649</v>
      </c>
      <c r="C6125">
        <v>332.76</v>
      </c>
      <c r="D6125">
        <v>1.1151</v>
      </c>
      <c r="E6125">
        <v>52.51</v>
      </c>
      <c r="F6125">
        <v>215.55</v>
      </c>
      <c r="K6125" s="3"/>
      <c r="O6125" s="3"/>
    </row>
    <row r="6126" spans="1:15">
      <c r="A6126" s="3">
        <v>42650</v>
      </c>
      <c r="B6126" s="3">
        <v>42650</v>
      </c>
      <c r="C6126">
        <v>331.02</v>
      </c>
      <c r="D6126">
        <v>1.1201000000000001</v>
      </c>
      <c r="E6126">
        <v>51.93</v>
      </c>
      <c r="F6126">
        <v>216.35</v>
      </c>
      <c r="K6126" s="3"/>
      <c r="O6126" s="3"/>
    </row>
    <row r="6127" spans="1:15">
      <c r="A6127" s="3">
        <v>42651</v>
      </c>
      <c r="B6127" s="3">
        <v>42651</v>
      </c>
      <c r="C6127">
        <v>331.02</v>
      </c>
      <c r="D6127">
        <v>1.1201000000000001</v>
      </c>
      <c r="E6127">
        <v>51.93</v>
      </c>
      <c r="F6127">
        <v>216.35</v>
      </c>
      <c r="K6127" s="3"/>
      <c r="O6127" s="3"/>
    </row>
    <row r="6128" spans="1:15">
      <c r="A6128" s="3">
        <v>42652</v>
      </c>
      <c r="B6128" s="3">
        <v>42652</v>
      </c>
      <c r="C6128">
        <v>331.02</v>
      </c>
      <c r="D6128">
        <v>1.1201000000000001</v>
      </c>
      <c r="E6128">
        <v>51.93</v>
      </c>
      <c r="F6128">
        <v>216.35</v>
      </c>
      <c r="K6128" s="3"/>
      <c r="O6128" s="3"/>
    </row>
    <row r="6129" spans="1:15">
      <c r="A6129" s="3">
        <v>42653</v>
      </c>
      <c r="B6129" s="3">
        <v>42653</v>
      </c>
      <c r="C6129">
        <v>332.26</v>
      </c>
      <c r="D6129">
        <v>1.1138999999999999</v>
      </c>
      <c r="E6129">
        <v>53.14</v>
      </c>
      <c r="F6129">
        <v>219.75</v>
      </c>
      <c r="K6129" s="3"/>
      <c r="O6129" s="3"/>
    </row>
    <row r="6130" spans="1:15">
      <c r="A6130" s="3">
        <v>42654</v>
      </c>
      <c r="B6130" s="3">
        <v>42654</v>
      </c>
      <c r="C6130">
        <v>330.68</v>
      </c>
      <c r="D6130">
        <v>1.1053999999999999</v>
      </c>
      <c r="E6130">
        <v>52.41</v>
      </c>
      <c r="F6130">
        <v>218.55</v>
      </c>
      <c r="K6130" s="3"/>
      <c r="O6130" s="3"/>
    </row>
    <row r="6131" spans="1:15">
      <c r="A6131" s="3">
        <v>42655</v>
      </c>
      <c r="B6131" s="3">
        <v>42655</v>
      </c>
      <c r="C6131">
        <v>330.88</v>
      </c>
      <c r="D6131">
        <v>1.1007</v>
      </c>
      <c r="E6131">
        <v>51.81</v>
      </c>
      <c r="F6131">
        <v>217.65</v>
      </c>
      <c r="K6131" s="3"/>
      <c r="O6131" s="3"/>
    </row>
    <row r="6132" spans="1:15">
      <c r="A6132" s="3">
        <v>42656</v>
      </c>
      <c r="B6132" s="3">
        <v>42656</v>
      </c>
      <c r="C6132">
        <v>331.41</v>
      </c>
      <c r="D6132">
        <v>1.1055999999999999</v>
      </c>
      <c r="E6132">
        <v>52.03</v>
      </c>
      <c r="F6132">
        <v>212.2</v>
      </c>
      <c r="K6132" s="3"/>
      <c r="O6132" s="3"/>
    </row>
    <row r="6133" spans="1:15">
      <c r="A6133" s="3">
        <v>42657</v>
      </c>
      <c r="B6133" s="3">
        <v>42657</v>
      </c>
      <c r="C6133">
        <v>330.45</v>
      </c>
      <c r="D6133">
        <v>1.0972</v>
      </c>
      <c r="E6133">
        <v>51.95</v>
      </c>
      <c r="F6133">
        <v>211.05</v>
      </c>
      <c r="K6133" s="3"/>
      <c r="O6133" s="3"/>
    </row>
    <row r="6134" spans="1:15">
      <c r="A6134" s="3">
        <v>42658</v>
      </c>
      <c r="B6134" s="3">
        <v>42658</v>
      </c>
      <c r="C6134">
        <v>330.45</v>
      </c>
      <c r="D6134">
        <v>1.0972</v>
      </c>
      <c r="E6134">
        <v>51.95</v>
      </c>
      <c r="F6134">
        <v>211.05</v>
      </c>
      <c r="K6134" s="3"/>
      <c r="O6134" s="3"/>
    </row>
    <row r="6135" spans="1:15">
      <c r="A6135" s="3">
        <v>42659</v>
      </c>
      <c r="B6135" s="3">
        <v>42659</v>
      </c>
      <c r="C6135">
        <v>330.45</v>
      </c>
      <c r="D6135">
        <v>1.0972</v>
      </c>
      <c r="E6135">
        <v>51.95</v>
      </c>
      <c r="F6135">
        <v>211.05</v>
      </c>
      <c r="K6135" s="3"/>
      <c r="O6135" s="3"/>
    </row>
    <row r="6136" spans="1:15">
      <c r="A6136" s="3">
        <v>42660</v>
      </c>
      <c r="B6136" s="3">
        <v>42660</v>
      </c>
      <c r="C6136">
        <v>332.13</v>
      </c>
      <c r="D6136">
        <v>1.1000000000000001</v>
      </c>
      <c r="E6136">
        <v>51.52</v>
      </c>
      <c r="F6136">
        <v>210.7</v>
      </c>
      <c r="K6136" s="3"/>
      <c r="O6136" s="3"/>
    </row>
    <row r="6137" spans="1:15">
      <c r="A6137" s="3">
        <v>42661</v>
      </c>
      <c r="B6137" s="3">
        <v>42661</v>
      </c>
      <c r="C6137">
        <v>331.63</v>
      </c>
      <c r="D6137">
        <v>1.0981000000000001</v>
      </c>
      <c r="E6137">
        <v>51.68</v>
      </c>
      <c r="F6137">
        <v>210.55</v>
      </c>
      <c r="K6137" s="3"/>
      <c r="O6137" s="3"/>
    </row>
    <row r="6138" spans="1:15">
      <c r="A6138" s="3">
        <v>42662</v>
      </c>
      <c r="B6138" s="3">
        <v>42662</v>
      </c>
      <c r="C6138">
        <v>331.72</v>
      </c>
      <c r="D6138">
        <v>1.0973999999999999</v>
      </c>
      <c r="E6138">
        <v>52.67</v>
      </c>
      <c r="F6138">
        <v>210.35</v>
      </c>
      <c r="K6138" s="3"/>
      <c r="O6138" s="3"/>
    </row>
    <row r="6139" spans="1:15">
      <c r="A6139" s="3">
        <v>42663</v>
      </c>
      <c r="B6139" s="3">
        <v>42663</v>
      </c>
      <c r="C6139">
        <v>330.93</v>
      </c>
      <c r="D6139">
        <v>1.0929</v>
      </c>
      <c r="E6139">
        <v>51.38</v>
      </c>
      <c r="F6139">
        <v>209.6</v>
      </c>
      <c r="K6139" s="3"/>
      <c r="O6139" s="3"/>
    </row>
    <row r="6140" spans="1:15">
      <c r="A6140" s="3">
        <v>42664</v>
      </c>
      <c r="B6140" s="3">
        <v>42664</v>
      </c>
      <c r="C6140">
        <v>331.05</v>
      </c>
      <c r="D6140">
        <v>1.0884</v>
      </c>
      <c r="E6140">
        <v>51.78</v>
      </c>
      <c r="F6140">
        <v>208.85</v>
      </c>
      <c r="K6140" s="3"/>
      <c r="O6140" s="3"/>
    </row>
    <row r="6141" spans="1:15">
      <c r="A6141" s="3">
        <v>42665</v>
      </c>
      <c r="B6141" s="3">
        <v>42665</v>
      </c>
      <c r="C6141">
        <v>331.05</v>
      </c>
      <c r="D6141">
        <v>1.0884</v>
      </c>
      <c r="E6141">
        <v>51.78</v>
      </c>
      <c r="F6141">
        <v>208.85</v>
      </c>
      <c r="K6141" s="3"/>
      <c r="O6141" s="3"/>
    </row>
    <row r="6142" spans="1:15">
      <c r="A6142" s="3">
        <v>42666</v>
      </c>
      <c r="B6142" s="3">
        <v>42666</v>
      </c>
      <c r="C6142">
        <v>331.05</v>
      </c>
      <c r="D6142">
        <v>1.0884</v>
      </c>
      <c r="E6142">
        <v>51.78</v>
      </c>
      <c r="F6142">
        <v>208.85</v>
      </c>
      <c r="K6142" s="3"/>
      <c r="O6142" s="3"/>
    </row>
    <row r="6143" spans="1:15">
      <c r="A6143" s="3">
        <v>42667</v>
      </c>
      <c r="B6143" s="3">
        <v>42667</v>
      </c>
      <c r="C6143">
        <v>329.79</v>
      </c>
      <c r="D6143">
        <v>1.0882000000000001</v>
      </c>
      <c r="E6143">
        <v>51.46</v>
      </c>
      <c r="F6143">
        <v>209.3</v>
      </c>
      <c r="K6143" s="3"/>
      <c r="O6143" s="3"/>
    </row>
    <row r="6144" spans="1:15">
      <c r="A6144" s="3">
        <v>42668</v>
      </c>
      <c r="B6144" s="3">
        <v>42668</v>
      </c>
      <c r="C6144">
        <v>330.06</v>
      </c>
      <c r="D6144">
        <v>1.0889</v>
      </c>
      <c r="E6144">
        <v>50.79</v>
      </c>
      <c r="F6144">
        <v>213.85</v>
      </c>
      <c r="K6144" s="3"/>
      <c r="O6144" s="3"/>
    </row>
    <row r="6145" spans="1:15">
      <c r="A6145" s="3">
        <v>42669</v>
      </c>
      <c r="B6145" s="3">
        <v>42669</v>
      </c>
      <c r="C6145">
        <v>331.75</v>
      </c>
      <c r="D6145">
        <v>1.0908</v>
      </c>
      <c r="E6145">
        <v>49.98</v>
      </c>
      <c r="F6145">
        <v>214.55</v>
      </c>
      <c r="K6145" s="3"/>
      <c r="O6145" s="3"/>
    </row>
    <row r="6146" spans="1:15">
      <c r="A6146" s="3">
        <v>42670</v>
      </c>
      <c r="B6146" s="3">
        <v>42670</v>
      </c>
      <c r="C6146">
        <v>333.2</v>
      </c>
      <c r="D6146">
        <v>1.0896999999999999</v>
      </c>
      <c r="E6146">
        <v>50.47</v>
      </c>
      <c r="F6146">
        <v>216.35</v>
      </c>
      <c r="K6146" s="3"/>
      <c r="O6146" s="3"/>
    </row>
    <row r="6147" spans="1:15">
      <c r="A6147" s="3">
        <v>42671</v>
      </c>
      <c r="B6147" s="3">
        <v>42671</v>
      </c>
      <c r="C6147">
        <v>334</v>
      </c>
      <c r="D6147">
        <v>1.0985</v>
      </c>
      <c r="E6147">
        <v>49.71</v>
      </c>
      <c r="F6147">
        <v>219.35</v>
      </c>
      <c r="K6147" s="3"/>
      <c r="O6147" s="3"/>
    </row>
    <row r="6148" spans="1:15">
      <c r="A6148" s="3">
        <v>42672</v>
      </c>
      <c r="B6148" s="3">
        <v>42672</v>
      </c>
      <c r="C6148">
        <v>334</v>
      </c>
      <c r="D6148">
        <v>1.0985</v>
      </c>
      <c r="E6148">
        <v>49.71</v>
      </c>
      <c r="F6148">
        <v>219.35</v>
      </c>
      <c r="K6148" s="3"/>
      <c r="O6148" s="3"/>
    </row>
    <row r="6149" spans="1:15">
      <c r="A6149" s="3">
        <v>42673</v>
      </c>
      <c r="B6149" s="3">
        <v>42673</v>
      </c>
      <c r="C6149">
        <v>334</v>
      </c>
      <c r="D6149">
        <v>1.0985</v>
      </c>
      <c r="E6149">
        <v>49.71</v>
      </c>
      <c r="F6149">
        <v>219.35</v>
      </c>
      <c r="K6149" s="3"/>
      <c r="O6149" s="3"/>
    </row>
    <row r="6150" spans="1:15">
      <c r="A6150" s="3">
        <v>42674</v>
      </c>
      <c r="B6150" s="3">
        <v>42674</v>
      </c>
      <c r="C6150">
        <v>335.48</v>
      </c>
      <c r="D6150">
        <v>1.0981000000000001</v>
      </c>
      <c r="E6150">
        <v>48.3</v>
      </c>
      <c r="F6150">
        <v>220.5</v>
      </c>
      <c r="K6150" s="3"/>
      <c r="O6150" s="3"/>
    </row>
    <row r="6151" spans="1:15">
      <c r="A6151" s="3">
        <v>42675</v>
      </c>
      <c r="B6151" s="3">
        <v>42675</v>
      </c>
      <c r="C6151">
        <v>336.09</v>
      </c>
      <c r="D6151">
        <v>1.1054999999999999</v>
      </c>
      <c r="E6151">
        <v>48.14</v>
      </c>
      <c r="F6151">
        <v>222.9</v>
      </c>
      <c r="K6151" s="3"/>
      <c r="O6151" s="3"/>
    </row>
    <row r="6152" spans="1:15">
      <c r="A6152" s="3">
        <v>42676</v>
      </c>
      <c r="B6152" s="3">
        <v>42676</v>
      </c>
      <c r="C6152">
        <v>337.97</v>
      </c>
      <c r="D6152">
        <v>1.1097999999999999</v>
      </c>
      <c r="E6152">
        <v>46.86</v>
      </c>
      <c r="F6152">
        <v>223.05</v>
      </c>
      <c r="K6152" s="3"/>
      <c r="O6152" s="3"/>
    </row>
    <row r="6153" spans="1:15">
      <c r="A6153" s="3">
        <v>42677</v>
      </c>
      <c r="B6153" s="3">
        <v>42677</v>
      </c>
      <c r="C6153">
        <v>338.73</v>
      </c>
      <c r="D6153">
        <v>1.1105</v>
      </c>
      <c r="E6153">
        <v>46.35</v>
      </c>
      <c r="F6153">
        <v>224.9</v>
      </c>
      <c r="K6153" s="3"/>
      <c r="O6153" s="3"/>
    </row>
    <row r="6154" spans="1:15">
      <c r="A6154" s="3">
        <v>42678</v>
      </c>
      <c r="B6154" s="3">
        <v>42678</v>
      </c>
      <c r="C6154">
        <v>338.46</v>
      </c>
      <c r="D6154">
        <v>1.1141000000000001</v>
      </c>
      <c r="E6154">
        <v>45.58</v>
      </c>
      <c r="F6154">
        <v>226.5</v>
      </c>
      <c r="K6154" s="3"/>
      <c r="O6154" s="3"/>
    </row>
    <row r="6155" spans="1:15">
      <c r="A6155" s="3">
        <v>42679</v>
      </c>
      <c r="B6155" s="3">
        <v>42679</v>
      </c>
      <c r="C6155">
        <v>338.46</v>
      </c>
      <c r="D6155">
        <v>1.1141000000000001</v>
      </c>
      <c r="E6155">
        <v>45.58</v>
      </c>
      <c r="F6155">
        <v>226.5</v>
      </c>
      <c r="K6155" s="3"/>
      <c r="O6155" s="3"/>
    </row>
    <row r="6156" spans="1:15">
      <c r="A6156" s="3">
        <v>42680</v>
      </c>
      <c r="B6156" s="3">
        <v>42680</v>
      </c>
      <c r="C6156">
        <v>338.46</v>
      </c>
      <c r="D6156">
        <v>1.1141000000000001</v>
      </c>
      <c r="E6156">
        <v>45.58</v>
      </c>
      <c r="F6156">
        <v>226.5</v>
      </c>
      <c r="K6156" s="3"/>
      <c r="O6156" s="3"/>
    </row>
    <row r="6157" spans="1:15">
      <c r="A6157" s="3">
        <v>42681</v>
      </c>
      <c r="B6157" s="3">
        <v>42681</v>
      </c>
      <c r="C6157">
        <v>340.13</v>
      </c>
      <c r="D6157">
        <v>1.1041000000000001</v>
      </c>
      <c r="E6157">
        <v>46.15</v>
      </c>
      <c r="F6157">
        <v>230.95</v>
      </c>
      <c r="K6157" s="3"/>
      <c r="O6157" s="3"/>
    </row>
    <row r="6158" spans="1:15">
      <c r="A6158" s="3">
        <v>42682</v>
      </c>
      <c r="B6158" s="3">
        <v>42682</v>
      </c>
      <c r="C6158">
        <v>339.98</v>
      </c>
      <c r="D6158">
        <v>1.1026</v>
      </c>
      <c r="E6158">
        <v>46.04</v>
      </c>
      <c r="F6158">
        <v>238</v>
      </c>
      <c r="K6158" s="3"/>
      <c r="O6158" s="3"/>
    </row>
    <row r="6159" spans="1:15">
      <c r="A6159" s="3">
        <v>42683</v>
      </c>
      <c r="B6159" s="3">
        <v>42683</v>
      </c>
      <c r="C6159">
        <v>341</v>
      </c>
      <c r="D6159">
        <v>1.091</v>
      </c>
      <c r="E6159">
        <v>46.36</v>
      </c>
      <c r="F6159">
        <v>245.95</v>
      </c>
      <c r="K6159" s="3"/>
      <c r="O6159" s="3"/>
    </row>
    <row r="6160" spans="1:15">
      <c r="A6160" s="3">
        <v>42684</v>
      </c>
      <c r="B6160" s="3">
        <v>42684</v>
      </c>
      <c r="C6160">
        <v>338.27</v>
      </c>
      <c r="D6160">
        <v>1.0892999999999999</v>
      </c>
      <c r="E6160">
        <v>45.84</v>
      </c>
      <c r="F6160">
        <v>255.1</v>
      </c>
      <c r="K6160" s="3"/>
      <c r="O6160" s="3"/>
    </row>
    <row r="6161" spans="1:15">
      <c r="A6161" s="3">
        <v>42685</v>
      </c>
      <c r="B6161" s="3">
        <v>42685</v>
      </c>
      <c r="C6161">
        <v>341.39</v>
      </c>
      <c r="D6161">
        <v>1.0854999999999999</v>
      </c>
      <c r="E6161">
        <v>44.75</v>
      </c>
      <c r="F6161">
        <v>250.9</v>
      </c>
      <c r="K6161" s="3"/>
      <c r="O6161" s="3"/>
    </row>
    <row r="6162" spans="1:15">
      <c r="A6162" s="3">
        <v>42686</v>
      </c>
      <c r="B6162" s="3">
        <v>42686</v>
      </c>
      <c r="C6162">
        <v>341.39</v>
      </c>
      <c r="D6162">
        <v>1.0854999999999999</v>
      </c>
      <c r="E6162">
        <v>44.75</v>
      </c>
      <c r="F6162">
        <v>250.9</v>
      </c>
      <c r="K6162" s="3"/>
      <c r="O6162" s="3"/>
    </row>
    <row r="6163" spans="1:15">
      <c r="A6163" s="3">
        <v>42687</v>
      </c>
      <c r="B6163" s="3">
        <v>42687</v>
      </c>
      <c r="C6163">
        <v>341.39</v>
      </c>
      <c r="D6163">
        <v>1.0854999999999999</v>
      </c>
      <c r="E6163">
        <v>44.75</v>
      </c>
      <c r="F6163">
        <v>250.9</v>
      </c>
      <c r="K6163" s="3"/>
      <c r="O6163" s="3"/>
    </row>
    <row r="6164" spans="1:15">
      <c r="A6164" s="3">
        <v>42688</v>
      </c>
      <c r="B6164" s="3">
        <v>42688</v>
      </c>
      <c r="C6164">
        <v>344.66</v>
      </c>
      <c r="D6164">
        <v>1.0737000000000001</v>
      </c>
      <c r="E6164">
        <v>44.43</v>
      </c>
      <c r="F6164">
        <v>252.1</v>
      </c>
      <c r="K6164" s="3"/>
      <c r="O6164" s="3"/>
    </row>
    <row r="6165" spans="1:15">
      <c r="A6165" s="3">
        <v>42689</v>
      </c>
      <c r="B6165" s="3">
        <v>42689</v>
      </c>
      <c r="C6165">
        <v>343.67</v>
      </c>
      <c r="D6165">
        <v>1.0722</v>
      </c>
      <c r="E6165">
        <v>46.95</v>
      </c>
      <c r="F6165">
        <v>250.5</v>
      </c>
      <c r="K6165" s="3"/>
      <c r="O6165" s="3"/>
    </row>
    <row r="6166" spans="1:15">
      <c r="A6166" s="3">
        <v>42690</v>
      </c>
      <c r="B6166" s="3">
        <v>42690</v>
      </c>
      <c r="C6166">
        <v>340.21</v>
      </c>
      <c r="D6166">
        <v>1.0690999999999999</v>
      </c>
      <c r="E6166">
        <v>46.63</v>
      </c>
      <c r="F6166">
        <v>246.75</v>
      </c>
      <c r="K6166" s="3"/>
      <c r="O6166" s="3"/>
    </row>
    <row r="6167" spans="1:15">
      <c r="A6167" s="3">
        <v>42691</v>
      </c>
      <c r="B6167" s="3">
        <v>42691</v>
      </c>
      <c r="C6167">
        <v>341.13</v>
      </c>
      <c r="D6167">
        <v>1.0626</v>
      </c>
      <c r="E6167">
        <v>46.49</v>
      </c>
      <c r="F6167">
        <v>249.1</v>
      </c>
      <c r="K6167" s="3"/>
      <c r="O6167" s="3"/>
    </row>
    <row r="6168" spans="1:15">
      <c r="A6168" s="3">
        <v>42692</v>
      </c>
      <c r="B6168" s="3">
        <v>42692</v>
      </c>
      <c r="C6168">
        <v>340.55</v>
      </c>
      <c r="D6168">
        <v>1.0588</v>
      </c>
      <c r="E6168">
        <v>46.86</v>
      </c>
      <c r="F6168">
        <v>246.75</v>
      </c>
      <c r="K6168" s="3"/>
      <c r="O6168" s="3"/>
    </row>
    <row r="6169" spans="1:15">
      <c r="A6169" s="3">
        <v>42693</v>
      </c>
      <c r="B6169" s="3">
        <v>42693</v>
      </c>
      <c r="C6169">
        <v>340.55</v>
      </c>
      <c r="D6169">
        <v>1.0588</v>
      </c>
      <c r="E6169">
        <v>46.86</v>
      </c>
      <c r="F6169">
        <v>246.75</v>
      </c>
      <c r="K6169" s="3"/>
      <c r="O6169" s="3"/>
    </row>
    <row r="6170" spans="1:15">
      <c r="A6170" s="3">
        <v>42694</v>
      </c>
      <c r="B6170" s="3">
        <v>42694</v>
      </c>
      <c r="C6170">
        <v>340.55</v>
      </c>
      <c r="D6170">
        <v>1.0588</v>
      </c>
      <c r="E6170">
        <v>46.86</v>
      </c>
      <c r="F6170">
        <v>246.75</v>
      </c>
      <c r="K6170" s="3"/>
      <c r="O6170" s="3"/>
    </row>
    <row r="6171" spans="1:15">
      <c r="A6171" s="3">
        <v>42695</v>
      </c>
      <c r="B6171" s="3">
        <v>42695</v>
      </c>
      <c r="C6171">
        <v>338.52</v>
      </c>
      <c r="D6171">
        <v>1.0629999999999999</v>
      </c>
      <c r="E6171">
        <v>48.9</v>
      </c>
      <c r="F6171">
        <v>251.5</v>
      </c>
      <c r="K6171" s="3"/>
      <c r="O6171" s="3"/>
    </row>
    <row r="6172" spans="1:15">
      <c r="A6172" s="3">
        <v>42696</v>
      </c>
      <c r="B6172" s="3">
        <v>42696</v>
      </c>
      <c r="C6172">
        <v>335.14</v>
      </c>
      <c r="D6172">
        <v>1.0627</v>
      </c>
      <c r="E6172">
        <v>49.12</v>
      </c>
      <c r="F6172">
        <v>254.45</v>
      </c>
      <c r="K6172" s="3"/>
      <c r="O6172" s="3"/>
    </row>
    <row r="6173" spans="1:15">
      <c r="A6173" s="3">
        <v>42697</v>
      </c>
      <c r="B6173" s="3">
        <v>42697</v>
      </c>
      <c r="C6173">
        <v>335.94</v>
      </c>
      <c r="D6173">
        <v>1.0552999999999999</v>
      </c>
      <c r="E6173">
        <v>48.95</v>
      </c>
      <c r="F6173">
        <v>260.75</v>
      </c>
      <c r="K6173" s="3"/>
      <c r="O6173" s="3"/>
    </row>
    <row r="6174" spans="1:15">
      <c r="A6174" s="3">
        <v>42698</v>
      </c>
      <c r="B6174" s="3">
        <v>42698</v>
      </c>
      <c r="C6174">
        <v>335.73</v>
      </c>
      <c r="D6174">
        <v>1.0553999999999999</v>
      </c>
      <c r="E6174">
        <v>49</v>
      </c>
      <c r="F6174">
        <v>260.75</v>
      </c>
      <c r="K6174" s="3"/>
      <c r="O6174" s="3"/>
    </row>
    <row r="6175" spans="1:15">
      <c r="A6175" s="3">
        <v>42699</v>
      </c>
      <c r="B6175" s="3">
        <v>42699</v>
      </c>
      <c r="C6175">
        <v>339.24</v>
      </c>
      <c r="D6175">
        <v>1.0589</v>
      </c>
      <c r="E6175">
        <v>47.24</v>
      </c>
      <c r="F6175">
        <v>266.8</v>
      </c>
      <c r="K6175" s="3"/>
      <c r="O6175" s="3"/>
    </row>
    <row r="6176" spans="1:15">
      <c r="A6176" s="3">
        <v>42700</v>
      </c>
      <c r="B6176" s="3">
        <v>42700</v>
      </c>
      <c r="C6176">
        <v>339.24</v>
      </c>
      <c r="D6176">
        <v>1.0589</v>
      </c>
      <c r="E6176">
        <v>47.24</v>
      </c>
      <c r="F6176">
        <v>266.8</v>
      </c>
      <c r="K6176" s="3"/>
      <c r="O6176" s="3"/>
    </row>
    <row r="6177" spans="1:15">
      <c r="A6177" s="3">
        <v>42701</v>
      </c>
      <c r="B6177" s="3">
        <v>42701</v>
      </c>
      <c r="C6177">
        <v>339.24</v>
      </c>
      <c r="D6177">
        <v>1.0589</v>
      </c>
      <c r="E6177">
        <v>47.24</v>
      </c>
      <c r="F6177">
        <v>266.8</v>
      </c>
      <c r="K6177" s="3"/>
      <c r="O6177" s="3"/>
    </row>
    <row r="6178" spans="1:15">
      <c r="A6178" s="3">
        <v>42702</v>
      </c>
      <c r="B6178" s="3">
        <v>42702</v>
      </c>
      <c r="C6178">
        <v>340.27</v>
      </c>
      <c r="D6178">
        <v>1.0613999999999999</v>
      </c>
      <c r="E6178">
        <v>48.24</v>
      </c>
      <c r="F6178">
        <v>265.64999999999998</v>
      </c>
      <c r="K6178" s="3"/>
      <c r="O6178" s="3"/>
    </row>
    <row r="6179" spans="1:15">
      <c r="A6179" s="3">
        <v>42703</v>
      </c>
      <c r="B6179" s="3">
        <v>42703</v>
      </c>
      <c r="C6179">
        <v>341.02</v>
      </c>
      <c r="D6179">
        <v>1.0649999999999999</v>
      </c>
      <c r="E6179">
        <v>46.38</v>
      </c>
      <c r="F6179">
        <v>259.5</v>
      </c>
      <c r="K6179" s="3"/>
      <c r="O6179" s="3"/>
    </row>
    <row r="6180" spans="1:15">
      <c r="A6180" s="3">
        <v>42704</v>
      </c>
      <c r="B6180" s="3">
        <v>42704</v>
      </c>
      <c r="C6180">
        <v>339.59</v>
      </c>
      <c r="D6180">
        <v>1.0589</v>
      </c>
      <c r="E6180">
        <v>50.47</v>
      </c>
      <c r="F6180">
        <v>262.14999999999998</v>
      </c>
      <c r="K6180" s="3"/>
      <c r="O6180" s="3"/>
    </row>
    <row r="6181" spans="1:15">
      <c r="A6181" s="3">
        <v>42705</v>
      </c>
      <c r="B6181" s="3">
        <v>42705</v>
      </c>
      <c r="C6181">
        <v>339.59</v>
      </c>
      <c r="D6181">
        <v>1.0661</v>
      </c>
      <c r="E6181">
        <v>53.94</v>
      </c>
      <c r="F6181">
        <v>263.14999999999998</v>
      </c>
      <c r="K6181" s="3"/>
      <c r="O6181" s="3"/>
    </row>
    <row r="6182" spans="1:15">
      <c r="A6182" s="3">
        <v>42706</v>
      </c>
      <c r="B6182" s="3">
        <v>42706</v>
      </c>
      <c r="C6182">
        <v>337.77</v>
      </c>
      <c r="D6182">
        <v>1.0664</v>
      </c>
      <c r="E6182">
        <v>54.46</v>
      </c>
      <c r="F6182">
        <v>261.5</v>
      </c>
      <c r="K6182" s="3"/>
      <c r="O6182" s="3"/>
    </row>
    <row r="6183" spans="1:15">
      <c r="A6183" s="3">
        <v>42707</v>
      </c>
      <c r="B6183" s="3">
        <v>42707</v>
      </c>
      <c r="C6183">
        <v>337.77</v>
      </c>
      <c r="D6183">
        <v>1.0664</v>
      </c>
      <c r="E6183">
        <v>54.46</v>
      </c>
      <c r="F6183">
        <v>261.5</v>
      </c>
      <c r="K6183" s="3"/>
      <c r="O6183" s="3"/>
    </row>
    <row r="6184" spans="1:15">
      <c r="A6184" s="3">
        <v>42708</v>
      </c>
      <c r="B6184" s="3">
        <v>42708</v>
      </c>
      <c r="C6184">
        <v>337.77</v>
      </c>
      <c r="D6184">
        <v>1.0664</v>
      </c>
      <c r="E6184">
        <v>54.46</v>
      </c>
      <c r="F6184">
        <v>261.5</v>
      </c>
      <c r="K6184" s="3"/>
      <c r="O6184" s="3"/>
    </row>
    <row r="6185" spans="1:15">
      <c r="A6185" s="3">
        <v>42709</v>
      </c>
      <c r="B6185" s="3">
        <v>42709</v>
      </c>
      <c r="C6185">
        <v>335.17</v>
      </c>
      <c r="D6185">
        <v>1.0764</v>
      </c>
      <c r="E6185">
        <v>54.94</v>
      </c>
      <c r="F6185">
        <v>268.89999999999998</v>
      </c>
      <c r="K6185" s="3"/>
      <c r="O6185" s="3"/>
    </row>
    <row r="6186" spans="1:15">
      <c r="A6186" s="3">
        <v>42710</v>
      </c>
      <c r="B6186" s="3">
        <v>42710</v>
      </c>
      <c r="C6186">
        <v>335.48</v>
      </c>
      <c r="D6186">
        <v>1.0718000000000001</v>
      </c>
      <c r="E6186">
        <v>53.93</v>
      </c>
      <c r="F6186">
        <v>267.2</v>
      </c>
      <c r="K6186" s="3"/>
      <c r="O6186" s="3"/>
    </row>
    <row r="6187" spans="1:15">
      <c r="A6187" s="3">
        <v>42711</v>
      </c>
      <c r="B6187" s="3">
        <v>42711</v>
      </c>
      <c r="C6187">
        <v>336.21</v>
      </c>
      <c r="D6187">
        <v>1.0752999999999999</v>
      </c>
      <c r="E6187">
        <v>53</v>
      </c>
      <c r="F6187">
        <v>263.7</v>
      </c>
      <c r="K6187" s="3"/>
      <c r="O6187" s="3"/>
    </row>
    <row r="6188" spans="1:15">
      <c r="A6188" s="3">
        <v>42712</v>
      </c>
      <c r="B6188" s="3">
        <v>42712</v>
      </c>
      <c r="C6188">
        <v>334.94</v>
      </c>
      <c r="D6188">
        <v>1.0615000000000001</v>
      </c>
      <c r="E6188">
        <v>53.89</v>
      </c>
      <c r="F6188">
        <v>262</v>
      </c>
      <c r="K6188" s="3"/>
      <c r="O6188" s="3"/>
    </row>
    <row r="6189" spans="1:15">
      <c r="A6189" s="3">
        <v>42713</v>
      </c>
      <c r="B6189" s="3">
        <v>42713</v>
      </c>
      <c r="C6189">
        <v>334.27</v>
      </c>
      <c r="D6189">
        <v>1.0561</v>
      </c>
      <c r="E6189">
        <v>54.33</v>
      </c>
      <c r="F6189">
        <v>264.2</v>
      </c>
      <c r="K6189" s="3"/>
      <c r="O6189" s="3"/>
    </row>
    <row r="6190" spans="1:15">
      <c r="A6190" s="3">
        <v>42714</v>
      </c>
      <c r="B6190" s="3">
        <v>42714</v>
      </c>
      <c r="C6190">
        <v>334.27</v>
      </c>
      <c r="D6190">
        <v>1.0561</v>
      </c>
      <c r="E6190">
        <v>54.33</v>
      </c>
      <c r="F6190">
        <v>264.2</v>
      </c>
      <c r="K6190" s="3"/>
      <c r="O6190" s="3"/>
    </row>
    <row r="6191" spans="1:15">
      <c r="A6191" s="3">
        <v>42715</v>
      </c>
      <c r="B6191" s="3">
        <v>42715</v>
      </c>
      <c r="C6191">
        <v>334.27</v>
      </c>
      <c r="D6191">
        <v>1.0561</v>
      </c>
      <c r="E6191">
        <v>54.33</v>
      </c>
      <c r="F6191">
        <v>264.2</v>
      </c>
      <c r="K6191" s="3"/>
      <c r="O6191" s="3"/>
    </row>
    <row r="6192" spans="1:15">
      <c r="A6192" s="3">
        <v>42716</v>
      </c>
      <c r="B6192" s="3">
        <v>42716</v>
      </c>
      <c r="C6192">
        <v>330.19</v>
      </c>
      <c r="D6192">
        <v>1.0634999999999999</v>
      </c>
      <c r="E6192">
        <v>55.69</v>
      </c>
      <c r="F6192">
        <v>261.3</v>
      </c>
      <c r="K6192" s="3"/>
      <c r="O6192" s="3"/>
    </row>
    <row r="6193" spans="1:15">
      <c r="A6193" s="3">
        <v>42717</v>
      </c>
      <c r="B6193" s="3">
        <v>42717</v>
      </c>
      <c r="C6193">
        <v>331.21</v>
      </c>
      <c r="D6193">
        <v>1.0626</v>
      </c>
      <c r="E6193">
        <v>55.72</v>
      </c>
      <c r="F6193">
        <v>259.3</v>
      </c>
      <c r="K6193" s="3"/>
      <c r="O6193" s="3"/>
    </row>
    <row r="6194" spans="1:15">
      <c r="A6194" s="3">
        <v>42718</v>
      </c>
      <c r="B6194" s="3">
        <v>42718</v>
      </c>
      <c r="C6194">
        <v>331.86</v>
      </c>
      <c r="D6194">
        <v>1.0536000000000001</v>
      </c>
      <c r="E6194">
        <v>53.9</v>
      </c>
      <c r="F6194">
        <v>260</v>
      </c>
      <c r="K6194" s="3"/>
      <c r="O6194" s="3"/>
    </row>
    <row r="6195" spans="1:15">
      <c r="A6195" s="3">
        <v>42719</v>
      </c>
      <c r="B6195" s="3">
        <v>42719</v>
      </c>
      <c r="C6195">
        <v>335.01</v>
      </c>
      <c r="D6195">
        <v>1.0414000000000001</v>
      </c>
      <c r="E6195">
        <v>54.02</v>
      </c>
      <c r="F6195">
        <v>259.60000000000002</v>
      </c>
      <c r="K6195" s="3"/>
      <c r="O6195" s="3"/>
    </row>
    <row r="6196" spans="1:15">
      <c r="A6196" s="3">
        <v>42720</v>
      </c>
      <c r="B6196" s="3">
        <v>42720</v>
      </c>
      <c r="C6196">
        <v>335.01</v>
      </c>
      <c r="D6196">
        <v>1.0450999999999999</v>
      </c>
      <c r="E6196">
        <v>55.21</v>
      </c>
      <c r="F6196">
        <v>256.10000000000002</v>
      </c>
      <c r="K6196" s="3"/>
      <c r="O6196" s="3"/>
    </row>
    <row r="6197" spans="1:15">
      <c r="A6197" s="3">
        <v>42721</v>
      </c>
      <c r="B6197" s="3">
        <v>42721</v>
      </c>
      <c r="C6197">
        <v>335.01</v>
      </c>
      <c r="D6197">
        <v>1.0450999999999999</v>
      </c>
      <c r="E6197">
        <v>55.21</v>
      </c>
      <c r="F6197">
        <v>256.10000000000002</v>
      </c>
      <c r="K6197" s="3"/>
      <c r="O6197" s="3"/>
    </row>
    <row r="6198" spans="1:15">
      <c r="A6198" s="3">
        <v>42722</v>
      </c>
      <c r="B6198" s="3">
        <v>42722</v>
      </c>
      <c r="C6198">
        <v>335.01</v>
      </c>
      <c r="D6198">
        <v>1.0450999999999999</v>
      </c>
      <c r="E6198">
        <v>55.21</v>
      </c>
      <c r="F6198">
        <v>256.10000000000002</v>
      </c>
      <c r="K6198" s="3"/>
      <c r="O6198" s="3"/>
    </row>
    <row r="6199" spans="1:15">
      <c r="A6199" s="3">
        <v>42723</v>
      </c>
      <c r="B6199" s="3">
        <v>42723</v>
      </c>
      <c r="C6199">
        <v>335.01</v>
      </c>
      <c r="D6199">
        <v>1.0402</v>
      </c>
      <c r="E6199">
        <v>54.92</v>
      </c>
      <c r="F6199">
        <v>249.65</v>
      </c>
      <c r="K6199" s="3"/>
      <c r="O6199" s="3"/>
    </row>
    <row r="6200" spans="1:15">
      <c r="A6200" s="3">
        <v>42724</v>
      </c>
      <c r="B6200" s="3">
        <v>42724</v>
      </c>
      <c r="C6200">
        <v>335.14</v>
      </c>
      <c r="D6200">
        <v>1.0387999999999999</v>
      </c>
      <c r="E6200">
        <v>55.35</v>
      </c>
      <c r="F6200">
        <v>249.95</v>
      </c>
      <c r="K6200" s="3"/>
      <c r="O6200" s="3"/>
    </row>
    <row r="6201" spans="1:15">
      <c r="A6201" s="3">
        <v>42725</v>
      </c>
      <c r="B6201" s="3">
        <v>42725</v>
      </c>
      <c r="C6201">
        <v>332.44</v>
      </c>
      <c r="D6201">
        <v>1.0424</v>
      </c>
      <c r="E6201">
        <v>54.46</v>
      </c>
      <c r="F6201">
        <v>249.15</v>
      </c>
      <c r="K6201" s="3"/>
      <c r="O6201" s="3"/>
    </row>
    <row r="6202" spans="1:15">
      <c r="A6202" s="3">
        <v>42726</v>
      </c>
      <c r="B6202" s="3">
        <v>42726</v>
      </c>
      <c r="C6202">
        <v>333.55</v>
      </c>
      <c r="D6202">
        <v>1.0437000000000001</v>
      </c>
      <c r="E6202">
        <v>55.05</v>
      </c>
      <c r="F6202">
        <v>249.45</v>
      </c>
      <c r="K6202" s="3"/>
      <c r="O6202" s="3"/>
    </row>
    <row r="6203" spans="1:15">
      <c r="A6203" s="3">
        <v>42727</v>
      </c>
      <c r="B6203" s="3">
        <v>42727</v>
      </c>
      <c r="C6203">
        <v>331.57</v>
      </c>
      <c r="D6203">
        <v>1.0456000000000001</v>
      </c>
      <c r="E6203">
        <v>55.16</v>
      </c>
      <c r="F6203">
        <v>247.25</v>
      </c>
      <c r="K6203" s="3"/>
      <c r="O6203" s="3"/>
    </row>
    <row r="6204" spans="1:15">
      <c r="A6204" s="3">
        <v>42728</v>
      </c>
      <c r="B6204" s="3">
        <v>42728</v>
      </c>
      <c r="C6204">
        <v>331.57</v>
      </c>
      <c r="D6204">
        <v>1.0456000000000001</v>
      </c>
      <c r="E6204">
        <v>55.16</v>
      </c>
      <c r="F6204">
        <v>247.25</v>
      </c>
      <c r="K6204" s="3"/>
      <c r="O6204" s="3"/>
    </row>
    <row r="6205" spans="1:15">
      <c r="A6205" s="3">
        <v>42729</v>
      </c>
      <c r="B6205" s="3">
        <v>42729</v>
      </c>
      <c r="C6205">
        <v>331.57</v>
      </c>
      <c r="D6205">
        <v>1.0456000000000001</v>
      </c>
      <c r="E6205">
        <v>55.16</v>
      </c>
      <c r="F6205">
        <v>247.25</v>
      </c>
      <c r="K6205" s="3"/>
      <c r="O6205" s="3"/>
    </row>
    <row r="6206" spans="1:15">
      <c r="A6206" s="3">
        <v>42730</v>
      </c>
      <c r="B6206" s="3">
        <v>42730</v>
      </c>
      <c r="C6206">
        <v>332.23</v>
      </c>
      <c r="D6206">
        <v>1.0455000000000001</v>
      </c>
      <c r="E6206">
        <v>55.16</v>
      </c>
      <c r="F6206">
        <v>247.25</v>
      </c>
      <c r="K6206" s="3"/>
      <c r="O6206" s="3"/>
    </row>
    <row r="6207" spans="1:15">
      <c r="A6207" s="3">
        <v>42731</v>
      </c>
      <c r="B6207" s="3">
        <v>42731</v>
      </c>
      <c r="C6207">
        <v>333.87</v>
      </c>
      <c r="D6207">
        <v>1.0457000000000001</v>
      </c>
      <c r="E6207">
        <v>56.09</v>
      </c>
      <c r="F6207">
        <v>250.8</v>
      </c>
      <c r="K6207" s="3"/>
      <c r="O6207" s="3"/>
    </row>
    <row r="6208" spans="1:15">
      <c r="A6208" s="3">
        <v>42732</v>
      </c>
      <c r="B6208" s="3">
        <v>42732</v>
      </c>
      <c r="C6208">
        <v>331.73</v>
      </c>
      <c r="D6208">
        <v>1.0412999999999999</v>
      </c>
      <c r="E6208">
        <v>56.22</v>
      </c>
      <c r="F6208">
        <v>249.5</v>
      </c>
      <c r="K6208" s="3"/>
      <c r="O6208" s="3"/>
    </row>
    <row r="6209" spans="1:15">
      <c r="A6209" s="3">
        <v>42733</v>
      </c>
      <c r="B6209" s="3">
        <v>42733</v>
      </c>
      <c r="C6209">
        <v>333.06</v>
      </c>
      <c r="D6209">
        <v>1.0489999999999999</v>
      </c>
      <c r="E6209">
        <v>56.14</v>
      </c>
      <c r="F6209">
        <v>248.8</v>
      </c>
      <c r="K6209" s="3"/>
      <c r="O6209" s="3"/>
    </row>
    <row r="6210" spans="1:15">
      <c r="A6210" s="3">
        <v>42734</v>
      </c>
      <c r="B6210" s="3">
        <v>42734</v>
      </c>
      <c r="C6210">
        <v>333.69</v>
      </c>
      <c r="D6210">
        <v>1.0517000000000001</v>
      </c>
      <c r="E6210">
        <v>56.82</v>
      </c>
      <c r="F6210">
        <v>250.55</v>
      </c>
      <c r="K6210" s="3"/>
      <c r="O6210" s="3"/>
    </row>
    <row r="6211" spans="1:15">
      <c r="A6211" s="3">
        <v>42735</v>
      </c>
      <c r="B6211" s="3">
        <v>42735</v>
      </c>
      <c r="C6211">
        <v>333.69</v>
      </c>
      <c r="D6211">
        <v>1.0517000000000001</v>
      </c>
      <c r="E6211">
        <v>56.82</v>
      </c>
      <c r="F6211">
        <v>250.55</v>
      </c>
      <c r="K6211" s="3"/>
      <c r="O6211" s="3"/>
    </row>
    <row r="6212" spans="1:15">
      <c r="A6212" s="3">
        <v>42736</v>
      </c>
      <c r="B6212" s="3">
        <v>42736</v>
      </c>
      <c r="C6212">
        <v>333.69</v>
      </c>
      <c r="D6212">
        <v>1.0517000000000001</v>
      </c>
      <c r="E6212">
        <v>56.82</v>
      </c>
      <c r="F6212">
        <v>250.55</v>
      </c>
      <c r="K6212" s="3"/>
      <c r="O6212" s="3"/>
    </row>
    <row r="6213" spans="1:15">
      <c r="A6213" s="3">
        <v>42737</v>
      </c>
      <c r="B6213" s="3">
        <v>42737</v>
      </c>
      <c r="C6213">
        <v>333.69</v>
      </c>
      <c r="D6213">
        <v>1.0455000000000001</v>
      </c>
      <c r="E6213">
        <v>56.82</v>
      </c>
      <c r="F6213">
        <v>250.55</v>
      </c>
      <c r="K6213" s="3"/>
      <c r="O6213" s="3"/>
    </row>
    <row r="6214" spans="1:15">
      <c r="A6214" s="3">
        <v>42738</v>
      </c>
      <c r="B6214" s="3">
        <v>42738</v>
      </c>
      <c r="C6214">
        <v>333.69</v>
      </c>
      <c r="D6214">
        <v>1.0405</v>
      </c>
      <c r="E6214">
        <v>55.47</v>
      </c>
      <c r="F6214">
        <v>248.9</v>
      </c>
      <c r="K6214" s="3"/>
      <c r="O6214" s="3"/>
    </row>
    <row r="6215" spans="1:15">
      <c r="A6215" s="3">
        <v>42739</v>
      </c>
      <c r="B6215" s="3">
        <v>42739</v>
      </c>
      <c r="C6215">
        <v>334.01</v>
      </c>
      <c r="D6215">
        <v>1.0488999999999999</v>
      </c>
      <c r="E6215">
        <v>56.46</v>
      </c>
      <c r="F6215">
        <v>255.65</v>
      </c>
      <c r="K6215" s="3"/>
      <c r="O6215" s="3"/>
    </row>
    <row r="6216" spans="1:15">
      <c r="A6216" s="3">
        <v>42740</v>
      </c>
      <c r="B6216" s="3">
        <v>42740</v>
      </c>
      <c r="C6216">
        <v>332.77</v>
      </c>
      <c r="D6216">
        <v>1.0607</v>
      </c>
      <c r="E6216">
        <v>56.89</v>
      </c>
      <c r="F6216">
        <v>253.75</v>
      </c>
      <c r="K6216" s="3"/>
      <c r="O6216" s="3"/>
    </row>
    <row r="6217" spans="1:15">
      <c r="A6217" s="3">
        <v>42741</v>
      </c>
      <c r="B6217" s="3">
        <v>42741</v>
      </c>
      <c r="C6217">
        <v>331.51</v>
      </c>
      <c r="D6217">
        <v>1.0531999999999999</v>
      </c>
      <c r="E6217">
        <v>57.1</v>
      </c>
      <c r="F6217">
        <v>254.6</v>
      </c>
      <c r="K6217" s="3"/>
      <c r="O6217" s="3"/>
    </row>
    <row r="6218" spans="1:15">
      <c r="A6218" s="3">
        <v>42742</v>
      </c>
      <c r="B6218" s="3">
        <v>42742</v>
      </c>
      <c r="C6218">
        <v>331.51</v>
      </c>
      <c r="D6218">
        <v>1.0531999999999999</v>
      </c>
      <c r="E6218">
        <v>57.1</v>
      </c>
      <c r="F6218">
        <v>254.6</v>
      </c>
      <c r="K6218" s="3"/>
      <c r="O6218" s="3"/>
    </row>
    <row r="6219" spans="1:15">
      <c r="A6219" s="3">
        <v>42743</v>
      </c>
      <c r="B6219" s="3">
        <v>42743</v>
      </c>
      <c r="C6219">
        <v>331.51</v>
      </c>
      <c r="D6219">
        <v>1.0531999999999999</v>
      </c>
      <c r="E6219">
        <v>57.1</v>
      </c>
      <c r="F6219">
        <v>254.6</v>
      </c>
      <c r="K6219" s="3"/>
      <c r="O6219" s="3"/>
    </row>
    <row r="6220" spans="1:15">
      <c r="A6220" s="3">
        <v>42744</v>
      </c>
      <c r="B6220" s="3">
        <v>42744</v>
      </c>
      <c r="C6220">
        <v>331.84</v>
      </c>
      <c r="D6220">
        <v>1.0573999999999999</v>
      </c>
      <c r="E6220">
        <v>54.94</v>
      </c>
      <c r="F6220">
        <v>253.85</v>
      </c>
      <c r="K6220" s="3"/>
      <c r="O6220" s="3"/>
    </row>
    <row r="6221" spans="1:15">
      <c r="A6221" s="3">
        <v>42745</v>
      </c>
      <c r="B6221" s="3">
        <v>42745</v>
      </c>
      <c r="C6221">
        <v>332.78</v>
      </c>
      <c r="D6221">
        <v>1.0553999999999999</v>
      </c>
      <c r="E6221">
        <v>53.64</v>
      </c>
      <c r="F6221">
        <v>261.25</v>
      </c>
      <c r="K6221" s="3"/>
      <c r="O6221" s="3"/>
    </row>
    <row r="6222" spans="1:15">
      <c r="A6222" s="3">
        <v>42746</v>
      </c>
      <c r="B6222" s="3">
        <v>42746</v>
      </c>
      <c r="C6222">
        <v>333.96</v>
      </c>
      <c r="D6222">
        <v>1.0582</v>
      </c>
      <c r="E6222">
        <v>55.1</v>
      </c>
      <c r="F6222">
        <v>261.05</v>
      </c>
      <c r="K6222" s="3"/>
      <c r="O6222" s="3"/>
    </row>
    <row r="6223" spans="1:15">
      <c r="A6223" s="3">
        <v>42747</v>
      </c>
      <c r="B6223" s="3">
        <v>42747</v>
      </c>
      <c r="C6223">
        <v>332.12</v>
      </c>
      <c r="D6223">
        <v>1.0612999999999999</v>
      </c>
      <c r="E6223">
        <v>56.01</v>
      </c>
      <c r="F6223">
        <v>267.14999999999998</v>
      </c>
      <c r="K6223" s="3"/>
      <c r="O6223" s="3"/>
    </row>
    <row r="6224" spans="1:15">
      <c r="A6224" s="3">
        <v>42748</v>
      </c>
      <c r="B6224" s="3">
        <v>42748</v>
      </c>
      <c r="C6224">
        <v>332.33</v>
      </c>
      <c r="D6224">
        <v>1.0643</v>
      </c>
      <c r="E6224">
        <v>55.45</v>
      </c>
      <c r="F6224">
        <v>269</v>
      </c>
      <c r="K6224" s="3"/>
      <c r="O6224" s="3"/>
    </row>
    <row r="6225" spans="1:15">
      <c r="A6225" s="3">
        <v>42749</v>
      </c>
      <c r="B6225" s="3">
        <v>42749</v>
      </c>
      <c r="C6225">
        <v>332.33</v>
      </c>
      <c r="D6225">
        <v>1.0643</v>
      </c>
      <c r="E6225">
        <v>55.45</v>
      </c>
      <c r="F6225">
        <v>269</v>
      </c>
      <c r="K6225" s="3"/>
      <c r="O6225" s="3"/>
    </row>
    <row r="6226" spans="1:15">
      <c r="A6226" s="3">
        <v>42750</v>
      </c>
      <c r="B6226" s="3">
        <v>42750</v>
      </c>
      <c r="C6226">
        <v>332.33</v>
      </c>
      <c r="D6226">
        <v>1.0643</v>
      </c>
      <c r="E6226">
        <v>55.45</v>
      </c>
      <c r="F6226">
        <v>269</v>
      </c>
      <c r="K6226" s="3"/>
      <c r="O6226" s="3"/>
    </row>
    <row r="6227" spans="1:15">
      <c r="A6227" s="3">
        <v>42751</v>
      </c>
      <c r="B6227" s="3">
        <v>42751</v>
      </c>
      <c r="C6227">
        <v>333.43</v>
      </c>
      <c r="D6227">
        <v>1.0601</v>
      </c>
      <c r="E6227">
        <v>55.86</v>
      </c>
      <c r="F6227">
        <v>269</v>
      </c>
      <c r="K6227" s="3"/>
      <c r="O6227" s="3"/>
    </row>
    <row r="6228" spans="1:15">
      <c r="A6228" s="3">
        <v>42752</v>
      </c>
      <c r="B6228" s="3">
        <v>42752</v>
      </c>
      <c r="C6228">
        <v>331.78</v>
      </c>
      <c r="D6228">
        <v>1.0712999999999999</v>
      </c>
      <c r="E6228">
        <v>55.47</v>
      </c>
      <c r="F6228">
        <v>262.5</v>
      </c>
      <c r="K6228" s="3"/>
      <c r="O6228" s="3"/>
    </row>
    <row r="6229" spans="1:15">
      <c r="A6229" s="3">
        <v>42753</v>
      </c>
      <c r="B6229" s="3">
        <v>42753</v>
      </c>
      <c r="C6229">
        <v>330.19</v>
      </c>
      <c r="D6229">
        <v>1.0629999999999999</v>
      </c>
      <c r="E6229">
        <v>53.92</v>
      </c>
      <c r="F6229">
        <v>261.64999999999998</v>
      </c>
      <c r="K6229" s="3"/>
      <c r="O6229" s="3"/>
    </row>
    <row r="6230" spans="1:15">
      <c r="A6230" s="3">
        <v>42754</v>
      </c>
      <c r="B6230" s="3">
        <v>42754</v>
      </c>
      <c r="C6230">
        <v>331.84</v>
      </c>
      <c r="D6230">
        <v>1.0664</v>
      </c>
      <c r="E6230">
        <v>54.16</v>
      </c>
      <c r="F6230">
        <v>261.05</v>
      </c>
      <c r="K6230" s="3"/>
      <c r="O6230" s="3"/>
    </row>
    <row r="6231" spans="1:15">
      <c r="A6231" s="3">
        <v>42755</v>
      </c>
      <c r="B6231" s="3">
        <v>42755</v>
      </c>
      <c r="C6231">
        <v>332.36</v>
      </c>
      <c r="D6231">
        <v>1.0703</v>
      </c>
      <c r="E6231">
        <v>55.49</v>
      </c>
      <c r="F6231">
        <v>262.5</v>
      </c>
      <c r="K6231" s="3"/>
      <c r="O6231" s="3"/>
    </row>
    <row r="6232" spans="1:15">
      <c r="A6232" s="3">
        <v>42756</v>
      </c>
      <c r="B6232" s="3">
        <v>42756</v>
      </c>
      <c r="C6232">
        <v>332.36</v>
      </c>
      <c r="D6232">
        <v>1.0703</v>
      </c>
      <c r="E6232">
        <v>55.49</v>
      </c>
      <c r="F6232">
        <v>262.5</v>
      </c>
      <c r="K6232" s="3"/>
      <c r="O6232" s="3"/>
    </row>
    <row r="6233" spans="1:15">
      <c r="A6233" s="3">
        <v>42757</v>
      </c>
      <c r="B6233" s="3">
        <v>42757</v>
      </c>
      <c r="C6233">
        <v>332.36</v>
      </c>
      <c r="D6233">
        <v>1.0703</v>
      </c>
      <c r="E6233">
        <v>55.49</v>
      </c>
      <c r="F6233">
        <v>262.5</v>
      </c>
      <c r="K6233" s="3"/>
      <c r="O6233" s="3"/>
    </row>
    <row r="6234" spans="1:15">
      <c r="A6234" s="3">
        <v>42758</v>
      </c>
      <c r="B6234" s="3">
        <v>42758</v>
      </c>
      <c r="C6234">
        <v>330.86</v>
      </c>
      <c r="D6234">
        <v>1.0765</v>
      </c>
      <c r="E6234">
        <v>55.23</v>
      </c>
      <c r="F6234">
        <v>264.75</v>
      </c>
      <c r="K6234" s="3"/>
      <c r="O6234" s="3"/>
    </row>
    <row r="6235" spans="1:15">
      <c r="A6235" s="3">
        <v>42759</v>
      </c>
      <c r="B6235" s="3">
        <v>42759</v>
      </c>
      <c r="C6235">
        <v>328.42</v>
      </c>
      <c r="D6235">
        <v>1.0730999999999999</v>
      </c>
      <c r="E6235">
        <v>55.44</v>
      </c>
      <c r="F6235">
        <v>270.85000000000002</v>
      </c>
      <c r="K6235" s="3"/>
      <c r="O6235" s="3"/>
    </row>
    <row r="6236" spans="1:15">
      <c r="A6236" s="3">
        <v>42760</v>
      </c>
      <c r="B6236" s="3">
        <v>42760</v>
      </c>
      <c r="C6236">
        <v>328.28</v>
      </c>
      <c r="D6236">
        <v>1.0748</v>
      </c>
      <c r="E6236">
        <v>55.08</v>
      </c>
      <c r="F6236">
        <v>271</v>
      </c>
      <c r="K6236" s="3"/>
      <c r="O6236" s="3"/>
    </row>
    <row r="6237" spans="1:15">
      <c r="A6237" s="3">
        <v>42761</v>
      </c>
      <c r="B6237" s="3">
        <v>42761</v>
      </c>
      <c r="C6237">
        <v>328.5</v>
      </c>
      <c r="D6237">
        <v>1.0682</v>
      </c>
      <c r="E6237">
        <v>56.24</v>
      </c>
      <c r="F6237">
        <v>267.3</v>
      </c>
      <c r="K6237" s="3"/>
      <c r="O6237" s="3"/>
    </row>
    <row r="6238" spans="1:15">
      <c r="A6238" s="3">
        <v>42762</v>
      </c>
      <c r="B6238" s="3">
        <v>42762</v>
      </c>
      <c r="C6238">
        <v>327.93</v>
      </c>
      <c r="D6238">
        <v>1.0699000000000001</v>
      </c>
      <c r="E6238">
        <v>55.52</v>
      </c>
      <c r="F6238">
        <v>268.95</v>
      </c>
      <c r="K6238" s="3"/>
      <c r="O6238" s="3"/>
    </row>
    <row r="6239" spans="1:15">
      <c r="A6239" s="3">
        <v>42763</v>
      </c>
      <c r="B6239" s="3">
        <v>42763</v>
      </c>
      <c r="C6239">
        <v>327.93</v>
      </c>
      <c r="D6239">
        <v>1.0699000000000001</v>
      </c>
      <c r="E6239">
        <v>55.52</v>
      </c>
      <c r="F6239">
        <v>268.95</v>
      </c>
      <c r="K6239" s="3"/>
      <c r="O6239" s="3"/>
    </row>
    <row r="6240" spans="1:15">
      <c r="A6240" s="3">
        <v>42764</v>
      </c>
      <c r="B6240" s="3">
        <v>42764</v>
      </c>
      <c r="C6240">
        <v>327.93</v>
      </c>
      <c r="D6240">
        <v>1.0699000000000001</v>
      </c>
      <c r="E6240">
        <v>55.52</v>
      </c>
      <c r="F6240">
        <v>268.95</v>
      </c>
      <c r="K6240" s="3"/>
      <c r="O6240" s="3"/>
    </row>
    <row r="6241" spans="1:15">
      <c r="A6241" s="3">
        <v>42765</v>
      </c>
      <c r="B6241" s="3">
        <v>42765</v>
      </c>
      <c r="C6241">
        <v>325.92</v>
      </c>
      <c r="D6241">
        <v>1.0694999999999999</v>
      </c>
      <c r="E6241">
        <v>55.23</v>
      </c>
      <c r="F6241">
        <v>265.5</v>
      </c>
      <c r="K6241" s="3"/>
      <c r="O6241" s="3"/>
    </row>
    <row r="6242" spans="1:15">
      <c r="A6242" s="3">
        <v>42766</v>
      </c>
      <c r="B6242" s="3">
        <v>42766</v>
      </c>
      <c r="C6242">
        <v>323.27999999999997</v>
      </c>
      <c r="D6242">
        <v>1.0798000000000001</v>
      </c>
      <c r="E6242">
        <v>55.7</v>
      </c>
      <c r="F6242">
        <v>272.75</v>
      </c>
      <c r="K6242" s="3"/>
      <c r="O6242" s="3"/>
    </row>
    <row r="6243" spans="1:15">
      <c r="A6243" s="3">
        <v>42767</v>
      </c>
      <c r="B6243" s="3">
        <v>42767</v>
      </c>
      <c r="C6243">
        <v>325.31</v>
      </c>
      <c r="D6243">
        <v>1.0769</v>
      </c>
      <c r="E6243">
        <v>56.8</v>
      </c>
      <c r="F6243">
        <v>271.14999999999998</v>
      </c>
      <c r="K6243" s="3"/>
      <c r="O6243" s="3"/>
    </row>
    <row r="6244" spans="1:15">
      <c r="A6244" s="3">
        <v>42768</v>
      </c>
      <c r="B6244" s="3">
        <v>42768</v>
      </c>
      <c r="C6244">
        <v>325.49</v>
      </c>
      <c r="D6244">
        <v>1.0759000000000001</v>
      </c>
      <c r="E6244">
        <v>56.56</v>
      </c>
      <c r="F6244">
        <v>268.55</v>
      </c>
      <c r="K6244" s="3"/>
      <c r="O6244" s="3"/>
    </row>
    <row r="6245" spans="1:15">
      <c r="A6245" s="3">
        <v>42769</v>
      </c>
      <c r="B6245" s="3">
        <v>42769</v>
      </c>
      <c r="C6245">
        <v>323.69</v>
      </c>
      <c r="D6245">
        <v>1.0783</v>
      </c>
      <c r="E6245">
        <v>56.81</v>
      </c>
      <c r="F6245">
        <v>261.60000000000002</v>
      </c>
      <c r="K6245" s="3"/>
      <c r="O6245" s="3"/>
    </row>
    <row r="6246" spans="1:15">
      <c r="A6246" s="3">
        <v>42770</v>
      </c>
      <c r="B6246" s="3">
        <v>42770</v>
      </c>
      <c r="C6246">
        <v>323.69</v>
      </c>
      <c r="D6246">
        <v>1.0783</v>
      </c>
      <c r="E6246">
        <v>56.81</v>
      </c>
      <c r="F6246">
        <v>261.60000000000002</v>
      </c>
      <c r="K6246" s="3"/>
      <c r="O6246" s="3"/>
    </row>
    <row r="6247" spans="1:15">
      <c r="A6247" s="3">
        <v>42771</v>
      </c>
      <c r="B6247" s="3">
        <v>42771</v>
      </c>
      <c r="C6247">
        <v>323.69</v>
      </c>
      <c r="D6247">
        <v>1.0783</v>
      </c>
      <c r="E6247">
        <v>56.81</v>
      </c>
      <c r="F6247">
        <v>261.60000000000002</v>
      </c>
      <c r="K6247" s="3"/>
      <c r="O6247" s="3"/>
    </row>
    <row r="6248" spans="1:15">
      <c r="A6248" s="3">
        <v>42772</v>
      </c>
      <c r="B6248" s="3">
        <v>42772</v>
      </c>
      <c r="C6248">
        <v>322.02</v>
      </c>
      <c r="D6248">
        <v>1.075</v>
      </c>
      <c r="E6248">
        <v>55.72</v>
      </c>
      <c r="F6248">
        <v>265.14999999999998</v>
      </c>
      <c r="K6248" s="3"/>
      <c r="O6248" s="3"/>
    </row>
    <row r="6249" spans="1:15">
      <c r="A6249" s="3">
        <v>42773</v>
      </c>
      <c r="B6249" s="3">
        <v>42773</v>
      </c>
      <c r="C6249">
        <v>323.52</v>
      </c>
      <c r="D6249">
        <v>1.0683</v>
      </c>
      <c r="E6249">
        <v>55.05</v>
      </c>
      <c r="F6249">
        <v>263.2</v>
      </c>
      <c r="K6249" s="3"/>
      <c r="O6249" s="3"/>
    </row>
    <row r="6250" spans="1:15">
      <c r="A6250" s="3">
        <v>42774</v>
      </c>
      <c r="B6250" s="3">
        <v>42774</v>
      </c>
      <c r="C6250">
        <v>324.86</v>
      </c>
      <c r="D6250">
        <v>1.0698000000000001</v>
      </c>
      <c r="E6250">
        <v>55.12</v>
      </c>
      <c r="F6250">
        <v>266.64999999999998</v>
      </c>
      <c r="K6250" s="3"/>
      <c r="O6250" s="3"/>
    </row>
    <row r="6251" spans="1:15">
      <c r="A6251" s="3">
        <v>42775</v>
      </c>
      <c r="B6251" s="3">
        <v>42775</v>
      </c>
      <c r="C6251">
        <v>324.04000000000002</v>
      </c>
      <c r="D6251">
        <v>1.0654999999999999</v>
      </c>
      <c r="E6251">
        <v>55.63</v>
      </c>
      <c r="F6251">
        <v>265.35000000000002</v>
      </c>
      <c r="K6251" s="3"/>
      <c r="O6251" s="3"/>
    </row>
    <row r="6252" spans="1:15">
      <c r="A6252" s="3">
        <v>42776</v>
      </c>
      <c r="B6252" s="3">
        <v>42776</v>
      </c>
      <c r="C6252">
        <v>322.55</v>
      </c>
      <c r="D6252">
        <v>1.0643</v>
      </c>
      <c r="E6252">
        <v>56.7</v>
      </c>
      <c r="F6252">
        <v>276.8</v>
      </c>
      <c r="K6252" s="3"/>
      <c r="O6252" s="3"/>
    </row>
    <row r="6253" spans="1:15">
      <c r="A6253" s="3">
        <v>42777</v>
      </c>
      <c r="B6253" s="3">
        <v>42777</v>
      </c>
      <c r="C6253">
        <v>322.55</v>
      </c>
      <c r="D6253">
        <v>1.0643</v>
      </c>
      <c r="E6253">
        <v>56.7</v>
      </c>
      <c r="F6253">
        <v>276.8</v>
      </c>
      <c r="K6253" s="3"/>
      <c r="O6253" s="3"/>
    </row>
    <row r="6254" spans="1:15">
      <c r="A6254" s="3">
        <v>42778</v>
      </c>
      <c r="B6254" s="3">
        <v>42778</v>
      </c>
      <c r="C6254">
        <v>322.55</v>
      </c>
      <c r="D6254">
        <v>1.0643</v>
      </c>
      <c r="E6254">
        <v>56.7</v>
      </c>
      <c r="F6254">
        <v>276.8</v>
      </c>
      <c r="K6254" s="3"/>
      <c r="O6254" s="3"/>
    </row>
    <row r="6255" spans="1:15">
      <c r="A6255" s="3">
        <v>42779</v>
      </c>
      <c r="B6255" s="3">
        <v>42779</v>
      </c>
      <c r="C6255">
        <v>322.33</v>
      </c>
      <c r="D6255">
        <v>1.0598000000000001</v>
      </c>
      <c r="E6255">
        <v>55.59</v>
      </c>
      <c r="F6255">
        <v>278.3</v>
      </c>
      <c r="K6255" s="3"/>
      <c r="O6255" s="3"/>
    </row>
    <row r="6256" spans="1:15">
      <c r="A6256" s="3">
        <v>42780</v>
      </c>
      <c r="B6256" s="3">
        <v>42780</v>
      </c>
      <c r="C6256">
        <v>321.76</v>
      </c>
      <c r="D6256">
        <v>1.0578000000000001</v>
      </c>
      <c r="E6256">
        <v>55.97</v>
      </c>
      <c r="F6256">
        <v>273.7</v>
      </c>
      <c r="K6256" s="3"/>
      <c r="O6256" s="3"/>
    </row>
    <row r="6257" spans="1:15">
      <c r="A6257" s="3">
        <v>42781</v>
      </c>
      <c r="B6257" s="3">
        <v>42781</v>
      </c>
      <c r="C6257">
        <v>320.67</v>
      </c>
      <c r="D6257">
        <v>1.0601</v>
      </c>
      <c r="E6257">
        <v>55.75</v>
      </c>
      <c r="F6257">
        <v>274.05</v>
      </c>
      <c r="K6257" s="3"/>
      <c r="O6257" s="3"/>
    </row>
    <row r="6258" spans="1:15">
      <c r="A6258" s="3">
        <v>42782</v>
      </c>
      <c r="B6258" s="3">
        <v>42782</v>
      </c>
      <c r="C6258">
        <v>319.20999999999998</v>
      </c>
      <c r="D6258">
        <v>1.0673999999999999</v>
      </c>
      <c r="E6258">
        <v>55.65</v>
      </c>
      <c r="F6258">
        <v>271.85000000000002</v>
      </c>
      <c r="K6258" s="3"/>
      <c r="O6258" s="3"/>
    </row>
    <row r="6259" spans="1:15">
      <c r="A6259" s="3">
        <v>42783</v>
      </c>
      <c r="B6259" s="3">
        <v>42783</v>
      </c>
      <c r="C6259">
        <v>318.41000000000003</v>
      </c>
      <c r="D6259">
        <v>1.0616000000000001</v>
      </c>
      <c r="E6259">
        <v>55.81</v>
      </c>
      <c r="F6259">
        <v>270.7</v>
      </c>
      <c r="K6259" s="3"/>
      <c r="O6259" s="3"/>
    </row>
    <row r="6260" spans="1:15">
      <c r="A6260" s="3">
        <v>42784</v>
      </c>
      <c r="B6260" s="3">
        <v>42784</v>
      </c>
      <c r="C6260">
        <v>318.41000000000003</v>
      </c>
      <c r="D6260">
        <v>1.0616000000000001</v>
      </c>
      <c r="E6260">
        <v>55.81</v>
      </c>
      <c r="F6260">
        <v>270.7</v>
      </c>
      <c r="K6260" s="3"/>
      <c r="O6260" s="3"/>
    </row>
    <row r="6261" spans="1:15">
      <c r="A6261" s="3">
        <v>42785</v>
      </c>
      <c r="B6261" s="3">
        <v>42785</v>
      </c>
      <c r="C6261">
        <v>318.41000000000003</v>
      </c>
      <c r="D6261">
        <v>1.0616000000000001</v>
      </c>
      <c r="E6261">
        <v>55.81</v>
      </c>
      <c r="F6261">
        <v>270.7</v>
      </c>
      <c r="K6261" s="3"/>
      <c r="O6261" s="3"/>
    </row>
    <row r="6262" spans="1:15">
      <c r="A6262" s="3">
        <v>42786</v>
      </c>
      <c r="B6262" s="3">
        <v>42786</v>
      </c>
      <c r="C6262">
        <v>319.08999999999997</v>
      </c>
      <c r="D6262">
        <v>1.0613999999999999</v>
      </c>
      <c r="E6262">
        <v>56.18</v>
      </c>
      <c r="F6262">
        <v>270.7</v>
      </c>
      <c r="K6262" s="3"/>
      <c r="O6262" s="3"/>
    </row>
    <row r="6263" spans="1:15">
      <c r="A6263" s="3">
        <v>42787</v>
      </c>
      <c r="B6263" s="3">
        <v>42787</v>
      </c>
      <c r="C6263">
        <v>316.25</v>
      </c>
      <c r="D6263">
        <v>1.0536000000000001</v>
      </c>
      <c r="E6263">
        <v>56.66</v>
      </c>
      <c r="F6263">
        <v>274.55</v>
      </c>
      <c r="K6263" s="3"/>
      <c r="O6263" s="3"/>
    </row>
    <row r="6264" spans="1:15">
      <c r="A6264" s="3">
        <v>42788</v>
      </c>
      <c r="B6264" s="3">
        <v>42788</v>
      </c>
      <c r="C6264">
        <v>314.81</v>
      </c>
      <c r="D6264">
        <v>1.0558000000000001</v>
      </c>
      <c r="E6264">
        <v>55.84</v>
      </c>
      <c r="F6264">
        <v>273.3</v>
      </c>
      <c r="K6264" s="3"/>
      <c r="O6264" s="3"/>
    </row>
    <row r="6265" spans="1:15">
      <c r="A6265" s="3">
        <v>42789</v>
      </c>
      <c r="B6265" s="3">
        <v>42789</v>
      </c>
      <c r="C6265">
        <v>315.27</v>
      </c>
      <c r="D6265">
        <v>1.0582</v>
      </c>
      <c r="E6265">
        <v>56.58</v>
      </c>
      <c r="F6265">
        <v>264.35000000000002</v>
      </c>
      <c r="K6265" s="3"/>
      <c r="O6265" s="3"/>
    </row>
    <row r="6266" spans="1:15">
      <c r="A6266" s="3">
        <v>42790</v>
      </c>
      <c r="B6266" s="3">
        <v>42790</v>
      </c>
      <c r="C6266">
        <v>311.58999999999997</v>
      </c>
      <c r="D6266">
        <v>1.0563</v>
      </c>
      <c r="E6266">
        <v>55.99</v>
      </c>
      <c r="F6266">
        <v>268</v>
      </c>
      <c r="K6266" s="3"/>
      <c r="O6266" s="3"/>
    </row>
    <row r="6267" spans="1:15">
      <c r="A6267" s="3">
        <v>42791</v>
      </c>
      <c r="B6267" s="3">
        <v>42791</v>
      </c>
      <c r="C6267">
        <v>311.58999999999997</v>
      </c>
      <c r="D6267">
        <v>1.0563</v>
      </c>
      <c r="E6267">
        <v>55.99</v>
      </c>
      <c r="F6267">
        <v>268</v>
      </c>
      <c r="K6267" s="3"/>
      <c r="O6267" s="3"/>
    </row>
    <row r="6268" spans="1:15">
      <c r="A6268" s="3">
        <v>42792</v>
      </c>
      <c r="B6268" s="3">
        <v>42792</v>
      </c>
      <c r="C6268">
        <v>311.58999999999997</v>
      </c>
      <c r="D6268">
        <v>1.0563</v>
      </c>
      <c r="E6268">
        <v>55.99</v>
      </c>
      <c r="F6268">
        <v>268</v>
      </c>
      <c r="K6268" s="3"/>
      <c r="O6268" s="3"/>
    </row>
    <row r="6269" spans="1:15">
      <c r="A6269" s="3">
        <v>42793</v>
      </c>
      <c r="B6269" s="3">
        <v>42793</v>
      </c>
      <c r="C6269">
        <v>311.67</v>
      </c>
      <c r="D6269">
        <v>1.0587</v>
      </c>
      <c r="E6269">
        <v>55.93</v>
      </c>
      <c r="F6269">
        <v>268.75</v>
      </c>
      <c r="K6269" s="3"/>
      <c r="O6269" s="3"/>
    </row>
    <row r="6270" spans="1:15">
      <c r="A6270" s="3">
        <v>42794</v>
      </c>
      <c r="B6270" s="3">
        <v>42794</v>
      </c>
      <c r="C6270">
        <v>316.17</v>
      </c>
      <c r="D6270">
        <v>1.0576000000000001</v>
      </c>
      <c r="E6270">
        <v>55.59</v>
      </c>
      <c r="F6270">
        <v>270.39999999999998</v>
      </c>
      <c r="K6270" s="3"/>
      <c r="O6270" s="3"/>
    </row>
    <row r="6271" spans="1:15">
      <c r="A6271" s="3">
        <v>42795</v>
      </c>
      <c r="B6271" s="3">
        <v>42795</v>
      </c>
      <c r="C6271">
        <v>314.07</v>
      </c>
      <c r="D6271">
        <v>1.0547</v>
      </c>
      <c r="E6271">
        <v>56.36</v>
      </c>
      <c r="F6271">
        <v>272.64999999999998</v>
      </c>
      <c r="K6271" s="3"/>
      <c r="O6271" s="3"/>
    </row>
    <row r="6272" spans="1:15">
      <c r="A6272" s="3">
        <v>42796</v>
      </c>
      <c r="B6272" s="3">
        <v>42796</v>
      </c>
      <c r="C6272">
        <v>314.52999999999997</v>
      </c>
      <c r="D6272">
        <v>1.0507</v>
      </c>
      <c r="E6272">
        <v>55.08</v>
      </c>
      <c r="F6272">
        <v>267.95</v>
      </c>
      <c r="K6272" s="3"/>
      <c r="O6272" s="3"/>
    </row>
    <row r="6273" spans="1:15">
      <c r="A6273" s="3">
        <v>42797</v>
      </c>
      <c r="B6273" s="3">
        <v>42797</v>
      </c>
      <c r="C6273">
        <v>317.64</v>
      </c>
      <c r="D6273">
        <v>1.0622</v>
      </c>
      <c r="E6273">
        <v>55.9</v>
      </c>
      <c r="F6273">
        <v>268.7</v>
      </c>
      <c r="K6273" s="3"/>
      <c r="O6273" s="3"/>
    </row>
    <row r="6274" spans="1:15">
      <c r="A6274" s="3">
        <v>42798</v>
      </c>
      <c r="B6274" s="3">
        <v>42798</v>
      </c>
      <c r="C6274">
        <v>317.64</v>
      </c>
      <c r="D6274">
        <v>1.0622</v>
      </c>
      <c r="E6274">
        <v>55.9</v>
      </c>
      <c r="F6274">
        <v>268.7</v>
      </c>
      <c r="K6274" s="3"/>
      <c r="O6274" s="3"/>
    </row>
    <row r="6275" spans="1:15">
      <c r="A6275" s="3">
        <v>42799</v>
      </c>
      <c r="B6275" s="3">
        <v>42799</v>
      </c>
      <c r="C6275">
        <v>317.64</v>
      </c>
      <c r="D6275">
        <v>1.0622</v>
      </c>
      <c r="E6275">
        <v>55.9</v>
      </c>
      <c r="F6275">
        <v>268.7</v>
      </c>
      <c r="K6275" s="3"/>
      <c r="O6275" s="3"/>
    </row>
    <row r="6276" spans="1:15">
      <c r="A6276" s="3">
        <v>42800</v>
      </c>
      <c r="B6276" s="3">
        <v>42800</v>
      </c>
      <c r="C6276">
        <v>315.12</v>
      </c>
      <c r="D6276">
        <v>1.0582</v>
      </c>
      <c r="E6276">
        <v>56.01</v>
      </c>
      <c r="F6276">
        <v>264.3</v>
      </c>
      <c r="K6276" s="3"/>
      <c r="O6276" s="3"/>
    </row>
    <row r="6277" spans="1:15">
      <c r="A6277" s="3">
        <v>42801</v>
      </c>
      <c r="B6277" s="3">
        <v>42801</v>
      </c>
      <c r="C6277">
        <v>315.18</v>
      </c>
      <c r="D6277">
        <v>1.0566</v>
      </c>
      <c r="E6277">
        <v>55.92</v>
      </c>
      <c r="F6277">
        <v>260.95</v>
      </c>
      <c r="K6277" s="3"/>
      <c r="O6277" s="3"/>
    </row>
    <row r="6278" spans="1:15">
      <c r="A6278" s="3">
        <v>42802</v>
      </c>
      <c r="B6278" s="3">
        <v>42802</v>
      </c>
      <c r="C6278">
        <v>315.75</v>
      </c>
      <c r="D6278">
        <v>1.0541</v>
      </c>
      <c r="E6278">
        <v>53.11</v>
      </c>
      <c r="F6278">
        <v>259.2</v>
      </c>
      <c r="K6278" s="3"/>
      <c r="O6278" s="3"/>
    </row>
    <row r="6279" spans="1:15">
      <c r="A6279" s="3">
        <v>42803</v>
      </c>
      <c r="B6279" s="3">
        <v>42803</v>
      </c>
      <c r="C6279">
        <v>316.76</v>
      </c>
      <c r="D6279">
        <v>1.0577000000000001</v>
      </c>
      <c r="E6279">
        <v>52.19</v>
      </c>
      <c r="F6279">
        <v>257</v>
      </c>
      <c r="K6279" s="3"/>
      <c r="O6279" s="3"/>
    </row>
    <row r="6280" spans="1:15">
      <c r="A6280" s="3">
        <v>42804</v>
      </c>
      <c r="B6280" s="3">
        <v>42804</v>
      </c>
      <c r="C6280">
        <v>317.14999999999998</v>
      </c>
      <c r="D6280">
        <v>1.0672999999999999</v>
      </c>
      <c r="E6280">
        <v>51.37</v>
      </c>
      <c r="F6280">
        <v>258.64999999999998</v>
      </c>
      <c r="K6280" s="3"/>
      <c r="O6280" s="3"/>
    </row>
    <row r="6281" spans="1:15">
      <c r="A6281" s="3">
        <v>42805</v>
      </c>
      <c r="B6281" s="3">
        <v>42805</v>
      </c>
      <c r="C6281">
        <v>317.14999999999998</v>
      </c>
      <c r="D6281">
        <v>1.0672999999999999</v>
      </c>
      <c r="E6281">
        <v>51.37</v>
      </c>
      <c r="F6281">
        <v>258.64999999999998</v>
      </c>
      <c r="K6281" s="3"/>
      <c r="O6281" s="3"/>
    </row>
    <row r="6282" spans="1:15">
      <c r="A6282" s="3">
        <v>42806</v>
      </c>
      <c r="B6282" s="3">
        <v>42806</v>
      </c>
      <c r="C6282">
        <v>317.14999999999998</v>
      </c>
      <c r="D6282">
        <v>1.0672999999999999</v>
      </c>
      <c r="E6282">
        <v>51.37</v>
      </c>
      <c r="F6282">
        <v>258.64999999999998</v>
      </c>
      <c r="K6282" s="3"/>
      <c r="O6282" s="3"/>
    </row>
    <row r="6283" spans="1:15">
      <c r="A6283" s="3">
        <v>42807</v>
      </c>
      <c r="B6283" s="3">
        <v>42807</v>
      </c>
      <c r="C6283">
        <v>318.16000000000003</v>
      </c>
      <c r="D6283">
        <v>1.0652999999999999</v>
      </c>
      <c r="E6283">
        <v>51.35</v>
      </c>
      <c r="F6283">
        <v>261.64999999999998</v>
      </c>
      <c r="K6283" s="3"/>
      <c r="O6283" s="3"/>
    </row>
    <row r="6284" spans="1:15">
      <c r="A6284" s="3">
        <v>42808</v>
      </c>
      <c r="B6284" s="3">
        <v>42808</v>
      </c>
      <c r="C6284">
        <v>318.16000000000003</v>
      </c>
      <c r="D6284">
        <v>1.0604</v>
      </c>
      <c r="E6284">
        <v>50.92</v>
      </c>
      <c r="F6284">
        <v>262.39999999999998</v>
      </c>
      <c r="K6284" s="3"/>
      <c r="O6284" s="3"/>
    </row>
    <row r="6285" spans="1:15">
      <c r="A6285" s="3">
        <v>42809</v>
      </c>
      <c r="B6285" s="3">
        <v>42809</v>
      </c>
      <c r="C6285">
        <v>318.58999999999997</v>
      </c>
      <c r="D6285">
        <v>1.0733999999999999</v>
      </c>
      <c r="E6285">
        <v>51.81</v>
      </c>
      <c r="F6285">
        <v>264.55</v>
      </c>
      <c r="K6285" s="3"/>
      <c r="O6285" s="3"/>
    </row>
    <row r="6286" spans="1:15">
      <c r="A6286" s="3">
        <v>42810</v>
      </c>
      <c r="B6286" s="3">
        <v>42810</v>
      </c>
      <c r="C6286">
        <v>317.08</v>
      </c>
      <c r="D6286">
        <v>1.0766</v>
      </c>
      <c r="E6286">
        <v>51.74</v>
      </c>
      <c r="F6286">
        <v>266.55</v>
      </c>
      <c r="K6286" s="3"/>
      <c r="O6286" s="3"/>
    </row>
    <row r="6287" spans="1:15">
      <c r="A6287" s="3">
        <v>42811</v>
      </c>
      <c r="B6287" s="3">
        <v>42811</v>
      </c>
      <c r="C6287">
        <v>315.97000000000003</v>
      </c>
      <c r="D6287">
        <v>1.0738000000000001</v>
      </c>
      <c r="E6287">
        <v>51.76</v>
      </c>
      <c r="F6287">
        <v>267.95</v>
      </c>
      <c r="K6287" s="3"/>
      <c r="O6287" s="3"/>
    </row>
    <row r="6288" spans="1:15">
      <c r="A6288" s="3">
        <v>42812</v>
      </c>
      <c r="B6288" s="3">
        <v>42812</v>
      </c>
      <c r="C6288">
        <v>315.97000000000003</v>
      </c>
      <c r="D6288">
        <v>1.0738000000000001</v>
      </c>
      <c r="E6288">
        <v>51.76</v>
      </c>
      <c r="F6288">
        <v>267.95</v>
      </c>
      <c r="K6288" s="3"/>
      <c r="O6288" s="3"/>
    </row>
    <row r="6289" spans="1:15">
      <c r="A6289" s="3">
        <v>42813</v>
      </c>
      <c r="B6289" s="3">
        <v>42813</v>
      </c>
      <c r="C6289">
        <v>315.97000000000003</v>
      </c>
      <c r="D6289">
        <v>1.0738000000000001</v>
      </c>
      <c r="E6289">
        <v>51.76</v>
      </c>
      <c r="F6289">
        <v>267.95</v>
      </c>
      <c r="K6289" s="3"/>
      <c r="O6289" s="3"/>
    </row>
    <row r="6290" spans="1:15">
      <c r="A6290" s="3">
        <v>42814</v>
      </c>
      <c r="B6290" s="3">
        <v>42814</v>
      </c>
      <c r="C6290">
        <v>315.07</v>
      </c>
      <c r="D6290">
        <v>1.0739000000000001</v>
      </c>
      <c r="E6290">
        <v>51.62</v>
      </c>
      <c r="F6290">
        <v>265.55</v>
      </c>
      <c r="K6290" s="3"/>
      <c r="O6290" s="3"/>
    </row>
    <row r="6291" spans="1:15">
      <c r="A6291" s="3">
        <v>42815</v>
      </c>
      <c r="B6291" s="3">
        <v>42815</v>
      </c>
      <c r="C6291">
        <v>315.32</v>
      </c>
      <c r="D6291">
        <v>1.0810999999999999</v>
      </c>
      <c r="E6291">
        <v>50.96</v>
      </c>
      <c r="F6291">
        <v>261</v>
      </c>
      <c r="K6291" s="3"/>
      <c r="O6291" s="3"/>
    </row>
    <row r="6292" spans="1:15">
      <c r="A6292" s="3">
        <v>42816</v>
      </c>
      <c r="B6292" s="3">
        <v>42816</v>
      </c>
      <c r="C6292">
        <v>315.32</v>
      </c>
      <c r="D6292">
        <v>1.0797000000000001</v>
      </c>
      <c r="E6292">
        <v>50.64</v>
      </c>
      <c r="F6292">
        <v>262.2</v>
      </c>
      <c r="K6292" s="3"/>
      <c r="O6292" s="3"/>
    </row>
    <row r="6293" spans="1:15">
      <c r="A6293" s="3">
        <v>42817</v>
      </c>
      <c r="B6293" s="3">
        <v>42817</v>
      </c>
      <c r="C6293">
        <v>315.32</v>
      </c>
      <c r="D6293">
        <v>1.0783</v>
      </c>
      <c r="E6293">
        <v>50.56</v>
      </c>
      <c r="F6293">
        <v>263.64999999999998</v>
      </c>
      <c r="K6293" s="3"/>
      <c r="O6293" s="3"/>
    </row>
    <row r="6294" spans="1:15">
      <c r="A6294" s="3">
        <v>42818</v>
      </c>
      <c r="B6294" s="3">
        <v>42818</v>
      </c>
      <c r="C6294">
        <v>316.06</v>
      </c>
      <c r="D6294">
        <v>1.0798000000000001</v>
      </c>
      <c r="E6294">
        <v>50.8</v>
      </c>
      <c r="F6294">
        <v>262.35000000000002</v>
      </c>
      <c r="K6294" s="3"/>
      <c r="O6294" s="3"/>
    </row>
    <row r="6295" spans="1:15">
      <c r="A6295" s="3">
        <v>42819</v>
      </c>
      <c r="B6295" s="3">
        <v>42819</v>
      </c>
      <c r="C6295">
        <v>316.06</v>
      </c>
      <c r="D6295">
        <v>1.0798000000000001</v>
      </c>
      <c r="E6295">
        <v>50.8</v>
      </c>
      <c r="F6295">
        <v>262.35000000000002</v>
      </c>
      <c r="K6295" s="3"/>
      <c r="O6295" s="3"/>
    </row>
    <row r="6296" spans="1:15">
      <c r="A6296" s="3">
        <v>42820</v>
      </c>
      <c r="B6296" s="3">
        <v>42820</v>
      </c>
      <c r="C6296">
        <v>316.06</v>
      </c>
      <c r="D6296">
        <v>1.0798000000000001</v>
      </c>
      <c r="E6296">
        <v>50.8</v>
      </c>
      <c r="F6296">
        <v>262.35000000000002</v>
      </c>
      <c r="K6296" s="3"/>
      <c r="O6296" s="3"/>
    </row>
    <row r="6297" spans="1:15">
      <c r="A6297" s="3">
        <v>42821</v>
      </c>
      <c r="B6297" s="3">
        <v>42821</v>
      </c>
      <c r="C6297">
        <v>315.58999999999997</v>
      </c>
      <c r="D6297">
        <v>1.0864</v>
      </c>
      <c r="E6297">
        <v>50.75</v>
      </c>
      <c r="F6297">
        <v>262.5</v>
      </c>
      <c r="K6297" s="3"/>
      <c r="O6297" s="3"/>
    </row>
    <row r="6298" spans="1:15">
      <c r="A6298" s="3">
        <v>42822</v>
      </c>
      <c r="B6298" s="3">
        <v>42822</v>
      </c>
      <c r="C6298">
        <v>315.33</v>
      </c>
      <c r="D6298">
        <v>1.0813999999999999</v>
      </c>
      <c r="E6298">
        <v>51.33</v>
      </c>
      <c r="F6298">
        <v>266.89999999999998</v>
      </c>
      <c r="K6298" s="3"/>
      <c r="O6298" s="3"/>
    </row>
    <row r="6299" spans="1:15">
      <c r="A6299" s="3">
        <v>42823</v>
      </c>
      <c r="B6299" s="3">
        <v>42823</v>
      </c>
      <c r="C6299">
        <v>315.7</v>
      </c>
      <c r="D6299">
        <v>1.0766</v>
      </c>
      <c r="E6299">
        <v>52.42</v>
      </c>
      <c r="F6299">
        <v>267</v>
      </c>
      <c r="K6299" s="3"/>
      <c r="O6299" s="3"/>
    </row>
    <row r="6300" spans="1:15">
      <c r="A6300" s="3">
        <v>42824</v>
      </c>
      <c r="B6300" s="3">
        <v>42824</v>
      </c>
      <c r="C6300">
        <v>314.70999999999998</v>
      </c>
      <c r="D6300">
        <v>1.0673999999999999</v>
      </c>
      <c r="E6300">
        <v>52.96</v>
      </c>
      <c r="F6300">
        <v>267.14999999999998</v>
      </c>
      <c r="K6300" s="3"/>
      <c r="O6300" s="3"/>
    </row>
    <row r="6301" spans="1:15">
      <c r="A6301" s="3">
        <v>42825</v>
      </c>
      <c r="B6301" s="3">
        <v>42825</v>
      </c>
      <c r="C6301">
        <v>313.64999999999998</v>
      </c>
      <c r="D6301">
        <v>1.0651999999999999</v>
      </c>
      <c r="E6301">
        <v>52.83</v>
      </c>
      <c r="F6301">
        <v>265.25</v>
      </c>
      <c r="K6301" s="3"/>
      <c r="O6301" s="3"/>
    </row>
    <row r="6302" spans="1:15">
      <c r="A6302" s="3">
        <v>42826</v>
      </c>
      <c r="B6302" s="3">
        <v>42826</v>
      </c>
      <c r="C6302">
        <v>313.64999999999998</v>
      </c>
      <c r="D6302">
        <v>1.0651999999999999</v>
      </c>
      <c r="E6302">
        <v>52.83</v>
      </c>
      <c r="F6302">
        <v>265.25</v>
      </c>
      <c r="K6302" s="3"/>
      <c r="O6302" s="3"/>
    </row>
    <row r="6303" spans="1:15">
      <c r="A6303" s="3">
        <v>42827</v>
      </c>
      <c r="B6303" s="3">
        <v>42827</v>
      </c>
      <c r="C6303">
        <v>313.64999999999998</v>
      </c>
      <c r="D6303">
        <v>1.0651999999999999</v>
      </c>
      <c r="E6303">
        <v>52.83</v>
      </c>
      <c r="F6303">
        <v>265.25</v>
      </c>
      <c r="K6303" s="3"/>
      <c r="O6303" s="3"/>
    </row>
    <row r="6304" spans="1:15">
      <c r="A6304" s="3">
        <v>42828</v>
      </c>
      <c r="B6304" s="3">
        <v>42828</v>
      </c>
      <c r="C6304">
        <v>313.47000000000003</v>
      </c>
      <c r="D6304">
        <v>1.0669999999999999</v>
      </c>
      <c r="E6304">
        <v>53.12</v>
      </c>
      <c r="F6304">
        <v>260.35000000000002</v>
      </c>
      <c r="K6304" s="3"/>
      <c r="O6304" s="3"/>
    </row>
    <row r="6305" spans="1:15">
      <c r="A6305" s="3">
        <v>42829</v>
      </c>
      <c r="B6305" s="3">
        <v>42829</v>
      </c>
      <c r="C6305">
        <v>312.82</v>
      </c>
      <c r="D6305">
        <v>1.0673999999999999</v>
      </c>
      <c r="E6305">
        <v>54.17</v>
      </c>
      <c r="F6305">
        <v>261.2</v>
      </c>
      <c r="K6305" s="3"/>
      <c r="O6305" s="3"/>
    </row>
    <row r="6306" spans="1:15">
      <c r="A6306" s="3">
        <v>42830</v>
      </c>
      <c r="B6306" s="3">
        <v>42830</v>
      </c>
      <c r="C6306">
        <v>312.39</v>
      </c>
      <c r="D6306">
        <v>1.0663</v>
      </c>
      <c r="E6306">
        <v>54.36</v>
      </c>
      <c r="F6306">
        <v>268</v>
      </c>
      <c r="K6306" s="3"/>
      <c r="O6306" s="3"/>
    </row>
    <row r="6307" spans="1:15">
      <c r="A6307" s="3">
        <v>42831</v>
      </c>
      <c r="B6307" s="3">
        <v>42831</v>
      </c>
      <c r="C6307">
        <v>312.69</v>
      </c>
      <c r="D6307">
        <v>1.0644</v>
      </c>
      <c r="E6307">
        <v>54.89</v>
      </c>
      <c r="F6307">
        <v>265.8</v>
      </c>
      <c r="K6307" s="3"/>
      <c r="O6307" s="3"/>
    </row>
    <row r="6308" spans="1:15">
      <c r="A6308" s="3">
        <v>42832</v>
      </c>
      <c r="B6308" s="3">
        <v>42832</v>
      </c>
      <c r="C6308">
        <v>313.14</v>
      </c>
      <c r="D6308">
        <v>1.0590999999999999</v>
      </c>
      <c r="E6308">
        <v>55.24</v>
      </c>
      <c r="F6308">
        <v>264.7</v>
      </c>
      <c r="K6308" s="3"/>
      <c r="O6308" s="3"/>
    </row>
    <row r="6309" spans="1:15">
      <c r="A6309" s="3">
        <v>42833</v>
      </c>
      <c r="B6309" s="3">
        <v>42833</v>
      </c>
      <c r="C6309">
        <v>313.14</v>
      </c>
      <c r="D6309">
        <v>1.0590999999999999</v>
      </c>
      <c r="E6309">
        <v>55.24</v>
      </c>
      <c r="F6309">
        <v>264.7</v>
      </c>
      <c r="K6309" s="3"/>
      <c r="O6309" s="3"/>
    </row>
    <row r="6310" spans="1:15">
      <c r="A6310" s="3">
        <v>42834</v>
      </c>
      <c r="B6310" s="3">
        <v>42834</v>
      </c>
      <c r="C6310">
        <v>313.14</v>
      </c>
      <c r="D6310">
        <v>1.0590999999999999</v>
      </c>
      <c r="E6310">
        <v>55.24</v>
      </c>
      <c r="F6310">
        <v>264.7</v>
      </c>
      <c r="K6310" s="3"/>
      <c r="O6310" s="3"/>
    </row>
    <row r="6311" spans="1:15">
      <c r="A6311" s="3">
        <v>42835</v>
      </c>
      <c r="B6311" s="3">
        <v>42835</v>
      </c>
      <c r="C6311">
        <v>313.95999999999998</v>
      </c>
      <c r="D6311">
        <v>1.0596000000000001</v>
      </c>
      <c r="E6311">
        <v>55.98</v>
      </c>
      <c r="F6311">
        <v>260.39999999999998</v>
      </c>
      <c r="K6311" s="3"/>
      <c r="O6311" s="3"/>
    </row>
    <row r="6312" spans="1:15">
      <c r="A6312" s="3">
        <v>42836</v>
      </c>
      <c r="B6312" s="3">
        <v>42836</v>
      </c>
      <c r="C6312">
        <v>311.26</v>
      </c>
      <c r="D6312">
        <v>1.0605</v>
      </c>
      <c r="E6312">
        <v>56.23</v>
      </c>
      <c r="F6312">
        <v>260.8</v>
      </c>
      <c r="K6312" s="3"/>
      <c r="O6312" s="3"/>
    </row>
    <row r="6313" spans="1:15">
      <c r="A6313" s="3">
        <v>42837</v>
      </c>
      <c r="B6313" s="3">
        <v>42837</v>
      </c>
      <c r="C6313">
        <v>311.91000000000003</v>
      </c>
      <c r="D6313">
        <v>1.0665</v>
      </c>
      <c r="E6313">
        <v>55.86</v>
      </c>
      <c r="F6313">
        <v>254.5</v>
      </c>
      <c r="K6313" s="3"/>
      <c r="O6313" s="3"/>
    </row>
    <row r="6314" spans="1:15">
      <c r="A6314" s="3">
        <v>42838</v>
      </c>
      <c r="B6314" s="3">
        <v>42838</v>
      </c>
      <c r="C6314">
        <v>311.54000000000002</v>
      </c>
      <c r="D6314">
        <v>1.0612999999999999</v>
      </c>
      <c r="E6314">
        <v>55.89</v>
      </c>
      <c r="F6314">
        <v>257.05</v>
      </c>
      <c r="K6314" s="3"/>
      <c r="O6314" s="3"/>
    </row>
    <row r="6315" spans="1:15">
      <c r="A6315" s="3">
        <v>42839</v>
      </c>
      <c r="B6315" s="3">
        <v>42839</v>
      </c>
      <c r="C6315">
        <v>311.08</v>
      </c>
      <c r="D6315">
        <v>1.0618000000000001</v>
      </c>
      <c r="E6315">
        <v>55.89</v>
      </c>
      <c r="F6315">
        <v>257.05</v>
      </c>
      <c r="K6315" s="3"/>
      <c r="O6315" s="3"/>
    </row>
    <row r="6316" spans="1:15">
      <c r="A6316" s="3">
        <v>42840</v>
      </c>
      <c r="B6316" s="3">
        <v>42840</v>
      </c>
      <c r="C6316">
        <v>311.08</v>
      </c>
      <c r="D6316">
        <v>1.0618000000000001</v>
      </c>
      <c r="E6316">
        <v>55.89</v>
      </c>
      <c r="F6316">
        <v>257.05</v>
      </c>
      <c r="K6316" s="3"/>
      <c r="O6316" s="3"/>
    </row>
    <row r="6317" spans="1:15">
      <c r="A6317" s="3">
        <v>42841</v>
      </c>
      <c r="B6317" s="3">
        <v>42841</v>
      </c>
      <c r="C6317">
        <v>311.08</v>
      </c>
      <c r="D6317">
        <v>1.0618000000000001</v>
      </c>
      <c r="E6317">
        <v>55.89</v>
      </c>
      <c r="F6317">
        <v>257.05</v>
      </c>
      <c r="K6317" s="3"/>
      <c r="O6317" s="3"/>
    </row>
    <row r="6318" spans="1:15">
      <c r="A6318" s="3">
        <v>42842</v>
      </c>
      <c r="B6318" s="3">
        <v>42842</v>
      </c>
      <c r="C6318">
        <v>310.94</v>
      </c>
      <c r="D6318">
        <v>1.0643</v>
      </c>
      <c r="E6318">
        <v>55.36</v>
      </c>
      <c r="F6318">
        <v>259.60000000000002</v>
      </c>
      <c r="K6318" s="3"/>
      <c r="O6318" s="3"/>
    </row>
    <row r="6319" spans="1:15">
      <c r="A6319" s="3">
        <v>42843</v>
      </c>
      <c r="B6319" s="3">
        <v>42843</v>
      </c>
      <c r="C6319">
        <v>311.29000000000002</v>
      </c>
      <c r="D6319">
        <v>1.073</v>
      </c>
      <c r="E6319">
        <v>54.89</v>
      </c>
      <c r="F6319">
        <v>252.9</v>
      </c>
      <c r="K6319" s="3"/>
      <c r="O6319" s="3"/>
    </row>
    <row r="6320" spans="1:15">
      <c r="A6320" s="3">
        <v>42844</v>
      </c>
      <c r="B6320" s="3">
        <v>42844</v>
      </c>
      <c r="C6320">
        <v>311.42</v>
      </c>
      <c r="D6320">
        <v>1.0710999999999999</v>
      </c>
      <c r="E6320">
        <v>52.93</v>
      </c>
      <c r="F6320">
        <v>253.45</v>
      </c>
      <c r="K6320" s="3"/>
      <c r="O6320" s="3"/>
    </row>
    <row r="6321" spans="1:15">
      <c r="A6321" s="3">
        <v>42845</v>
      </c>
      <c r="B6321" s="3">
        <v>42845</v>
      </c>
      <c r="C6321">
        <v>312.64999999999998</v>
      </c>
      <c r="D6321">
        <v>1.0717000000000001</v>
      </c>
      <c r="E6321">
        <v>52.99</v>
      </c>
      <c r="F6321">
        <v>254.2</v>
      </c>
      <c r="K6321" s="3"/>
      <c r="O6321" s="3"/>
    </row>
    <row r="6322" spans="1:15">
      <c r="A6322" s="3">
        <v>42846</v>
      </c>
      <c r="B6322" s="3">
        <v>42846</v>
      </c>
      <c r="C6322">
        <v>313.44</v>
      </c>
      <c r="D6322">
        <v>1.0728</v>
      </c>
      <c r="E6322">
        <v>51.96</v>
      </c>
      <c r="F6322">
        <v>253.75</v>
      </c>
      <c r="K6322" s="3"/>
      <c r="O6322" s="3"/>
    </row>
    <row r="6323" spans="1:15">
      <c r="A6323" s="3">
        <v>42847</v>
      </c>
      <c r="B6323" s="3">
        <v>42847</v>
      </c>
      <c r="C6323">
        <v>313.44</v>
      </c>
      <c r="D6323">
        <v>1.0728</v>
      </c>
      <c r="E6323">
        <v>51.96</v>
      </c>
      <c r="F6323">
        <v>253.75</v>
      </c>
      <c r="K6323" s="3"/>
      <c r="O6323" s="3"/>
    </row>
    <row r="6324" spans="1:15">
      <c r="A6324" s="3">
        <v>42848</v>
      </c>
      <c r="B6324" s="3">
        <v>42848</v>
      </c>
      <c r="C6324">
        <v>313.44</v>
      </c>
      <c r="D6324">
        <v>1.0728</v>
      </c>
      <c r="E6324">
        <v>51.96</v>
      </c>
      <c r="F6324">
        <v>253.75</v>
      </c>
      <c r="K6324" s="3"/>
      <c r="O6324" s="3"/>
    </row>
    <row r="6325" spans="1:15">
      <c r="A6325" s="3">
        <v>42849</v>
      </c>
      <c r="B6325" s="3">
        <v>42849</v>
      </c>
      <c r="C6325">
        <v>311.49</v>
      </c>
      <c r="D6325">
        <v>1.0868</v>
      </c>
      <c r="E6325">
        <v>51.6</v>
      </c>
      <c r="F6325">
        <v>255.25</v>
      </c>
      <c r="K6325" s="3"/>
      <c r="O6325" s="3"/>
    </row>
    <row r="6326" spans="1:15">
      <c r="A6326" s="3">
        <v>42850</v>
      </c>
      <c r="B6326" s="3">
        <v>42850</v>
      </c>
      <c r="C6326">
        <v>311.70999999999998</v>
      </c>
      <c r="D6326">
        <v>1.0926</v>
      </c>
      <c r="E6326">
        <v>52.1</v>
      </c>
      <c r="F6326">
        <v>257.85000000000002</v>
      </c>
      <c r="K6326" s="3"/>
      <c r="O6326" s="3"/>
    </row>
    <row r="6327" spans="1:15">
      <c r="A6327" s="3">
        <v>42851</v>
      </c>
      <c r="B6327" s="3">
        <v>42851</v>
      </c>
      <c r="C6327">
        <v>312.66000000000003</v>
      </c>
      <c r="D6327">
        <v>1.0904</v>
      </c>
      <c r="E6327">
        <v>51.82</v>
      </c>
      <c r="F6327">
        <v>258.85000000000002</v>
      </c>
      <c r="K6327" s="3"/>
      <c r="O6327" s="3"/>
    </row>
    <row r="6328" spans="1:15">
      <c r="A6328" s="3">
        <v>42852</v>
      </c>
      <c r="B6328" s="3">
        <v>42852</v>
      </c>
      <c r="C6328">
        <v>313.82</v>
      </c>
      <c r="D6328">
        <v>1.0872999999999999</v>
      </c>
      <c r="E6328">
        <v>51.44</v>
      </c>
      <c r="F6328">
        <v>258</v>
      </c>
      <c r="K6328" s="3"/>
      <c r="O6328" s="3"/>
    </row>
    <row r="6329" spans="1:15">
      <c r="A6329" s="3">
        <v>42853</v>
      </c>
      <c r="B6329" s="3">
        <v>42853</v>
      </c>
      <c r="C6329">
        <v>314.52</v>
      </c>
      <c r="D6329">
        <v>1.0894999999999999</v>
      </c>
      <c r="E6329">
        <v>51.73</v>
      </c>
      <c r="F6329">
        <v>259.64999999999998</v>
      </c>
      <c r="K6329" s="3"/>
      <c r="O6329" s="3"/>
    </row>
    <row r="6330" spans="1:15">
      <c r="A6330" s="3">
        <v>42854</v>
      </c>
      <c r="B6330" s="3">
        <v>42854</v>
      </c>
      <c r="C6330">
        <v>314.52</v>
      </c>
      <c r="D6330">
        <v>1.0894999999999999</v>
      </c>
      <c r="E6330">
        <v>51.73</v>
      </c>
      <c r="F6330">
        <v>259.64999999999998</v>
      </c>
      <c r="K6330" s="3"/>
      <c r="O6330" s="3"/>
    </row>
    <row r="6331" spans="1:15">
      <c r="A6331" s="3">
        <v>42855</v>
      </c>
      <c r="B6331" s="3">
        <v>42855</v>
      </c>
      <c r="C6331">
        <v>314.52</v>
      </c>
      <c r="D6331">
        <v>1.0894999999999999</v>
      </c>
      <c r="E6331">
        <v>51.73</v>
      </c>
      <c r="F6331">
        <v>259.64999999999998</v>
      </c>
      <c r="K6331" s="3"/>
      <c r="O6331" s="3"/>
    </row>
    <row r="6332" spans="1:15">
      <c r="A6332" s="3">
        <v>42856</v>
      </c>
      <c r="B6332" s="3">
        <v>42856</v>
      </c>
      <c r="C6332">
        <v>314.52</v>
      </c>
      <c r="D6332">
        <v>1.0899000000000001</v>
      </c>
      <c r="E6332">
        <v>51.52</v>
      </c>
      <c r="F6332">
        <v>265</v>
      </c>
      <c r="K6332" s="3"/>
      <c r="O6332" s="3"/>
    </row>
    <row r="6333" spans="1:15">
      <c r="A6333" s="3">
        <v>42857</v>
      </c>
      <c r="B6333" s="3">
        <v>42857</v>
      </c>
      <c r="C6333">
        <v>315.20999999999998</v>
      </c>
      <c r="D6333">
        <v>1.093</v>
      </c>
      <c r="E6333">
        <v>50.46</v>
      </c>
      <c r="F6333">
        <v>262.5</v>
      </c>
      <c r="K6333" s="3"/>
      <c r="O6333" s="3"/>
    </row>
    <row r="6334" spans="1:15">
      <c r="A6334" s="3">
        <v>42858</v>
      </c>
      <c r="B6334" s="3">
        <v>42858</v>
      </c>
      <c r="C6334">
        <v>315.47000000000003</v>
      </c>
      <c r="D6334">
        <v>1.0886</v>
      </c>
      <c r="E6334">
        <v>50.79</v>
      </c>
      <c r="F6334">
        <v>253.3</v>
      </c>
      <c r="K6334" s="3"/>
      <c r="O6334" s="3"/>
    </row>
    <row r="6335" spans="1:15">
      <c r="A6335" s="3">
        <v>42859</v>
      </c>
      <c r="B6335" s="3">
        <v>42859</v>
      </c>
      <c r="C6335">
        <v>315.77999999999997</v>
      </c>
      <c r="D6335">
        <v>1.0985</v>
      </c>
      <c r="E6335">
        <v>48.38</v>
      </c>
      <c r="F6335">
        <v>250.2</v>
      </c>
      <c r="K6335" s="3"/>
      <c r="O6335" s="3"/>
    </row>
    <row r="6336" spans="1:15">
      <c r="A6336" s="3">
        <v>42860</v>
      </c>
      <c r="B6336" s="3">
        <v>42860</v>
      </c>
      <c r="C6336">
        <v>318.32</v>
      </c>
      <c r="D6336">
        <v>1.0998000000000001</v>
      </c>
      <c r="E6336">
        <v>49.1</v>
      </c>
      <c r="F6336">
        <v>251.95</v>
      </c>
      <c r="K6336" s="3"/>
      <c r="O6336" s="3"/>
    </row>
    <row r="6337" spans="1:15">
      <c r="A6337" s="3">
        <v>42861</v>
      </c>
      <c r="B6337" s="3">
        <v>42861</v>
      </c>
      <c r="C6337">
        <v>318.32</v>
      </c>
      <c r="D6337">
        <v>1.0998000000000001</v>
      </c>
      <c r="E6337">
        <v>49.1</v>
      </c>
      <c r="F6337">
        <v>251.95</v>
      </c>
      <c r="K6337" s="3"/>
      <c r="O6337" s="3"/>
    </row>
    <row r="6338" spans="1:15">
      <c r="A6338" s="3">
        <v>42862</v>
      </c>
      <c r="B6338" s="3">
        <v>42862</v>
      </c>
      <c r="C6338">
        <v>318.32</v>
      </c>
      <c r="D6338">
        <v>1.0998000000000001</v>
      </c>
      <c r="E6338">
        <v>49.1</v>
      </c>
      <c r="F6338">
        <v>251.95</v>
      </c>
      <c r="K6338" s="3"/>
      <c r="O6338" s="3"/>
    </row>
    <row r="6339" spans="1:15">
      <c r="A6339" s="3">
        <v>42863</v>
      </c>
      <c r="B6339" s="3">
        <v>42863</v>
      </c>
      <c r="C6339">
        <v>318.32</v>
      </c>
      <c r="D6339">
        <v>1.0924</v>
      </c>
      <c r="E6339">
        <v>49.34</v>
      </c>
      <c r="F6339">
        <v>248.55</v>
      </c>
      <c r="K6339" s="3"/>
      <c r="O6339" s="3"/>
    </row>
    <row r="6340" spans="1:15">
      <c r="A6340" s="3">
        <v>42864</v>
      </c>
      <c r="B6340" s="3">
        <v>42864</v>
      </c>
      <c r="C6340">
        <v>318.32</v>
      </c>
      <c r="D6340">
        <v>1.0873999999999999</v>
      </c>
      <c r="E6340">
        <v>48.73</v>
      </c>
      <c r="F6340">
        <v>249</v>
      </c>
      <c r="K6340" s="3"/>
      <c r="O6340" s="3"/>
    </row>
    <row r="6341" spans="1:15">
      <c r="A6341" s="3">
        <v>42865</v>
      </c>
      <c r="B6341" s="3">
        <v>42865</v>
      </c>
      <c r="C6341">
        <v>318.63</v>
      </c>
      <c r="D6341">
        <v>1.0868</v>
      </c>
      <c r="E6341">
        <v>50.22</v>
      </c>
      <c r="F6341">
        <v>248.7</v>
      </c>
      <c r="K6341" s="3"/>
      <c r="O6341" s="3"/>
    </row>
    <row r="6342" spans="1:15">
      <c r="A6342" s="3">
        <v>42866</v>
      </c>
      <c r="B6342" s="3">
        <v>42866</v>
      </c>
      <c r="C6342">
        <v>315.81</v>
      </c>
      <c r="D6342">
        <v>1.0861000000000001</v>
      </c>
      <c r="E6342">
        <v>50.77</v>
      </c>
      <c r="F6342">
        <v>250.1</v>
      </c>
      <c r="K6342" s="3"/>
      <c r="O6342" s="3"/>
    </row>
    <row r="6343" spans="1:15">
      <c r="A6343" s="3">
        <v>42867</v>
      </c>
      <c r="B6343" s="3">
        <v>42867</v>
      </c>
      <c r="C6343">
        <v>315.74</v>
      </c>
      <c r="D6343">
        <v>1.0931</v>
      </c>
      <c r="E6343">
        <v>50.84</v>
      </c>
      <c r="F6343">
        <v>251.8</v>
      </c>
      <c r="K6343" s="3"/>
      <c r="O6343" s="3"/>
    </row>
    <row r="6344" spans="1:15">
      <c r="A6344" s="3">
        <v>42868</v>
      </c>
      <c r="B6344" s="3">
        <v>42868</v>
      </c>
      <c r="C6344">
        <v>315.74</v>
      </c>
      <c r="D6344">
        <v>1.0931</v>
      </c>
      <c r="E6344">
        <v>50.84</v>
      </c>
      <c r="F6344">
        <v>251.8</v>
      </c>
      <c r="K6344" s="3"/>
      <c r="O6344" s="3"/>
    </row>
    <row r="6345" spans="1:15">
      <c r="A6345" s="3">
        <v>42869</v>
      </c>
      <c r="B6345" s="3">
        <v>42869</v>
      </c>
      <c r="C6345">
        <v>315.74</v>
      </c>
      <c r="D6345">
        <v>1.0931</v>
      </c>
      <c r="E6345">
        <v>50.84</v>
      </c>
      <c r="F6345">
        <v>251.8</v>
      </c>
      <c r="K6345" s="3"/>
      <c r="O6345" s="3"/>
    </row>
    <row r="6346" spans="1:15">
      <c r="A6346" s="3">
        <v>42870</v>
      </c>
      <c r="B6346" s="3">
        <v>42870</v>
      </c>
      <c r="C6346">
        <v>312.79000000000002</v>
      </c>
      <c r="D6346">
        <v>1.0974999999999999</v>
      </c>
      <c r="E6346">
        <v>51.82</v>
      </c>
      <c r="F6346">
        <v>253.3</v>
      </c>
      <c r="K6346" s="3"/>
      <c r="O6346" s="3"/>
    </row>
    <row r="6347" spans="1:15">
      <c r="A6347" s="3">
        <v>42871</v>
      </c>
      <c r="B6347" s="3">
        <v>42871</v>
      </c>
      <c r="C6347">
        <v>312.06</v>
      </c>
      <c r="D6347">
        <v>1.1083000000000001</v>
      </c>
      <c r="E6347">
        <v>51.65</v>
      </c>
      <c r="F6347">
        <v>254.45</v>
      </c>
      <c r="K6347" s="3"/>
      <c r="O6347" s="3"/>
    </row>
    <row r="6348" spans="1:15">
      <c r="A6348" s="3">
        <v>42872</v>
      </c>
      <c r="B6348" s="3">
        <v>42872</v>
      </c>
      <c r="C6348">
        <v>313.18</v>
      </c>
      <c r="D6348">
        <v>1.1158999999999999</v>
      </c>
      <c r="E6348">
        <v>52.21</v>
      </c>
      <c r="F6348">
        <v>254.25</v>
      </c>
      <c r="K6348" s="3"/>
      <c r="O6348" s="3"/>
    </row>
    <row r="6349" spans="1:15">
      <c r="A6349" s="3">
        <v>42873</v>
      </c>
      <c r="B6349" s="3">
        <v>42873</v>
      </c>
      <c r="C6349">
        <v>313.98</v>
      </c>
      <c r="D6349">
        <v>1.1103000000000001</v>
      </c>
      <c r="E6349">
        <v>52.51</v>
      </c>
      <c r="F6349">
        <v>252.65</v>
      </c>
      <c r="K6349" s="3"/>
      <c r="O6349" s="3"/>
    </row>
    <row r="6350" spans="1:15">
      <c r="A6350" s="3">
        <v>42874</v>
      </c>
      <c r="B6350" s="3">
        <v>42874</v>
      </c>
      <c r="C6350">
        <v>312.26</v>
      </c>
      <c r="D6350">
        <v>1.1206</v>
      </c>
      <c r="E6350">
        <v>53.61</v>
      </c>
      <c r="F6350">
        <v>257.39999999999998</v>
      </c>
      <c r="K6350" s="3"/>
      <c r="O6350" s="3"/>
    </row>
    <row r="6351" spans="1:15">
      <c r="A6351" s="3">
        <v>42875</v>
      </c>
      <c r="B6351" s="3">
        <v>42875</v>
      </c>
      <c r="C6351">
        <v>312.26</v>
      </c>
      <c r="D6351">
        <v>1.1206</v>
      </c>
      <c r="E6351">
        <v>53.61</v>
      </c>
      <c r="F6351">
        <v>257.39999999999998</v>
      </c>
      <c r="K6351" s="3"/>
      <c r="O6351" s="3"/>
    </row>
    <row r="6352" spans="1:15">
      <c r="A6352" s="3">
        <v>42876</v>
      </c>
      <c r="B6352" s="3">
        <v>42876</v>
      </c>
      <c r="C6352">
        <v>312.26</v>
      </c>
      <c r="D6352">
        <v>1.1206</v>
      </c>
      <c r="E6352">
        <v>53.61</v>
      </c>
      <c r="F6352">
        <v>257.39999999999998</v>
      </c>
      <c r="K6352" s="3"/>
      <c r="O6352" s="3"/>
    </row>
    <row r="6353" spans="1:15">
      <c r="A6353" s="3">
        <v>42877</v>
      </c>
      <c r="B6353" s="3">
        <v>42877</v>
      </c>
      <c r="C6353">
        <v>310.85000000000002</v>
      </c>
      <c r="D6353">
        <v>1.1236999999999999</v>
      </c>
      <c r="E6353">
        <v>53.87</v>
      </c>
      <c r="F6353">
        <v>258.89999999999998</v>
      </c>
      <c r="K6353" s="3"/>
      <c r="O6353" s="3"/>
    </row>
    <row r="6354" spans="1:15">
      <c r="A6354" s="3">
        <v>42878</v>
      </c>
      <c r="B6354" s="3">
        <v>42878</v>
      </c>
      <c r="C6354">
        <v>311.82</v>
      </c>
      <c r="D6354">
        <v>1.1183000000000001</v>
      </c>
      <c r="E6354">
        <v>54.15</v>
      </c>
      <c r="F6354">
        <v>259.05</v>
      </c>
      <c r="K6354" s="3"/>
      <c r="O6354" s="3"/>
    </row>
    <row r="6355" spans="1:15">
      <c r="A6355" s="3">
        <v>42879</v>
      </c>
      <c r="B6355" s="3">
        <v>42879</v>
      </c>
      <c r="C6355">
        <v>310.93</v>
      </c>
      <c r="D6355">
        <v>1.1218999999999999</v>
      </c>
      <c r="E6355">
        <v>53.96</v>
      </c>
      <c r="F6355">
        <v>257.8</v>
      </c>
      <c r="K6355" s="3"/>
      <c r="O6355" s="3"/>
    </row>
    <row r="6356" spans="1:15">
      <c r="A6356" s="3">
        <v>42880</v>
      </c>
      <c r="B6356" s="3">
        <v>42880</v>
      </c>
      <c r="C6356">
        <v>310.62</v>
      </c>
      <c r="D6356">
        <v>1.121</v>
      </c>
      <c r="E6356">
        <v>51.46</v>
      </c>
      <c r="F6356">
        <v>259.2</v>
      </c>
      <c r="K6356" s="3"/>
      <c r="O6356" s="3"/>
    </row>
    <row r="6357" spans="1:15">
      <c r="A6357" s="3">
        <v>42881</v>
      </c>
      <c r="B6357" s="3">
        <v>42881</v>
      </c>
      <c r="C6357">
        <v>310.76</v>
      </c>
      <c r="D6357">
        <v>1.1183000000000001</v>
      </c>
      <c r="E6357">
        <v>52.15</v>
      </c>
      <c r="F6357">
        <v>255.95</v>
      </c>
      <c r="K6357" s="3"/>
      <c r="O6357" s="3"/>
    </row>
    <row r="6358" spans="1:15">
      <c r="A6358" s="3">
        <v>42882</v>
      </c>
      <c r="B6358" s="3">
        <v>42882</v>
      </c>
      <c r="C6358">
        <v>310.76</v>
      </c>
      <c r="D6358">
        <v>1.1183000000000001</v>
      </c>
      <c r="E6358">
        <v>52.15</v>
      </c>
      <c r="F6358">
        <v>255.95</v>
      </c>
      <c r="K6358" s="3"/>
      <c r="O6358" s="3"/>
    </row>
    <row r="6359" spans="1:15">
      <c r="A6359" s="3">
        <v>42883</v>
      </c>
      <c r="B6359" s="3">
        <v>42883</v>
      </c>
      <c r="C6359">
        <v>310.76</v>
      </c>
      <c r="D6359">
        <v>1.1183000000000001</v>
      </c>
      <c r="E6359">
        <v>52.15</v>
      </c>
      <c r="F6359">
        <v>255.95</v>
      </c>
      <c r="K6359" s="3"/>
      <c r="O6359" s="3"/>
    </row>
    <row r="6360" spans="1:15">
      <c r="A6360" s="3">
        <v>42884</v>
      </c>
      <c r="B6360" s="3">
        <v>42884</v>
      </c>
      <c r="C6360">
        <v>310.72000000000003</v>
      </c>
      <c r="D6360">
        <v>1.1164000000000001</v>
      </c>
      <c r="E6360">
        <v>52.29</v>
      </c>
      <c r="F6360">
        <v>255.95</v>
      </c>
      <c r="K6360" s="3"/>
      <c r="O6360" s="3"/>
    </row>
    <row r="6361" spans="1:15">
      <c r="A6361" s="3">
        <v>42885</v>
      </c>
      <c r="B6361" s="3">
        <v>42885</v>
      </c>
      <c r="C6361">
        <v>311.47000000000003</v>
      </c>
      <c r="D6361">
        <v>1.1186</v>
      </c>
      <c r="E6361">
        <v>51.84</v>
      </c>
      <c r="F6361">
        <v>256.39999999999998</v>
      </c>
      <c r="K6361" s="3"/>
      <c r="O6361" s="3"/>
    </row>
    <row r="6362" spans="1:15">
      <c r="A6362" s="3">
        <v>42886</v>
      </c>
      <c r="B6362" s="3">
        <v>42886</v>
      </c>
      <c r="C6362">
        <v>312.39</v>
      </c>
      <c r="D6362">
        <v>1.1244000000000001</v>
      </c>
      <c r="E6362">
        <v>50.31</v>
      </c>
      <c r="F6362">
        <v>258</v>
      </c>
      <c r="K6362" s="3"/>
      <c r="O6362" s="3"/>
    </row>
    <row r="6363" spans="1:15">
      <c r="A6363" s="3">
        <v>42887</v>
      </c>
      <c r="B6363" s="3">
        <v>42887</v>
      </c>
      <c r="C6363">
        <v>312.55</v>
      </c>
      <c r="D6363">
        <v>1.1213</v>
      </c>
      <c r="E6363">
        <v>50.63</v>
      </c>
      <c r="F6363">
        <v>258.75</v>
      </c>
      <c r="K6363" s="3"/>
      <c r="O6363" s="3"/>
    </row>
    <row r="6364" spans="1:15">
      <c r="A6364" s="3">
        <v>42888</v>
      </c>
      <c r="B6364" s="3">
        <v>42888</v>
      </c>
      <c r="C6364">
        <v>314.08</v>
      </c>
      <c r="D6364">
        <v>1.1278999999999999</v>
      </c>
      <c r="E6364">
        <v>49.95</v>
      </c>
      <c r="F6364">
        <v>257.45</v>
      </c>
      <c r="K6364" s="3"/>
      <c r="O6364" s="3"/>
    </row>
    <row r="6365" spans="1:15">
      <c r="A6365" s="3">
        <v>42889</v>
      </c>
      <c r="B6365" s="3">
        <v>42889</v>
      </c>
      <c r="C6365">
        <v>314.08</v>
      </c>
      <c r="D6365">
        <v>1.1278999999999999</v>
      </c>
      <c r="E6365">
        <v>49.95</v>
      </c>
      <c r="F6365">
        <v>257.45</v>
      </c>
      <c r="K6365" s="3"/>
      <c r="O6365" s="3"/>
    </row>
    <row r="6366" spans="1:15">
      <c r="A6366" s="3">
        <v>42890</v>
      </c>
      <c r="B6366" s="3">
        <v>42890</v>
      </c>
      <c r="C6366">
        <v>314.08</v>
      </c>
      <c r="D6366">
        <v>1.1278999999999999</v>
      </c>
      <c r="E6366">
        <v>49.95</v>
      </c>
      <c r="F6366">
        <v>257.45</v>
      </c>
      <c r="K6366" s="3"/>
      <c r="O6366" s="3"/>
    </row>
    <row r="6367" spans="1:15">
      <c r="A6367" s="3">
        <v>42891</v>
      </c>
      <c r="B6367" s="3">
        <v>42891</v>
      </c>
      <c r="C6367">
        <v>313</v>
      </c>
      <c r="D6367">
        <v>1.1254</v>
      </c>
      <c r="E6367">
        <v>49.47</v>
      </c>
      <c r="F6367">
        <v>255.75</v>
      </c>
      <c r="K6367" s="3"/>
      <c r="O6367" s="3"/>
    </row>
    <row r="6368" spans="1:15">
      <c r="A6368" s="3">
        <v>42892</v>
      </c>
      <c r="B6368" s="3">
        <v>42892</v>
      </c>
      <c r="C6368">
        <v>312.58</v>
      </c>
      <c r="D6368">
        <v>1.1276999999999999</v>
      </c>
      <c r="E6368">
        <v>50.12</v>
      </c>
      <c r="F6368">
        <v>254.7</v>
      </c>
      <c r="K6368" s="3"/>
      <c r="O6368" s="3"/>
    </row>
    <row r="6369" spans="1:15">
      <c r="A6369" s="3">
        <v>42893</v>
      </c>
      <c r="B6369" s="3">
        <v>42893</v>
      </c>
      <c r="C6369">
        <v>313.02</v>
      </c>
      <c r="D6369">
        <v>1.1256999999999999</v>
      </c>
      <c r="E6369">
        <v>48.06</v>
      </c>
      <c r="F6369">
        <v>255.15</v>
      </c>
      <c r="K6369" s="3"/>
      <c r="O6369" s="3"/>
    </row>
    <row r="6370" spans="1:15">
      <c r="A6370" s="3">
        <v>42894</v>
      </c>
      <c r="B6370" s="3">
        <v>42894</v>
      </c>
      <c r="C6370">
        <v>314.08999999999997</v>
      </c>
      <c r="D6370">
        <v>1.1214</v>
      </c>
      <c r="E6370">
        <v>47.86</v>
      </c>
      <c r="F6370">
        <v>260.95</v>
      </c>
      <c r="K6370" s="3"/>
      <c r="O6370" s="3"/>
    </row>
    <row r="6371" spans="1:15">
      <c r="A6371" s="3">
        <v>42895</v>
      </c>
      <c r="B6371" s="3">
        <v>42895</v>
      </c>
      <c r="C6371">
        <v>315.64999999999998</v>
      </c>
      <c r="D6371">
        <v>1.1194999999999999</v>
      </c>
      <c r="E6371">
        <v>48.15</v>
      </c>
      <c r="F6371">
        <v>264.95</v>
      </c>
      <c r="K6371" s="3"/>
      <c r="O6371" s="3"/>
    </row>
    <row r="6372" spans="1:15">
      <c r="A6372" s="3">
        <v>42896</v>
      </c>
      <c r="B6372" s="3">
        <v>42896</v>
      </c>
      <c r="C6372">
        <v>315.64999999999998</v>
      </c>
      <c r="D6372">
        <v>1.1194999999999999</v>
      </c>
      <c r="E6372">
        <v>48.15</v>
      </c>
      <c r="F6372">
        <v>264.95</v>
      </c>
      <c r="K6372" s="3"/>
      <c r="O6372" s="3"/>
    </row>
    <row r="6373" spans="1:15">
      <c r="A6373" s="3">
        <v>42897</v>
      </c>
      <c r="B6373" s="3">
        <v>42897</v>
      </c>
      <c r="C6373">
        <v>315.64999999999998</v>
      </c>
      <c r="D6373">
        <v>1.1194999999999999</v>
      </c>
      <c r="E6373">
        <v>48.15</v>
      </c>
      <c r="F6373">
        <v>264.95</v>
      </c>
      <c r="K6373" s="3"/>
      <c r="O6373" s="3"/>
    </row>
    <row r="6374" spans="1:15">
      <c r="A6374" s="3">
        <v>42898</v>
      </c>
      <c r="B6374" s="3">
        <v>42898</v>
      </c>
      <c r="C6374">
        <v>316.54000000000002</v>
      </c>
      <c r="D6374">
        <v>1.1203000000000001</v>
      </c>
      <c r="E6374">
        <v>48.29</v>
      </c>
      <c r="F6374">
        <v>261.55</v>
      </c>
      <c r="K6374" s="3"/>
      <c r="O6374" s="3"/>
    </row>
    <row r="6375" spans="1:15">
      <c r="A6375" s="3">
        <v>42899</v>
      </c>
      <c r="B6375" s="3">
        <v>42899</v>
      </c>
      <c r="C6375">
        <v>316.07</v>
      </c>
      <c r="D6375">
        <v>1.1211</v>
      </c>
      <c r="E6375">
        <v>48.72</v>
      </c>
      <c r="F6375">
        <v>259.64999999999998</v>
      </c>
      <c r="K6375" s="3"/>
      <c r="O6375" s="3"/>
    </row>
    <row r="6376" spans="1:15">
      <c r="A6376" s="3">
        <v>42900</v>
      </c>
      <c r="B6376" s="3">
        <v>42900</v>
      </c>
      <c r="C6376">
        <v>316.38</v>
      </c>
      <c r="D6376">
        <v>1.1217999999999999</v>
      </c>
      <c r="E6376">
        <v>47</v>
      </c>
      <c r="F6376">
        <v>257.35000000000002</v>
      </c>
      <c r="K6376" s="3"/>
      <c r="O6376" s="3"/>
    </row>
    <row r="6377" spans="1:15">
      <c r="A6377" s="3">
        <v>42901</v>
      </c>
      <c r="B6377" s="3">
        <v>42901</v>
      </c>
      <c r="C6377">
        <v>315.99</v>
      </c>
      <c r="D6377">
        <v>1.1145</v>
      </c>
      <c r="E6377">
        <v>46.92</v>
      </c>
      <c r="F6377">
        <v>256.55</v>
      </c>
      <c r="K6377" s="3"/>
      <c r="O6377" s="3"/>
    </row>
    <row r="6378" spans="1:15">
      <c r="A6378" s="3">
        <v>42902</v>
      </c>
      <c r="B6378" s="3">
        <v>42902</v>
      </c>
      <c r="C6378">
        <v>320.14</v>
      </c>
      <c r="D6378">
        <v>1.1197999999999999</v>
      </c>
      <c r="E6378">
        <v>47.37</v>
      </c>
      <c r="F6378">
        <v>256.39999999999998</v>
      </c>
      <c r="K6378" s="3"/>
      <c r="O6378" s="3"/>
    </row>
    <row r="6379" spans="1:15">
      <c r="A6379" s="3">
        <v>42903</v>
      </c>
      <c r="B6379" s="3">
        <v>42903</v>
      </c>
      <c r="C6379">
        <v>320.14</v>
      </c>
      <c r="D6379">
        <v>1.1197999999999999</v>
      </c>
      <c r="E6379">
        <v>47.37</v>
      </c>
      <c r="F6379">
        <v>256.39999999999998</v>
      </c>
      <c r="K6379" s="3"/>
      <c r="O6379" s="3"/>
    </row>
    <row r="6380" spans="1:15">
      <c r="A6380" s="3">
        <v>42904</v>
      </c>
      <c r="B6380" s="3">
        <v>42904</v>
      </c>
      <c r="C6380">
        <v>320.14</v>
      </c>
      <c r="D6380">
        <v>1.1197999999999999</v>
      </c>
      <c r="E6380">
        <v>47.37</v>
      </c>
      <c r="F6380">
        <v>256.39999999999998</v>
      </c>
      <c r="K6380" s="3"/>
      <c r="O6380" s="3"/>
    </row>
    <row r="6381" spans="1:15">
      <c r="A6381" s="3">
        <v>42905</v>
      </c>
      <c r="B6381" s="3">
        <v>42905</v>
      </c>
      <c r="C6381">
        <v>319.89</v>
      </c>
      <c r="D6381">
        <v>1.1149</v>
      </c>
      <c r="E6381">
        <v>46.91</v>
      </c>
      <c r="F6381">
        <v>258.95</v>
      </c>
      <c r="K6381" s="3"/>
      <c r="O6381" s="3"/>
    </row>
    <row r="6382" spans="1:15">
      <c r="A6382" s="3">
        <v>42906</v>
      </c>
      <c r="B6382" s="3">
        <v>42906</v>
      </c>
      <c r="C6382">
        <v>320.01</v>
      </c>
      <c r="D6382">
        <v>1.1133999999999999</v>
      </c>
      <c r="E6382">
        <v>46.02</v>
      </c>
      <c r="F6382">
        <v>255.45</v>
      </c>
      <c r="K6382" s="3"/>
      <c r="O6382" s="3"/>
    </row>
    <row r="6383" spans="1:15">
      <c r="A6383" s="3">
        <v>42907</v>
      </c>
      <c r="B6383" s="3">
        <v>42907</v>
      </c>
      <c r="C6383">
        <v>326.5</v>
      </c>
      <c r="D6383">
        <v>1.1168</v>
      </c>
      <c r="E6383">
        <v>44.82</v>
      </c>
      <c r="F6383">
        <v>260.2</v>
      </c>
      <c r="K6383" s="3"/>
      <c r="O6383" s="3"/>
    </row>
    <row r="6384" spans="1:15">
      <c r="A6384" s="3">
        <v>42908</v>
      </c>
      <c r="B6384" s="3">
        <v>42908</v>
      </c>
      <c r="C6384">
        <v>327.7</v>
      </c>
      <c r="D6384">
        <v>1.1152</v>
      </c>
      <c r="E6384">
        <v>45.22</v>
      </c>
      <c r="F6384">
        <v>259.89999999999998</v>
      </c>
      <c r="K6384" s="3"/>
      <c r="O6384" s="3"/>
    </row>
    <row r="6385" spans="1:15">
      <c r="A6385" s="3">
        <v>42909</v>
      </c>
      <c r="B6385" s="3">
        <v>42909</v>
      </c>
      <c r="C6385">
        <v>326.13</v>
      </c>
      <c r="D6385">
        <v>1.1194</v>
      </c>
      <c r="E6385">
        <v>45.54</v>
      </c>
      <c r="F6385">
        <v>262.39999999999998</v>
      </c>
      <c r="K6385" s="3"/>
      <c r="O6385" s="3"/>
    </row>
    <row r="6386" spans="1:15">
      <c r="A6386" s="3">
        <v>42910</v>
      </c>
      <c r="B6386" s="3">
        <v>42910</v>
      </c>
      <c r="C6386">
        <v>326.13</v>
      </c>
      <c r="D6386">
        <v>1.1194</v>
      </c>
      <c r="E6386">
        <v>45.54</v>
      </c>
      <c r="F6386">
        <v>262.39999999999998</v>
      </c>
      <c r="K6386" s="3"/>
      <c r="O6386" s="3"/>
    </row>
    <row r="6387" spans="1:15">
      <c r="A6387" s="3">
        <v>42911</v>
      </c>
      <c r="B6387" s="3">
        <v>42911</v>
      </c>
      <c r="C6387">
        <v>326.13</v>
      </c>
      <c r="D6387">
        <v>1.1194</v>
      </c>
      <c r="E6387">
        <v>45.54</v>
      </c>
      <c r="F6387">
        <v>262.39999999999998</v>
      </c>
      <c r="K6387" s="3"/>
      <c r="O6387" s="3"/>
    </row>
    <row r="6388" spans="1:15">
      <c r="A6388" s="3">
        <v>42912</v>
      </c>
      <c r="B6388" s="3">
        <v>42912</v>
      </c>
      <c r="C6388">
        <v>325.01</v>
      </c>
      <c r="D6388">
        <v>1.1182000000000001</v>
      </c>
      <c r="E6388">
        <v>45.83</v>
      </c>
      <c r="F6388">
        <v>262.55</v>
      </c>
      <c r="K6388" s="3"/>
      <c r="O6388" s="3"/>
    </row>
    <row r="6389" spans="1:15">
      <c r="A6389" s="3">
        <v>42913</v>
      </c>
      <c r="B6389" s="3">
        <v>42913</v>
      </c>
      <c r="C6389">
        <v>322.75</v>
      </c>
      <c r="D6389">
        <v>1.1338999999999999</v>
      </c>
      <c r="E6389">
        <v>46.65</v>
      </c>
      <c r="F6389">
        <v>264.7</v>
      </c>
      <c r="K6389" s="3"/>
      <c r="O6389" s="3"/>
    </row>
    <row r="6390" spans="1:15">
      <c r="A6390" s="3">
        <v>42914</v>
      </c>
      <c r="B6390" s="3">
        <v>42914</v>
      </c>
      <c r="C6390">
        <v>323.89</v>
      </c>
      <c r="D6390">
        <v>1.1377999999999999</v>
      </c>
      <c r="E6390">
        <v>47.31</v>
      </c>
      <c r="F6390">
        <v>266.05</v>
      </c>
      <c r="K6390" s="3"/>
      <c r="O6390" s="3"/>
    </row>
    <row r="6391" spans="1:15">
      <c r="A6391" s="3">
        <v>42915</v>
      </c>
      <c r="B6391" s="3">
        <v>42915</v>
      </c>
      <c r="C6391">
        <v>321.89999999999998</v>
      </c>
      <c r="D6391">
        <v>1.1440999999999999</v>
      </c>
      <c r="E6391">
        <v>47.42</v>
      </c>
      <c r="F6391">
        <v>268.3</v>
      </c>
      <c r="K6391" s="3"/>
      <c r="O6391" s="3"/>
    </row>
    <row r="6392" spans="1:15">
      <c r="A6392" s="3">
        <v>42916</v>
      </c>
      <c r="B6392" s="3">
        <v>42916</v>
      </c>
      <c r="C6392">
        <v>322.18</v>
      </c>
      <c r="D6392">
        <v>1.1426000000000001</v>
      </c>
      <c r="E6392">
        <v>47.92</v>
      </c>
      <c r="F6392">
        <v>269.89999999999998</v>
      </c>
      <c r="K6392" s="3"/>
      <c r="O6392" s="3"/>
    </row>
    <row r="6393" spans="1:15">
      <c r="A6393" s="3">
        <v>42917</v>
      </c>
      <c r="B6393" s="3">
        <v>42917</v>
      </c>
      <c r="C6393">
        <v>322.18</v>
      </c>
      <c r="D6393">
        <v>1.1426000000000001</v>
      </c>
      <c r="E6393">
        <v>47.92</v>
      </c>
      <c r="F6393">
        <v>269.89999999999998</v>
      </c>
      <c r="K6393" s="3"/>
      <c r="O6393" s="3"/>
    </row>
    <row r="6394" spans="1:15">
      <c r="A6394" s="3">
        <v>42918</v>
      </c>
      <c r="B6394" s="3">
        <v>42918</v>
      </c>
      <c r="C6394">
        <v>322.18</v>
      </c>
      <c r="D6394">
        <v>1.1426000000000001</v>
      </c>
      <c r="E6394">
        <v>47.92</v>
      </c>
      <c r="F6394">
        <v>269.89999999999998</v>
      </c>
      <c r="K6394" s="3"/>
      <c r="O6394" s="3"/>
    </row>
    <row r="6395" spans="1:15">
      <c r="A6395" s="3">
        <v>42919</v>
      </c>
      <c r="B6395" s="3">
        <v>42919</v>
      </c>
      <c r="C6395">
        <v>321.66000000000003</v>
      </c>
      <c r="D6395">
        <v>1.1364000000000001</v>
      </c>
      <c r="E6395">
        <v>49.68</v>
      </c>
      <c r="F6395">
        <v>268.10000000000002</v>
      </c>
      <c r="K6395" s="3"/>
      <c r="O6395" s="3"/>
    </row>
    <row r="6396" spans="1:15">
      <c r="A6396" s="3">
        <v>42920</v>
      </c>
      <c r="B6396" s="3">
        <v>42920</v>
      </c>
      <c r="C6396">
        <v>322.72000000000003</v>
      </c>
      <c r="D6396">
        <v>1.1346000000000001</v>
      </c>
      <c r="E6396">
        <v>49.61</v>
      </c>
      <c r="F6396">
        <v>268.10000000000002</v>
      </c>
      <c r="K6396" s="3"/>
      <c r="O6396" s="3"/>
    </row>
    <row r="6397" spans="1:15">
      <c r="A6397" s="3">
        <v>42921</v>
      </c>
      <c r="B6397" s="3">
        <v>42921</v>
      </c>
      <c r="C6397">
        <v>324.48</v>
      </c>
      <c r="D6397">
        <v>1.1352</v>
      </c>
      <c r="E6397">
        <v>47.79</v>
      </c>
      <c r="F6397">
        <v>264.89999999999998</v>
      </c>
      <c r="K6397" s="3"/>
      <c r="O6397" s="3"/>
    </row>
    <row r="6398" spans="1:15">
      <c r="A6398" s="3">
        <v>42922</v>
      </c>
      <c r="B6398" s="3">
        <v>42922</v>
      </c>
      <c r="C6398">
        <v>324.48</v>
      </c>
      <c r="D6398">
        <v>1.1423000000000001</v>
      </c>
      <c r="E6398">
        <v>48.11</v>
      </c>
      <c r="F6398">
        <v>265.14999999999998</v>
      </c>
      <c r="K6398" s="3"/>
      <c r="O6398" s="3"/>
    </row>
    <row r="6399" spans="1:15">
      <c r="A6399" s="3">
        <v>42923</v>
      </c>
      <c r="B6399" s="3">
        <v>42923</v>
      </c>
      <c r="C6399">
        <v>324.48</v>
      </c>
      <c r="D6399">
        <v>1.1400999999999999</v>
      </c>
      <c r="E6399">
        <v>46.71</v>
      </c>
      <c r="F6399">
        <v>263.75</v>
      </c>
      <c r="K6399" s="3"/>
      <c r="O6399" s="3"/>
    </row>
    <row r="6400" spans="1:15">
      <c r="A6400" s="3">
        <v>42924</v>
      </c>
      <c r="B6400" s="3">
        <v>42924</v>
      </c>
      <c r="C6400">
        <v>324.48</v>
      </c>
      <c r="D6400">
        <v>1.1400999999999999</v>
      </c>
      <c r="E6400">
        <v>46.71</v>
      </c>
      <c r="F6400">
        <v>263.75</v>
      </c>
      <c r="K6400" s="3"/>
      <c r="O6400" s="3"/>
    </row>
    <row r="6401" spans="1:15">
      <c r="A6401" s="3">
        <v>42925</v>
      </c>
      <c r="B6401" s="3">
        <v>42925</v>
      </c>
      <c r="C6401">
        <v>324.48</v>
      </c>
      <c r="D6401">
        <v>1.1400999999999999</v>
      </c>
      <c r="E6401">
        <v>46.71</v>
      </c>
      <c r="F6401">
        <v>263.75</v>
      </c>
      <c r="K6401" s="3"/>
      <c r="O6401" s="3"/>
    </row>
    <row r="6402" spans="1:15">
      <c r="A6402" s="3">
        <v>42926</v>
      </c>
      <c r="B6402" s="3">
        <v>42926</v>
      </c>
      <c r="C6402">
        <v>326.68</v>
      </c>
      <c r="D6402">
        <v>1.1398999999999999</v>
      </c>
      <c r="E6402">
        <v>46.88</v>
      </c>
      <c r="F6402">
        <v>263.95</v>
      </c>
      <c r="K6402" s="3"/>
      <c r="O6402" s="3"/>
    </row>
    <row r="6403" spans="1:15">
      <c r="A6403" s="3">
        <v>42927</v>
      </c>
      <c r="B6403" s="3">
        <v>42927</v>
      </c>
      <c r="C6403">
        <v>328.07</v>
      </c>
      <c r="D6403">
        <v>1.1467000000000001</v>
      </c>
      <c r="E6403">
        <v>47.52</v>
      </c>
      <c r="F6403">
        <v>266.45</v>
      </c>
      <c r="K6403" s="3"/>
      <c r="O6403" s="3"/>
    </row>
    <row r="6404" spans="1:15">
      <c r="A6404" s="3">
        <v>42928</v>
      </c>
      <c r="B6404" s="3">
        <v>42928</v>
      </c>
      <c r="C6404">
        <v>328.4</v>
      </c>
      <c r="D6404">
        <v>1.1412</v>
      </c>
      <c r="E6404">
        <v>47.74</v>
      </c>
      <c r="F6404">
        <v>267.7</v>
      </c>
      <c r="K6404" s="3"/>
      <c r="O6404" s="3"/>
    </row>
    <row r="6405" spans="1:15">
      <c r="A6405" s="3">
        <v>42929</v>
      </c>
      <c r="B6405" s="3">
        <v>42929</v>
      </c>
      <c r="C6405">
        <v>327.91</v>
      </c>
      <c r="D6405">
        <v>1.1397999999999999</v>
      </c>
      <c r="E6405">
        <v>48.42</v>
      </c>
      <c r="F6405">
        <v>265.45</v>
      </c>
      <c r="K6405" s="3"/>
      <c r="O6405" s="3"/>
    </row>
    <row r="6406" spans="1:15">
      <c r="A6406" s="3">
        <v>42930</v>
      </c>
      <c r="B6406" s="3">
        <v>42930</v>
      </c>
      <c r="C6406">
        <v>327.58</v>
      </c>
      <c r="D6406">
        <v>1.147</v>
      </c>
      <c r="E6406">
        <v>48.91</v>
      </c>
      <c r="F6406">
        <v>268.39999999999998</v>
      </c>
      <c r="K6406" s="3"/>
      <c r="O6406" s="3"/>
    </row>
    <row r="6407" spans="1:15">
      <c r="A6407" s="3">
        <v>42931</v>
      </c>
      <c r="B6407" s="3">
        <v>42931</v>
      </c>
      <c r="C6407">
        <v>327.58</v>
      </c>
      <c r="D6407">
        <v>1.147</v>
      </c>
      <c r="E6407">
        <v>48.91</v>
      </c>
      <c r="F6407">
        <v>268.39999999999998</v>
      </c>
      <c r="K6407" s="3"/>
      <c r="O6407" s="3"/>
    </row>
    <row r="6408" spans="1:15">
      <c r="A6408" s="3">
        <v>42932</v>
      </c>
      <c r="B6408" s="3">
        <v>42932</v>
      </c>
      <c r="C6408">
        <v>327.58</v>
      </c>
      <c r="D6408">
        <v>1.147</v>
      </c>
      <c r="E6408">
        <v>48.91</v>
      </c>
      <c r="F6408">
        <v>268.39999999999998</v>
      </c>
      <c r="K6408" s="3"/>
      <c r="O6408" s="3"/>
    </row>
    <row r="6409" spans="1:15">
      <c r="A6409" s="3">
        <v>42933</v>
      </c>
      <c r="B6409" s="3">
        <v>42933</v>
      </c>
      <c r="C6409">
        <v>325.93</v>
      </c>
      <c r="D6409">
        <v>1.1477999999999999</v>
      </c>
      <c r="E6409">
        <v>48.42</v>
      </c>
      <c r="F6409">
        <v>271.7</v>
      </c>
      <c r="K6409" s="3"/>
      <c r="O6409" s="3"/>
    </row>
    <row r="6410" spans="1:15">
      <c r="A6410" s="3">
        <v>42934</v>
      </c>
      <c r="B6410" s="3">
        <v>42934</v>
      </c>
      <c r="C6410">
        <v>325.86</v>
      </c>
      <c r="D6410">
        <v>1.1554</v>
      </c>
      <c r="E6410">
        <v>48.84</v>
      </c>
      <c r="F6410">
        <v>272.35000000000002</v>
      </c>
      <c r="K6410" s="3"/>
      <c r="O6410" s="3"/>
    </row>
    <row r="6411" spans="1:15">
      <c r="A6411" s="3">
        <v>42935</v>
      </c>
      <c r="B6411" s="3">
        <v>42935</v>
      </c>
      <c r="C6411">
        <v>325.63</v>
      </c>
      <c r="D6411">
        <v>1.1515</v>
      </c>
      <c r="E6411">
        <v>49.7</v>
      </c>
      <c r="F6411">
        <v>270.3</v>
      </c>
      <c r="K6411" s="3"/>
      <c r="O6411" s="3"/>
    </row>
    <row r="6412" spans="1:15">
      <c r="A6412" s="3">
        <v>42936</v>
      </c>
      <c r="B6412" s="3">
        <v>42936</v>
      </c>
      <c r="C6412">
        <v>325.7</v>
      </c>
      <c r="D6412">
        <v>1.1631</v>
      </c>
      <c r="E6412">
        <v>49.3</v>
      </c>
      <c r="F6412">
        <v>270.85000000000002</v>
      </c>
      <c r="K6412" s="3"/>
      <c r="O6412" s="3"/>
    </row>
    <row r="6413" spans="1:15">
      <c r="A6413" s="3">
        <v>42937</v>
      </c>
      <c r="B6413" s="3">
        <v>42937</v>
      </c>
      <c r="C6413">
        <v>325.31</v>
      </c>
      <c r="D6413">
        <v>1.1662999999999999</v>
      </c>
      <c r="E6413">
        <v>48.06</v>
      </c>
      <c r="F6413">
        <v>271.5</v>
      </c>
      <c r="K6413" s="3"/>
      <c r="O6413" s="3"/>
    </row>
    <row r="6414" spans="1:15">
      <c r="A6414" s="3">
        <v>42938</v>
      </c>
      <c r="B6414" s="3">
        <v>42938</v>
      </c>
      <c r="C6414">
        <v>325.31</v>
      </c>
      <c r="D6414">
        <v>1.1662999999999999</v>
      </c>
      <c r="E6414">
        <v>48.06</v>
      </c>
      <c r="F6414">
        <v>271.5</v>
      </c>
      <c r="K6414" s="3"/>
      <c r="O6414" s="3"/>
    </row>
    <row r="6415" spans="1:15">
      <c r="A6415" s="3">
        <v>42939</v>
      </c>
      <c r="B6415" s="3">
        <v>42939</v>
      </c>
      <c r="C6415">
        <v>325.31</v>
      </c>
      <c r="D6415">
        <v>1.1662999999999999</v>
      </c>
      <c r="E6415">
        <v>48.06</v>
      </c>
      <c r="F6415">
        <v>271.5</v>
      </c>
      <c r="K6415" s="3"/>
      <c r="O6415" s="3"/>
    </row>
    <row r="6416" spans="1:15">
      <c r="A6416" s="3">
        <v>42940</v>
      </c>
      <c r="B6416" s="3">
        <v>42940</v>
      </c>
      <c r="C6416">
        <v>327.5</v>
      </c>
      <c r="D6416">
        <v>1.1641999999999999</v>
      </c>
      <c r="E6416">
        <v>48.6</v>
      </c>
      <c r="F6416">
        <v>272.89999999999998</v>
      </c>
      <c r="K6416" s="3"/>
      <c r="O6416" s="3"/>
    </row>
    <row r="6417" spans="1:15">
      <c r="A6417" s="3">
        <v>42941</v>
      </c>
      <c r="B6417" s="3">
        <v>42941</v>
      </c>
      <c r="C6417">
        <v>327.5</v>
      </c>
      <c r="D6417">
        <v>1.1647000000000001</v>
      </c>
      <c r="E6417">
        <v>50.2</v>
      </c>
      <c r="F6417">
        <v>284.05</v>
      </c>
      <c r="K6417" s="3"/>
      <c r="O6417" s="3"/>
    </row>
    <row r="6418" spans="1:15">
      <c r="A6418" s="3">
        <v>42942</v>
      </c>
      <c r="B6418" s="3">
        <v>42942</v>
      </c>
      <c r="C6418">
        <v>327.01</v>
      </c>
      <c r="D6418">
        <v>1.1734</v>
      </c>
      <c r="E6418">
        <v>50.97</v>
      </c>
      <c r="F6418">
        <v>286.89999999999998</v>
      </c>
      <c r="K6418" s="3"/>
      <c r="O6418" s="3"/>
    </row>
    <row r="6419" spans="1:15">
      <c r="A6419" s="3">
        <v>42943</v>
      </c>
      <c r="B6419" s="3">
        <v>42943</v>
      </c>
      <c r="C6419">
        <v>326.38</v>
      </c>
      <c r="D6419">
        <v>1.1677</v>
      </c>
      <c r="E6419">
        <v>51.49</v>
      </c>
      <c r="F6419">
        <v>287.39999999999998</v>
      </c>
      <c r="K6419" s="3"/>
      <c r="O6419" s="3"/>
    </row>
    <row r="6420" spans="1:15">
      <c r="A6420" s="3">
        <v>42944</v>
      </c>
      <c r="B6420" s="3">
        <v>42944</v>
      </c>
      <c r="C6420">
        <v>327.14999999999998</v>
      </c>
      <c r="D6420">
        <v>1.1751</v>
      </c>
      <c r="E6420">
        <v>52.52</v>
      </c>
      <c r="F6420">
        <v>287.5</v>
      </c>
      <c r="K6420" s="3"/>
      <c r="O6420" s="3"/>
    </row>
    <row r="6421" spans="1:15">
      <c r="A6421" s="3">
        <v>42945</v>
      </c>
      <c r="B6421" s="3">
        <v>42945</v>
      </c>
      <c r="C6421">
        <v>327.14999999999998</v>
      </c>
      <c r="D6421">
        <v>1.1751</v>
      </c>
      <c r="E6421">
        <v>52.52</v>
      </c>
      <c r="F6421">
        <v>287.5</v>
      </c>
      <c r="K6421" s="3"/>
      <c r="O6421" s="3"/>
    </row>
    <row r="6422" spans="1:15">
      <c r="A6422" s="3">
        <v>42946</v>
      </c>
      <c r="B6422" s="3">
        <v>42946</v>
      </c>
      <c r="C6422">
        <v>327.14999999999998</v>
      </c>
      <c r="D6422">
        <v>1.1751</v>
      </c>
      <c r="E6422">
        <v>52.52</v>
      </c>
      <c r="F6422">
        <v>287.5</v>
      </c>
      <c r="K6422" s="3"/>
      <c r="O6422" s="3"/>
    </row>
    <row r="6423" spans="1:15">
      <c r="A6423" s="3">
        <v>42947</v>
      </c>
      <c r="B6423" s="3">
        <v>42947</v>
      </c>
      <c r="C6423">
        <v>329.02</v>
      </c>
      <c r="D6423">
        <v>1.1841999999999999</v>
      </c>
      <c r="E6423">
        <v>52.65</v>
      </c>
      <c r="F6423">
        <v>289.14999999999998</v>
      </c>
      <c r="K6423" s="3"/>
      <c r="O6423" s="3"/>
    </row>
    <row r="6424" spans="1:15">
      <c r="A6424" s="3">
        <v>42948</v>
      </c>
      <c r="B6424" s="3">
        <v>42948</v>
      </c>
      <c r="C6424">
        <v>331.4</v>
      </c>
      <c r="D6424">
        <v>1.1801999999999999</v>
      </c>
      <c r="E6424">
        <v>51.78</v>
      </c>
      <c r="F6424">
        <v>288.10000000000002</v>
      </c>
      <c r="K6424" s="3"/>
      <c r="O6424" s="3"/>
    </row>
    <row r="6425" spans="1:15">
      <c r="A6425" s="3">
        <v>42949</v>
      </c>
      <c r="B6425" s="3">
        <v>42949</v>
      </c>
      <c r="C6425">
        <v>336.9</v>
      </c>
      <c r="D6425">
        <v>1.1856</v>
      </c>
      <c r="E6425">
        <v>52.36</v>
      </c>
      <c r="F6425">
        <v>288.45</v>
      </c>
      <c r="K6425" s="3"/>
      <c r="O6425" s="3"/>
    </row>
    <row r="6426" spans="1:15">
      <c r="A6426" s="3">
        <v>42950</v>
      </c>
      <c r="B6426" s="3">
        <v>42950</v>
      </c>
      <c r="C6426">
        <v>335.3</v>
      </c>
      <c r="D6426">
        <v>1.1870000000000001</v>
      </c>
      <c r="E6426">
        <v>52.01</v>
      </c>
      <c r="F6426">
        <v>287.8</v>
      </c>
      <c r="K6426" s="3"/>
      <c r="O6426" s="3"/>
    </row>
    <row r="6427" spans="1:15">
      <c r="A6427" s="3">
        <v>42951</v>
      </c>
      <c r="B6427" s="3">
        <v>42951</v>
      </c>
      <c r="C6427">
        <v>332.91</v>
      </c>
      <c r="D6427">
        <v>1.1773</v>
      </c>
      <c r="E6427">
        <v>52.42</v>
      </c>
      <c r="F6427">
        <v>288.5</v>
      </c>
      <c r="K6427" s="3"/>
      <c r="O6427" s="3"/>
    </row>
    <row r="6428" spans="1:15">
      <c r="A6428" s="3">
        <v>42952</v>
      </c>
      <c r="B6428" s="3">
        <v>42952</v>
      </c>
      <c r="C6428">
        <v>332.91</v>
      </c>
      <c r="D6428">
        <v>1.1773</v>
      </c>
      <c r="E6428">
        <v>52.42</v>
      </c>
      <c r="F6428">
        <v>288.5</v>
      </c>
      <c r="K6428" s="3"/>
      <c r="O6428" s="3"/>
    </row>
    <row r="6429" spans="1:15">
      <c r="A6429" s="3">
        <v>42953</v>
      </c>
      <c r="B6429" s="3">
        <v>42953</v>
      </c>
      <c r="C6429">
        <v>332.91</v>
      </c>
      <c r="D6429">
        <v>1.1773</v>
      </c>
      <c r="E6429">
        <v>52.42</v>
      </c>
      <c r="F6429">
        <v>288.5</v>
      </c>
      <c r="K6429" s="3"/>
      <c r="O6429" s="3"/>
    </row>
    <row r="6430" spans="1:15">
      <c r="A6430" s="3">
        <v>42954</v>
      </c>
      <c r="B6430" s="3">
        <v>42954</v>
      </c>
      <c r="C6430">
        <v>332.1</v>
      </c>
      <c r="D6430">
        <v>1.1795</v>
      </c>
      <c r="E6430">
        <v>52.37</v>
      </c>
      <c r="F6430">
        <v>290.7</v>
      </c>
      <c r="K6430" s="3"/>
      <c r="O6430" s="3"/>
    </row>
    <row r="6431" spans="1:15">
      <c r="A6431" s="3">
        <v>42955</v>
      </c>
      <c r="B6431" s="3">
        <v>42955</v>
      </c>
      <c r="C6431">
        <v>332.52</v>
      </c>
      <c r="D6431">
        <v>1.1752</v>
      </c>
      <c r="E6431">
        <v>52.14</v>
      </c>
      <c r="F6431">
        <v>294.25</v>
      </c>
      <c r="K6431" s="3"/>
      <c r="O6431" s="3"/>
    </row>
    <row r="6432" spans="1:15">
      <c r="A6432" s="3">
        <v>42956</v>
      </c>
      <c r="B6432" s="3">
        <v>42956</v>
      </c>
      <c r="C6432">
        <v>332.36</v>
      </c>
      <c r="D6432">
        <v>1.1758999999999999</v>
      </c>
      <c r="E6432">
        <v>52.7</v>
      </c>
      <c r="F6432">
        <v>292.7</v>
      </c>
      <c r="K6432" s="3"/>
      <c r="O6432" s="3"/>
    </row>
    <row r="6433" spans="1:15">
      <c r="A6433" s="3">
        <v>42957</v>
      </c>
      <c r="B6433" s="3">
        <v>42957</v>
      </c>
      <c r="C6433">
        <v>332.53</v>
      </c>
      <c r="D6433">
        <v>1.1772</v>
      </c>
      <c r="E6433">
        <v>51.9</v>
      </c>
      <c r="F6433">
        <v>290.3</v>
      </c>
      <c r="K6433" s="3"/>
      <c r="O6433" s="3"/>
    </row>
    <row r="6434" spans="1:15">
      <c r="A6434" s="3">
        <v>42958</v>
      </c>
      <c r="B6434" s="3">
        <v>42958</v>
      </c>
      <c r="C6434">
        <v>332.63</v>
      </c>
      <c r="D6434">
        <v>1.1820999999999999</v>
      </c>
      <c r="E6434">
        <v>52.1</v>
      </c>
      <c r="F6434">
        <v>291.2</v>
      </c>
      <c r="K6434" s="3"/>
      <c r="O6434" s="3"/>
    </row>
    <row r="6435" spans="1:15">
      <c r="A6435" s="3">
        <v>42959</v>
      </c>
      <c r="B6435" s="3">
        <v>42959</v>
      </c>
      <c r="C6435">
        <v>332.63</v>
      </c>
      <c r="D6435">
        <v>1.1820999999999999</v>
      </c>
      <c r="E6435">
        <v>52.1</v>
      </c>
      <c r="F6435">
        <v>291.2</v>
      </c>
      <c r="K6435" s="3"/>
      <c r="O6435" s="3"/>
    </row>
    <row r="6436" spans="1:15">
      <c r="A6436" s="3">
        <v>42960</v>
      </c>
      <c r="B6436" s="3">
        <v>42960</v>
      </c>
      <c r="C6436">
        <v>332.63</v>
      </c>
      <c r="D6436">
        <v>1.1820999999999999</v>
      </c>
      <c r="E6436">
        <v>52.1</v>
      </c>
      <c r="F6436">
        <v>291.2</v>
      </c>
      <c r="K6436" s="3"/>
      <c r="O6436" s="3"/>
    </row>
    <row r="6437" spans="1:15">
      <c r="A6437" s="3">
        <v>42961</v>
      </c>
      <c r="B6437" s="3">
        <v>42961</v>
      </c>
      <c r="C6437">
        <v>332.5</v>
      </c>
      <c r="D6437">
        <v>1.1779999999999999</v>
      </c>
      <c r="E6437">
        <v>50.73</v>
      </c>
      <c r="F6437">
        <v>290.45</v>
      </c>
      <c r="K6437" s="3"/>
      <c r="O6437" s="3"/>
    </row>
    <row r="6438" spans="1:15">
      <c r="A6438" s="3">
        <v>42962</v>
      </c>
      <c r="B6438" s="3">
        <v>42962</v>
      </c>
      <c r="C6438">
        <v>333.17</v>
      </c>
      <c r="D6438">
        <v>1.1735</v>
      </c>
      <c r="E6438">
        <v>50.8</v>
      </c>
      <c r="F6438">
        <v>288.3</v>
      </c>
      <c r="K6438" s="3"/>
      <c r="O6438" s="3"/>
    </row>
    <row r="6439" spans="1:15">
      <c r="A6439" s="3">
        <v>42963</v>
      </c>
      <c r="B6439" s="3">
        <v>42963</v>
      </c>
      <c r="C6439">
        <v>332.83</v>
      </c>
      <c r="D6439">
        <v>1.1767000000000001</v>
      </c>
      <c r="E6439">
        <v>50.27</v>
      </c>
      <c r="F6439">
        <v>295.35000000000002</v>
      </c>
      <c r="K6439" s="3"/>
      <c r="O6439" s="3"/>
    </row>
    <row r="6440" spans="1:15">
      <c r="A6440" s="3">
        <v>42964</v>
      </c>
      <c r="B6440" s="3">
        <v>42964</v>
      </c>
      <c r="C6440">
        <v>332.62</v>
      </c>
      <c r="D6440">
        <v>1.1722999999999999</v>
      </c>
      <c r="E6440">
        <v>51.03</v>
      </c>
      <c r="F6440">
        <v>293.8</v>
      </c>
      <c r="K6440" s="3"/>
      <c r="O6440" s="3"/>
    </row>
    <row r="6441" spans="1:15">
      <c r="A6441" s="3">
        <v>42965</v>
      </c>
      <c r="B6441" s="3">
        <v>42965</v>
      </c>
      <c r="C6441">
        <v>333.25</v>
      </c>
      <c r="D6441">
        <v>1.1760999999999999</v>
      </c>
      <c r="E6441">
        <v>52.72</v>
      </c>
      <c r="F6441">
        <v>293.95</v>
      </c>
      <c r="K6441" s="3"/>
      <c r="O6441" s="3"/>
    </row>
    <row r="6442" spans="1:15">
      <c r="A6442" s="3">
        <v>42966</v>
      </c>
      <c r="B6442" s="3">
        <v>42966</v>
      </c>
      <c r="C6442">
        <v>333.25</v>
      </c>
      <c r="D6442">
        <v>1.1760999999999999</v>
      </c>
      <c r="E6442">
        <v>52.72</v>
      </c>
      <c r="F6442">
        <v>293.95</v>
      </c>
      <c r="K6442" s="3"/>
      <c r="O6442" s="3"/>
    </row>
    <row r="6443" spans="1:15">
      <c r="A6443" s="3">
        <v>42967</v>
      </c>
      <c r="B6443" s="3">
        <v>42967</v>
      </c>
      <c r="C6443">
        <v>333.25</v>
      </c>
      <c r="D6443">
        <v>1.1760999999999999</v>
      </c>
      <c r="E6443">
        <v>52.72</v>
      </c>
      <c r="F6443">
        <v>293.95</v>
      </c>
      <c r="K6443" s="3"/>
      <c r="O6443" s="3"/>
    </row>
    <row r="6444" spans="1:15">
      <c r="A6444" s="3">
        <v>42968</v>
      </c>
      <c r="B6444" s="3">
        <v>42968</v>
      </c>
      <c r="C6444">
        <v>333.34</v>
      </c>
      <c r="D6444">
        <v>1.1815</v>
      </c>
      <c r="E6444">
        <v>51.66</v>
      </c>
      <c r="F6444">
        <v>298.05</v>
      </c>
      <c r="K6444" s="3"/>
      <c r="O6444" s="3"/>
    </row>
    <row r="6445" spans="1:15">
      <c r="A6445" s="3">
        <v>42969</v>
      </c>
      <c r="B6445" s="3">
        <v>42969</v>
      </c>
      <c r="C6445">
        <v>332.91</v>
      </c>
      <c r="D6445">
        <v>1.1761999999999999</v>
      </c>
      <c r="E6445">
        <v>51.87</v>
      </c>
      <c r="F6445">
        <v>298.7</v>
      </c>
      <c r="K6445" s="3"/>
      <c r="O6445" s="3"/>
    </row>
    <row r="6446" spans="1:15">
      <c r="A6446" s="3">
        <v>42970</v>
      </c>
      <c r="B6446" s="3">
        <v>42970</v>
      </c>
      <c r="C6446">
        <v>333.75</v>
      </c>
      <c r="D6446">
        <v>1.1807000000000001</v>
      </c>
      <c r="E6446">
        <v>52.57</v>
      </c>
      <c r="F6446">
        <v>298.05</v>
      </c>
      <c r="K6446" s="3"/>
      <c r="O6446" s="3"/>
    </row>
    <row r="6447" spans="1:15">
      <c r="A6447" s="3">
        <v>42971</v>
      </c>
      <c r="B6447" s="3">
        <v>42971</v>
      </c>
      <c r="C6447">
        <v>331.79</v>
      </c>
      <c r="D6447">
        <v>1.1798999999999999</v>
      </c>
      <c r="E6447">
        <v>52.04</v>
      </c>
      <c r="F6447">
        <v>303.39999999999998</v>
      </c>
      <c r="K6447" s="3"/>
      <c r="O6447" s="3"/>
    </row>
    <row r="6448" spans="1:15">
      <c r="A6448" s="3">
        <v>42972</v>
      </c>
      <c r="B6448" s="3">
        <v>42972</v>
      </c>
      <c r="C6448">
        <v>333.54</v>
      </c>
      <c r="D6448">
        <v>1.1923999999999999</v>
      </c>
      <c r="E6448">
        <v>52.41</v>
      </c>
      <c r="F6448">
        <v>303.35000000000002</v>
      </c>
      <c r="K6448" s="3"/>
      <c r="O6448" s="3"/>
    </row>
    <row r="6449" spans="1:15">
      <c r="A6449" s="3">
        <v>42973</v>
      </c>
      <c r="B6449" s="3">
        <v>42973</v>
      </c>
      <c r="C6449">
        <v>333.54</v>
      </c>
      <c r="D6449">
        <v>1.1923999999999999</v>
      </c>
      <c r="E6449">
        <v>52.41</v>
      </c>
      <c r="F6449">
        <v>303.35000000000002</v>
      </c>
      <c r="K6449" s="3"/>
      <c r="O6449" s="3"/>
    </row>
    <row r="6450" spans="1:15">
      <c r="A6450" s="3">
        <v>42974</v>
      </c>
      <c r="B6450" s="3">
        <v>42974</v>
      </c>
      <c r="C6450">
        <v>333.54</v>
      </c>
      <c r="D6450">
        <v>1.1923999999999999</v>
      </c>
      <c r="E6450">
        <v>52.41</v>
      </c>
      <c r="F6450">
        <v>303.35000000000002</v>
      </c>
      <c r="K6450" s="3"/>
      <c r="O6450" s="3"/>
    </row>
    <row r="6451" spans="1:15">
      <c r="A6451" s="3">
        <v>42975</v>
      </c>
      <c r="B6451" s="3">
        <v>42975</v>
      </c>
      <c r="C6451">
        <v>333.92</v>
      </c>
      <c r="D6451">
        <v>1.1979</v>
      </c>
      <c r="E6451">
        <v>51.89</v>
      </c>
      <c r="F6451">
        <v>306.3</v>
      </c>
      <c r="K6451" s="3"/>
      <c r="O6451" s="3"/>
    </row>
    <row r="6452" spans="1:15">
      <c r="A6452" s="3">
        <v>42976</v>
      </c>
      <c r="B6452" s="3">
        <v>42976</v>
      </c>
      <c r="C6452">
        <v>335.37</v>
      </c>
      <c r="D6452">
        <v>1.1972</v>
      </c>
      <c r="E6452">
        <v>52</v>
      </c>
      <c r="F6452">
        <v>308.10000000000002</v>
      </c>
      <c r="K6452" s="3"/>
      <c r="O6452" s="3"/>
    </row>
    <row r="6453" spans="1:15">
      <c r="A6453" s="3">
        <v>42977</v>
      </c>
      <c r="B6453" s="3">
        <v>42977</v>
      </c>
      <c r="C6453">
        <v>335.37</v>
      </c>
      <c r="D6453">
        <v>1.1883999999999999</v>
      </c>
      <c r="E6453">
        <v>50.86</v>
      </c>
      <c r="F6453">
        <v>306.45</v>
      </c>
      <c r="K6453" s="3"/>
      <c r="O6453" s="3"/>
    </row>
    <row r="6454" spans="1:15">
      <c r="A6454" s="3">
        <v>42978</v>
      </c>
      <c r="B6454" s="3">
        <v>42978</v>
      </c>
      <c r="C6454">
        <v>337.93</v>
      </c>
      <c r="D6454">
        <v>1.1910000000000001</v>
      </c>
      <c r="E6454">
        <v>52.38</v>
      </c>
      <c r="F6454">
        <v>307.89999999999998</v>
      </c>
      <c r="K6454" s="3"/>
      <c r="O6454" s="3"/>
    </row>
    <row r="6455" spans="1:15">
      <c r="A6455" s="3">
        <v>42979</v>
      </c>
      <c r="B6455" s="3">
        <v>42979</v>
      </c>
      <c r="C6455">
        <v>337.93</v>
      </c>
      <c r="D6455">
        <v>1.1859999999999999</v>
      </c>
      <c r="E6455">
        <v>52.75</v>
      </c>
      <c r="F6455">
        <v>309.8</v>
      </c>
      <c r="K6455" s="3"/>
      <c r="O6455" s="3"/>
    </row>
    <row r="6456" spans="1:15">
      <c r="A6456" s="3">
        <v>42980</v>
      </c>
      <c r="B6456" s="3">
        <v>42980</v>
      </c>
      <c r="C6456">
        <v>337.93</v>
      </c>
      <c r="D6456">
        <v>1.1859999999999999</v>
      </c>
      <c r="E6456">
        <v>52.75</v>
      </c>
      <c r="F6456">
        <v>309.8</v>
      </c>
      <c r="K6456" s="3"/>
      <c r="O6456" s="3"/>
    </row>
    <row r="6457" spans="1:15">
      <c r="A6457" s="3">
        <v>42981</v>
      </c>
      <c r="B6457" s="3">
        <v>42981</v>
      </c>
      <c r="C6457">
        <v>337.93</v>
      </c>
      <c r="D6457">
        <v>1.1859999999999999</v>
      </c>
      <c r="E6457">
        <v>52.75</v>
      </c>
      <c r="F6457">
        <v>309.8</v>
      </c>
      <c r="K6457" s="3"/>
      <c r="O6457" s="3"/>
    </row>
    <row r="6458" spans="1:15">
      <c r="A6458" s="3">
        <v>42982</v>
      </c>
      <c r="B6458" s="3">
        <v>42982</v>
      </c>
      <c r="C6458">
        <v>338.02</v>
      </c>
      <c r="D6458">
        <v>1.1896</v>
      </c>
      <c r="E6458">
        <v>52.34</v>
      </c>
      <c r="F6458">
        <v>309.8</v>
      </c>
      <c r="K6458" s="3"/>
      <c r="O6458" s="3"/>
    </row>
    <row r="6459" spans="1:15">
      <c r="A6459" s="3">
        <v>42983</v>
      </c>
      <c r="B6459" s="3">
        <v>42983</v>
      </c>
      <c r="C6459">
        <v>340.86</v>
      </c>
      <c r="D6459">
        <v>1.1914</v>
      </c>
      <c r="E6459">
        <v>53.38</v>
      </c>
      <c r="F6459">
        <v>310.75</v>
      </c>
      <c r="K6459" s="3"/>
      <c r="O6459" s="3"/>
    </row>
    <row r="6460" spans="1:15">
      <c r="A6460" s="3">
        <v>42984</v>
      </c>
      <c r="B6460" s="3">
        <v>42984</v>
      </c>
      <c r="C6460">
        <v>341.43</v>
      </c>
      <c r="D6460">
        <v>1.1917</v>
      </c>
      <c r="E6460">
        <v>54.2</v>
      </c>
      <c r="F6460">
        <v>313.14999999999998</v>
      </c>
      <c r="K6460" s="3"/>
      <c r="O6460" s="3"/>
    </row>
    <row r="6461" spans="1:15">
      <c r="A6461" s="3">
        <v>42985</v>
      </c>
      <c r="B6461" s="3">
        <v>42985</v>
      </c>
      <c r="C6461">
        <v>335.43</v>
      </c>
      <c r="D6461">
        <v>1.2022999999999999</v>
      </c>
      <c r="E6461">
        <v>54.49</v>
      </c>
      <c r="F6461">
        <v>312.3</v>
      </c>
      <c r="K6461" s="3"/>
      <c r="O6461" s="3"/>
    </row>
    <row r="6462" spans="1:15">
      <c r="A6462" s="3">
        <v>42986</v>
      </c>
      <c r="B6462" s="3">
        <v>42986</v>
      </c>
      <c r="C6462">
        <v>335.32</v>
      </c>
      <c r="D6462">
        <v>1.2036</v>
      </c>
      <c r="E6462">
        <v>53.78</v>
      </c>
      <c r="F6462">
        <v>302.14999999999998</v>
      </c>
      <c r="K6462" s="3"/>
      <c r="O6462" s="3"/>
    </row>
    <row r="6463" spans="1:15">
      <c r="A6463" s="3">
        <v>42987</v>
      </c>
      <c r="B6463" s="3">
        <v>42987</v>
      </c>
      <c r="C6463">
        <v>335.32</v>
      </c>
      <c r="D6463">
        <v>1.2036</v>
      </c>
      <c r="E6463">
        <v>53.78</v>
      </c>
      <c r="F6463">
        <v>302.14999999999998</v>
      </c>
      <c r="K6463" s="3"/>
      <c r="O6463" s="3"/>
    </row>
    <row r="6464" spans="1:15">
      <c r="A6464" s="3">
        <v>42988</v>
      </c>
      <c r="B6464" s="3">
        <v>42988</v>
      </c>
      <c r="C6464">
        <v>335.32</v>
      </c>
      <c r="D6464">
        <v>1.2036</v>
      </c>
      <c r="E6464">
        <v>53.78</v>
      </c>
      <c r="F6464">
        <v>302.14999999999998</v>
      </c>
      <c r="K6464" s="3"/>
      <c r="O6464" s="3"/>
    </row>
    <row r="6465" spans="1:15">
      <c r="A6465" s="3">
        <v>42989</v>
      </c>
      <c r="B6465" s="3">
        <v>42989</v>
      </c>
      <c r="C6465">
        <v>337.35</v>
      </c>
      <c r="D6465">
        <v>1.1953</v>
      </c>
      <c r="E6465">
        <v>53.84</v>
      </c>
      <c r="F6465">
        <v>304.60000000000002</v>
      </c>
      <c r="K6465" s="3"/>
      <c r="O6465" s="3"/>
    </row>
    <row r="6466" spans="1:15">
      <c r="A6466" s="3">
        <v>42990</v>
      </c>
      <c r="B6466" s="3">
        <v>42990</v>
      </c>
      <c r="C6466">
        <v>339.72</v>
      </c>
      <c r="D6466">
        <v>1.1967000000000001</v>
      </c>
      <c r="E6466">
        <v>54.27</v>
      </c>
      <c r="F6466">
        <v>301.55</v>
      </c>
      <c r="K6466" s="3"/>
      <c r="O6466" s="3"/>
    </row>
    <row r="6467" spans="1:15">
      <c r="A6467" s="3">
        <v>42991</v>
      </c>
      <c r="B6467" s="3">
        <v>42991</v>
      </c>
      <c r="C6467">
        <v>338.92</v>
      </c>
      <c r="D6467">
        <v>1.1884999999999999</v>
      </c>
      <c r="E6467">
        <v>55.16</v>
      </c>
      <c r="F6467">
        <v>296.10000000000002</v>
      </c>
      <c r="K6467" s="3"/>
      <c r="O6467" s="3"/>
    </row>
    <row r="6468" spans="1:15">
      <c r="A6468" s="3">
        <v>42992</v>
      </c>
      <c r="B6468" s="3">
        <v>42992</v>
      </c>
      <c r="C6468">
        <v>338.76</v>
      </c>
      <c r="D6468">
        <v>1.1919</v>
      </c>
      <c r="E6468">
        <v>55.47</v>
      </c>
      <c r="F6468">
        <v>293.64999999999998</v>
      </c>
      <c r="K6468" s="3"/>
      <c r="O6468" s="3"/>
    </row>
    <row r="6469" spans="1:15">
      <c r="A6469" s="3">
        <v>42993</v>
      </c>
      <c r="B6469" s="3">
        <v>42993</v>
      </c>
      <c r="C6469">
        <v>339.39</v>
      </c>
      <c r="D6469">
        <v>1.1944999999999999</v>
      </c>
      <c r="E6469">
        <v>55.62</v>
      </c>
      <c r="F6469">
        <v>292.8</v>
      </c>
      <c r="K6469" s="3"/>
      <c r="O6469" s="3"/>
    </row>
    <row r="6470" spans="1:15">
      <c r="A6470" s="3">
        <v>42994</v>
      </c>
      <c r="B6470" s="3">
        <v>42994</v>
      </c>
      <c r="C6470">
        <v>339.39</v>
      </c>
      <c r="D6470">
        <v>1.1944999999999999</v>
      </c>
      <c r="E6470">
        <v>55.62</v>
      </c>
      <c r="F6470">
        <v>292.8</v>
      </c>
      <c r="K6470" s="3"/>
      <c r="O6470" s="3"/>
    </row>
    <row r="6471" spans="1:15">
      <c r="A6471" s="3">
        <v>42995</v>
      </c>
      <c r="B6471" s="3">
        <v>42995</v>
      </c>
      <c r="C6471">
        <v>339.39</v>
      </c>
      <c r="D6471">
        <v>1.1944999999999999</v>
      </c>
      <c r="E6471">
        <v>55.62</v>
      </c>
      <c r="F6471">
        <v>292.8</v>
      </c>
      <c r="K6471" s="3"/>
      <c r="O6471" s="3"/>
    </row>
    <row r="6472" spans="1:15">
      <c r="A6472" s="3">
        <v>42996</v>
      </c>
      <c r="B6472" s="3">
        <v>42996</v>
      </c>
      <c r="C6472">
        <v>340.29</v>
      </c>
      <c r="D6472">
        <v>1.1954</v>
      </c>
      <c r="E6472">
        <v>55.48</v>
      </c>
      <c r="F6472">
        <v>294.89999999999998</v>
      </c>
      <c r="K6472" s="3"/>
      <c r="O6472" s="3"/>
    </row>
    <row r="6473" spans="1:15">
      <c r="A6473" s="3">
        <v>42997</v>
      </c>
      <c r="B6473" s="3">
        <v>42997</v>
      </c>
      <c r="C6473">
        <v>341.15</v>
      </c>
      <c r="D6473">
        <v>1.1994</v>
      </c>
      <c r="E6473">
        <v>55.14</v>
      </c>
      <c r="F6473">
        <v>294.95</v>
      </c>
      <c r="K6473" s="3"/>
      <c r="O6473" s="3"/>
    </row>
    <row r="6474" spans="1:15">
      <c r="A6474" s="3">
        <v>42998</v>
      </c>
      <c r="B6474" s="3">
        <v>42998</v>
      </c>
      <c r="C6474">
        <v>341.16</v>
      </c>
      <c r="D6474">
        <v>1.1892</v>
      </c>
      <c r="E6474">
        <v>56.29</v>
      </c>
      <c r="F6474">
        <v>294.95</v>
      </c>
      <c r="K6474" s="3"/>
      <c r="O6474" s="3"/>
    </row>
    <row r="6475" spans="1:15">
      <c r="A6475" s="3">
        <v>42999</v>
      </c>
      <c r="B6475" s="3">
        <v>42999</v>
      </c>
      <c r="C6475">
        <v>340.44</v>
      </c>
      <c r="D6475">
        <v>1.1940999999999999</v>
      </c>
      <c r="E6475">
        <v>56.43</v>
      </c>
      <c r="F6475">
        <v>291.39999999999998</v>
      </c>
      <c r="K6475" s="3"/>
      <c r="O6475" s="3"/>
    </row>
    <row r="6476" spans="1:15">
      <c r="A6476" s="3">
        <v>43000</v>
      </c>
      <c r="B6476" s="3">
        <v>43000</v>
      </c>
      <c r="C6476">
        <v>341.08</v>
      </c>
      <c r="D6476">
        <v>1.1951000000000001</v>
      </c>
      <c r="E6476">
        <v>56.86</v>
      </c>
      <c r="F6476">
        <v>292.45</v>
      </c>
      <c r="K6476" s="3"/>
      <c r="O6476" s="3"/>
    </row>
    <row r="6477" spans="1:15">
      <c r="A6477" s="3">
        <v>43001</v>
      </c>
      <c r="B6477" s="3">
        <v>43001</v>
      </c>
      <c r="C6477">
        <v>341.08</v>
      </c>
      <c r="D6477">
        <v>1.1951000000000001</v>
      </c>
      <c r="E6477">
        <v>56.86</v>
      </c>
      <c r="F6477">
        <v>292.45</v>
      </c>
      <c r="K6477" s="3"/>
      <c r="O6477" s="3"/>
    </row>
    <row r="6478" spans="1:15">
      <c r="A6478" s="3">
        <v>43002</v>
      </c>
      <c r="B6478" s="3">
        <v>43002</v>
      </c>
      <c r="C6478">
        <v>341.08</v>
      </c>
      <c r="D6478">
        <v>1.1951000000000001</v>
      </c>
      <c r="E6478">
        <v>56.86</v>
      </c>
      <c r="F6478">
        <v>292.45</v>
      </c>
      <c r="K6478" s="3"/>
      <c r="O6478" s="3"/>
    </row>
    <row r="6479" spans="1:15">
      <c r="A6479" s="3">
        <v>43003</v>
      </c>
      <c r="B6479" s="3">
        <v>43003</v>
      </c>
      <c r="C6479">
        <v>341.5</v>
      </c>
      <c r="D6479">
        <v>1.1848000000000001</v>
      </c>
      <c r="E6479">
        <v>59.02</v>
      </c>
      <c r="F6479">
        <v>291.75</v>
      </c>
      <c r="K6479" s="3"/>
      <c r="O6479" s="3"/>
    </row>
    <row r="6480" spans="1:15">
      <c r="A6480" s="3">
        <v>43004</v>
      </c>
      <c r="B6480" s="3">
        <v>43004</v>
      </c>
      <c r="C6480">
        <v>340.13</v>
      </c>
      <c r="D6480">
        <v>1.1793</v>
      </c>
      <c r="E6480">
        <v>58.44</v>
      </c>
      <c r="F6480">
        <v>289.75</v>
      </c>
      <c r="K6480" s="3"/>
      <c r="O6480" s="3"/>
    </row>
    <row r="6481" spans="1:15">
      <c r="A6481" s="3">
        <v>43005</v>
      </c>
      <c r="B6481" s="3">
        <v>43005</v>
      </c>
      <c r="C6481">
        <v>340.06</v>
      </c>
      <c r="D6481">
        <v>1.1745000000000001</v>
      </c>
      <c r="E6481">
        <v>57.9</v>
      </c>
      <c r="F6481">
        <v>291.10000000000002</v>
      </c>
      <c r="K6481" s="3"/>
      <c r="O6481" s="3"/>
    </row>
    <row r="6482" spans="1:15">
      <c r="A6482" s="3">
        <v>43006</v>
      </c>
      <c r="B6482" s="3">
        <v>43006</v>
      </c>
      <c r="C6482">
        <v>340.57</v>
      </c>
      <c r="D6482">
        <v>1.1786000000000001</v>
      </c>
      <c r="E6482">
        <v>57.41</v>
      </c>
      <c r="F6482">
        <v>298.10000000000002</v>
      </c>
      <c r="K6482" s="3"/>
      <c r="O6482" s="3"/>
    </row>
    <row r="6483" spans="1:15">
      <c r="A6483" s="3">
        <v>43007</v>
      </c>
      <c r="B6483" s="3">
        <v>43007</v>
      </c>
      <c r="C6483">
        <v>340.68</v>
      </c>
      <c r="D6483">
        <v>1.1814</v>
      </c>
      <c r="E6483">
        <v>57.54</v>
      </c>
      <c r="F6483">
        <v>295.5</v>
      </c>
      <c r="K6483" s="3"/>
      <c r="O6483" s="3"/>
    </row>
    <row r="6484" spans="1:15">
      <c r="A6484" s="3">
        <v>43008</v>
      </c>
      <c r="B6484" s="3">
        <v>43008</v>
      </c>
      <c r="C6484">
        <v>340.68</v>
      </c>
      <c r="D6484">
        <v>1.1814</v>
      </c>
      <c r="E6484">
        <v>57.54</v>
      </c>
      <c r="F6484">
        <v>295.5</v>
      </c>
      <c r="K6484" s="3"/>
      <c r="O6484" s="3"/>
    </row>
    <row r="6485" spans="1:15">
      <c r="A6485" s="3">
        <v>43009</v>
      </c>
      <c r="B6485" s="3">
        <v>43009</v>
      </c>
      <c r="C6485">
        <v>340.68</v>
      </c>
      <c r="D6485">
        <v>1.1814</v>
      </c>
      <c r="E6485">
        <v>57.54</v>
      </c>
      <c r="F6485">
        <v>295.5</v>
      </c>
      <c r="K6485" s="3"/>
      <c r="O6485" s="3"/>
    </row>
    <row r="6486" spans="1:15">
      <c r="A6486" s="3">
        <v>43010</v>
      </c>
      <c r="B6486" s="3">
        <v>43010</v>
      </c>
      <c r="C6486">
        <v>341.21</v>
      </c>
      <c r="D6486">
        <v>1.1733</v>
      </c>
      <c r="E6486">
        <v>56.12</v>
      </c>
      <c r="F6486">
        <v>295.55</v>
      </c>
      <c r="K6486" s="3"/>
      <c r="O6486" s="3"/>
    </row>
    <row r="6487" spans="1:15">
      <c r="A6487" s="3">
        <v>43011</v>
      </c>
      <c r="B6487" s="3">
        <v>43011</v>
      </c>
      <c r="C6487">
        <v>342.66</v>
      </c>
      <c r="D6487">
        <v>1.1744000000000001</v>
      </c>
      <c r="E6487">
        <v>56</v>
      </c>
      <c r="F6487">
        <v>296.35000000000002</v>
      </c>
      <c r="K6487" s="3"/>
      <c r="O6487" s="3"/>
    </row>
    <row r="6488" spans="1:15">
      <c r="A6488" s="3">
        <v>43012</v>
      </c>
      <c r="B6488" s="3">
        <v>43012</v>
      </c>
      <c r="C6488">
        <v>343.97</v>
      </c>
      <c r="D6488">
        <v>1.1758999999999999</v>
      </c>
      <c r="E6488">
        <v>55.8</v>
      </c>
      <c r="F6488">
        <v>295.89999999999998</v>
      </c>
      <c r="K6488" s="3"/>
      <c r="O6488" s="3"/>
    </row>
    <row r="6489" spans="1:15">
      <c r="A6489" s="3">
        <v>43013</v>
      </c>
      <c r="B6489" s="3">
        <v>43013</v>
      </c>
      <c r="C6489">
        <v>345.11</v>
      </c>
      <c r="D6489">
        <v>1.1711</v>
      </c>
      <c r="E6489">
        <v>57</v>
      </c>
      <c r="F6489">
        <v>304.64999999999998</v>
      </c>
      <c r="K6489" s="3"/>
      <c r="O6489" s="3"/>
    </row>
    <row r="6490" spans="1:15">
      <c r="A6490" s="3">
        <v>43014</v>
      </c>
      <c r="B6490" s="3">
        <v>43014</v>
      </c>
      <c r="C6490">
        <v>343.43</v>
      </c>
      <c r="D6490">
        <v>1.173</v>
      </c>
      <c r="E6490">
        <v>55.62</v>
      </c>
      <c r="F6490">
        <v>302.89999999999998</v>
      </c>
      <c r="K6490" s="3"/>
      <c r="O6490" s="3"/>
    </row>
    <row r="6491" spans="1:15">
      <c r="A6491" s="3">
        <v>43015</v>
      </c>
      <c r="B6491" s="3">
        <v>43015</v>
      </c>
      <c r="C6491">
        <v>343.43</v>
      </c>
      <c r="D6491">
        <v>1.173</v>
      </c>
      <c r="E6491">
        <v>55.62</v>
      </c>
      <c r="F6491">
        <v>302.89999999999998</v>
      </c>
      <c r="K6491" s="3"/>
      <c r="O6491" s="3"/>
    </row>
    <row r="6492" spans="1:15">
      <c r="A6492" s="3">
        <v>43016</v>
      </c>
      <c r="B6492" s="3">
        <v>43016</v>
      </c>
      <c r="C6492">
        <v>343.43</v>
      </c>
      <c r="D6492">
        <v>1.173</v>
      </c>
      <c r="E6492">
        <v>55.62</v>
      </c>
      <c r="F6492">
        <v>302.89999999999998</v>
      </c>
      <c r="K6492" s="3"/>
      <c r="O6492" s="3"/>
    </row>
    <row r="6493" spans="1:15">
      <c r="A6493" s="3">
        <v>43017</v>
      </c>
      <c r="B6493" s="3">
        <v>43017</v>
      </c>
      <c r="C6493">
        <v>342.25</v>
      </c>
      <c r="D6493">
        <v>1.1739999999999999</v>
      </c>
      <c r="E6493">
        <v>55.79</v>
      </c>
      <c r="F6493">
        <v>303.10000000000002</v>
      </c>
      <c r="K6493" s="3"/>
      <c r="O6493" s="3"/>
    </row>
    <row r="6494" spans="1:15">
      <c r="A6494" s="3">
        <v>43018</v>
      </c>
      <c r="B6494" s="3">
        <v>43018</v>
      </c>
      <c r="C6494">
        <v>337.41</v>
      </c>
      <c r="D6494">
        <v>1.1808000000000001</v>
      </c>
      <c r="E6494">
        <v>56.61</v>
      </c>
      <c r="F6494">
        <v>306.05</v>
      </c>
      <c r="K6494" s="3"/>
      <c r="O6494" s="3"/>
    </row>
    <row r="6495" spans="1:15">
      <c r="A6495" s="3">
        <v>43019</v>
      </c>
      <c r="B6495" s="3">
        <v>43019</v>
      </c>
      <c r="C6495">
        <v>335.37</v>
      </c>
      <c r="D6495">
        <v>1.1859</v>
      </c>
      <c r="E6495">
        <v>56.94</v>
      </c>
      <c r="F6495">
        <v>309.55</v>
      </c>
      <c r="K6495" s="3"/>
      <c r="O6495" s="3"/>
    </row>
    <row r="6496" spans="1:15">
      <c r="A6496" s="3">
        <v>43020</v>
      </c>
      <c r="B6496" s="3">
        <v>43020</v>
      </c>
      <c r="C6496">
        <v>334.33</v>
      </c>
      <c r="D6496">
        <v>1.1830000000000001</v>
      </c>
      <c r="E6496">
        <v>56.25</v>
      </c>
      <c r="F6496">
        <v>312</v>
      </c>
      <c r="K6496" s="3"/>
      <c r="O6496" s="3"/>
    </row>
    <row r="6497" spans="1:15">
      <c r="A6497" s="3">
        <v>43021</v>
      </c>
      <c r="B6497" s="3">
        <v>43021</v>
      </c>
      <c r="C6497">
        <v>334.5</v>
      </c>
      <c r="D6497">
        <v>1.1819999999999999</v>
      </c>
      <c r="E6497">
        <v>57.17</v>
      </c>
      <c r="F6497">
        <v>313.35000000000002</v>
      </c>
      <c r="K6497" s="3"/>
      <c r="O6497" s="3"/>
    </row>
    <row r="6498" spans="1:15">
      <c r="A6498" s="3">
        <v>43022</v>
      </c>
      <c r="B6498" s="3">
        <v>43022</v>
      </c>
      <c r="C6498">
        <v>334.5</v>
      </c>
      <c r="D6498">
        <v>1.1819999999999999</v>
      </c>
      <c r="E6498">
        <v>57.17</v>
      </c>
      <c r="F6498">
        <v>313.35000000000002</v>
      </c>
      <c r="K6498" s="3"/>
      <c r="O6498" s="3"/>
    </row>
    <row r="6499" spans="1:15">
      <c r="A6499" s="3">
        <v>43023</v>
      </c>
      <c r="B6499" s="3">
        <v>43023</v>
      </c>
      <c r="C6499">
        <v>334.5</v>
      </c>
      <c r="D6499">
        <v>1.1819999999999999</v>
      </c>
      <c r="E6499">
        <v>57.17</v>
      </c>
      <c r="F6499">
        <v>313.35000000000002</v>
      </c>
      <c r="K6499" s="3"/>
      <c r="O6499" s="3"/>
    </row>
    <row r="6500" spans="1:15">
      <c r="A6500" s="3">
        <v>43024</v>
      </c>
      <c r="B6500" s="3">
        <v>43024</v>
      </c>
      <c r="C6500">
        <v>333.22</v>
      </c>
      <c r="D6500">
        <v>1.1796</v>
      </c>
      <c r="E6500">
        <v>57.82</v>
      </c>
      <c r="F6500">
        <v>323.89999999999998</v>
      </c>
      <c r="K6500" s="3"/>
      <c r="O6500" s="3"/>
    </row>
    <row r="6501" spans="1:15">
      <c r="A6501" s="3">
        <v>43025</v>
      </c>
      <c r="B6501" s="3">
        <v>43025</v>
      </c>
      <c r="C6501">
        <v>333.78</v>
      </c>
      <c r="D6501">
        <v>1.1766000000000001</v>
      </c>
      <c r="E6501">
        <v>57.88</v>
      </c>
      <c r="F6501">
        <v>319.55</v>
      </c>
      <c r="K6501" s="3"/>
      <c r="O6501" s="3"/>
    </row>
    <row r="6502" spans="1:15">
      <c r="A6502" s="3">
        <v>43026</v>
      </c>
      <c r="B6502" s="3">
        <v>43026</v>
      </c>
      <c r="C6502">
        <v>333.6</v>
      </c>
      <c r="D6502">
        <v>1.1787000000000001</v>
      </c>
      <c r="E6502">
        <v>58.15</v>
      </c>
      <c r="F6502">
        <v>317.8</v>
      </c>
      <c r="K6502" s="3"/>
      <c r="O6502" s="3"/>
    </row>
    <row r="6503" spans="1:15">
      <c r="A6503" s="3">
        <v>43027</v>
      </c>
      <c r="B6503" s="3">
        <v>43027</v>
      </c>
      <c r="C6503">
        <v>334.84</v>
      </c>
      <c r="D6503">
        <v>1.1852</v>
      </c>
      <c r="E6503">
        <v>57.23</v>
      </c>
      <c r="F6503">
        <v>316.75</v>
      </c>
      <c r="K6503" s="3"/>
      <c r="O6503" s="3"/>
    </row>
    <row r="6504" spans="1:15">
      <c r="A6504" s="3">
        <v>43028</v>
      </c>
      <c r="B6504" s="3">
        <v>43028</v>
      </c>
      <c r="C6504">
        <v>335.55</v>
      </c>
      <c r="D6504">
        <v>1.1783999999999999</v>
      </c>
      <c r="E6504">
        <v>57.75</v>
      </c>
      <c r="F6504">
        <v>316.55</v>
      </c>
      <c r="K6504" s="3"/>
      <c r="O6504" s="3"/>
    </row>
    <row r="6505" spans="1:15">
      <c r="A6505" s="3">
        <v>43029</v>
      </c>
      <c r="B6505" s="3">
        <v>43029</v>
      </c>
      <c r="C6505">
        <v>335.55</v>
      </c>
      <c r="D6505">
        <v>1.1783999999999999</v>
      </c>
      <c r="E6505">
        <v>57.75</v>
      </c>
      <c r="F6505">
        <v>316.55</v>
      </c>
      <c r="K6505" s="3"/>
      <c r="O6505" s="3"/>
    </row>
    <row r="6506" spans="1:15">
      <c r="A6506" s="3">
        <v>43030</v>
      </c>
      <c r="B6506" s="3">
        <v>43030</v>
      </c>
      <c r="C6506">
        <v>335.55</v>
      </c>
      <c r="D6506">
        <v>1.1783999999999999</v>
      </c>
      <c r="E6506">
        <v>57.75</v>
      </c>
      <c r="F6506">
        <v>316.55</v>
      </c>
      <c r="K6506" s="3"/>
      <c r="O6506" s="3"/>
    </row>
    <row r="6507" spans="1:15">
      <c r="A6507" s="3">
        <v>43031</v>
      </c>
      <c r="B6507" s="3">
        <v>43031</v>
      </c>
      <c r="C6507">
        <v>335.75</v>
      </c>
      <c r="D6507">
        <v>1.1749000000000001</v>
      </c>
      <c r="E6507">
        <v>57.37</v>
      </c>
      <c r="F6507">
        <v>318.8</v>
      </c>
      <c r="K6507" s="3"/>
      <c r="O6507" s="3"/>
    </row>
    <row r="6508" spans="1:15">
      <c r="A6508" s="3">
        <v>43032</v>
      </c>
      <c r="B6508" s="3">
        <v>43032</v>
      </c>
      <c r="C6508">
        <v>334.2</v>
      </c>
      <c r="D6508">
        <v>1.1760999999999999</v>
      </c>
      <c r="E6508">
        <v>58.33</v>
      </c>
      <c r="F6508">
        <v>319.8</v>
      </c>
      <c r="K6508" s="3"/>
      <c r="O6508" s="3"/>
    </row>
    <row r="6509" spans="1:15">
      <c r="A6509" s="3">
        <v>43033</v>
      </c>
      <c r="B6509" s="3">
        <v>43033</v>
      </c>
      <c r="C6509">
        <v>333.54</v>
      </c>
      <c r="D6509">
        <v>1.1813</v>
      </c>
      <c r="E6509">
        <v>58.44</v>
      </c>
      <c r="F6509">
        <v>318.3</v>
      </c>
      <c r="K6509" s="3"/>
      <c r="O6509" s="3"/>
    </row>
    <row r="6510" spans="1:15">
      <c r="A6510" s="3">
        <v>43034</v>
      </c>
      <c r="B6510" s="3">
        <v>43034</v>
      </c>
      <c r="C6510">
        <v>333.85</v>
      </c>
      <c r="D6510">
        <v>1.1651</v>
      </c>
      <c r="E6510">
        <v>59.3</v>
      </c>
      <c r="F6510">
        <v>317.75</v>
      </c>
      <c r="K6510" s="3"/>
      <c r="O6510" s="3"/>
    </row>
    <row r="6511" spans="1:15">
      <c r="A6511" s="3">
        <v>43035</v>
      </c>
      <c r="B6511" s="3">
        <v>43035</v>
      </c>
      <c r="C6511">
        <v>334.21</v>
      </c>
      <c r="D6511">
        <v>1.1608000000000001</v>
      </c>
      <c r="E6511">
        <v>60.44</v>
      </c>
      <c r="F6511">
        <v>310.35000000000002</v>
      </c>
      <c r="K6511" s="3"/>
      <c r="O6511" s="3"/>
    </row>
    <row r="6512" spans="1:15">
      <c r="A6512" s="3">
        <v>43036</v>
      </c>
      <c r="B6512" s="3">
        <v>43036</v>
      </c>
      <c r="C6512">
        <v>334.21</v>
      </c>
      <c r="D6512">
        <v>1.1608000000000001</v>
      </c>
      <c r="E6512">
        <v>60.44</v>
      </c>
      <c r="F6512">
        <v>310.35000000000002</v>
      </c>
      <c r="K6512" s="3"/>
      <c r="O6512" s="3"/>
    </row>
    <row r="6513" spans="1:15">
      <c r="A6513" s="3">
        <v>43037</v>
      </c>
      <c r="B6513" s="3">
        <v>43037</v>
      </c>
      <c r="C6513">
        <v>334.21</v>
      </c>
      <c r="D6513">
        <v>1.1608000000000001</v>
      </c>
      <c r="E6513">
        <v>60.44</v>
      </c>
      <c r="F6513">
        <v>310.35000000000002</v>
      </c>
      <c r="K6513" s="3"/>
      <c r="O6513" s="3"/>
    </row>
    <row r="6514" spans="1:15">
      <c r="A6514" s="3">
        <v>43038</v>
      </c>
      <c r="B6514" s="3">
        <v>43038</v>
      </c>
      <c r="C6514">
        <v>333.54</v>
      </c>
      <c r="D6514">
        <v>1.1651</v>
      </c>
      <c r="E6514">
        <v>60.9</v>
      </c>
      <c r="F6514">
        <v>311.2</v>
      </c>
      <c r="K6514" s="3"/>
      <c r="O6514" s="3"/>
    </row>
    <row r="6515" spans="1:15">
      <c r="A6515" s="3">
        <v>43039</v>
      </c>
      <c r="B6515" s="3">
        <v>43039</v>
      </c>
      <c r="C6515">
        <v>334.81</v>
      </c>
      <c r="D6515">
        <v>1.1646000000000001</v>
      </c>
      <c r="E6515">
        <v>61.37</v>
      </c>
      <c r="F6515">
        <v>310.10000000000002</v>
      </c>
      <c r="K6515" s="3"/>
      <c r="O6515" s="3"/>
    </row>
    <row r="6516" spans="1:15">
      <c r="A6516" s="3">
        <v>43040</v>
      </c>
      <c r="B6516" s="3">
        <v>43040</v>
      </c>
      <c r="C6516">
        <v>335</v>
      </c>
      <c r="D6516">
        <v>1.1618999999999999</v>
      </c>
      <c r="E6516">
        <v>60.49</v>
      </c>
      <c r="F6516">
        <v>314.25</v>
      </c>
      <c r="K6516" s="3"/>
      <c r="O6516" s="3"/>
    </row>
    <row r="6517" spans="1:15">
      <c r="A6517" s="3">
        <v>43041</v>
      </c>
      <c r="B6517" s="3">
        <v>43041</v>
      </c>
      <c r="C6517">
        <v>334.82</v>
      </c>
      <c r="D6517">
        <v>1.1657999999999999</v>
      </c>
      <c r="E6517">
        <v>60.62</v>
      </c>
      <c r="F6517">
        <v>314.35000000000002</v>
      </c>
      <c r="K6517" s="3"/>
      <c r="O6517" s="3"/>
    </row>
    <row r="6518" spans="1:15">
      <c r="A6518" s="3">
        <v>43042</v>
      </c>
      <c r="B6518" s="3">
        <v>43042</v>
      </c>
      <c r="C6518">
        <v>334.18</v>
      </c>
      <c r="D6518">
        <v>1.1608000000000001</v>
      </c>
      <c r="E6518">
        <v>62.07</v>
      </c>
      <c r="F6518">
        <v>311.75</v>
      </c>
      <c r="K6518" s="3"/>
      <c r="O6518" s="3"/>
    </row>
    <row r="6519" spans="1:15">
      <c r="A6519" s="3">
        <v>43043</v>
      </c>
      <c r="B6519" s="3">
        <v>43043</v>
      </c>
      <c r="C6519">
        <v>334.18</v>
      </c>
      <c r="D6519">
        <v>1.1608000000000001</v>
      </c>
      <c r="E6519">
        <v>62.07</v>
      </c>
      <c r="F6519">
        <v>311.75</v>
      </c>
      <c r="K6519" s="3"/>
      <c r="O6519" s="3"/>
    </row>
    <row r="6520" spans="1:15">
      <c r="A6520" s="3">
        <v>43044</v>
      </c>
      <c r="B6520" s="3">
        <v>43044</v>
      </c>
      <c r="C6520">
        <v>334.18</v>
      </c>
      <c r="D6520">
        <v>1.1608000000000001</v>
      </c>
      <c r="E6520">
        <v>62.07</v>
      </c>
      <c r="F6520">
        <v>311.75</v>
      </c>
      <c r="K6520" s="3"/>
      <c r="O6520" s="3"/>
    </row>
    <row r="6521" spans="1:15">
      <c r="A6521" s="3">
        <v>43045</v>
      </c>
      <c r="B6521" s="3">
        <v>43045</v>
      </c>
      <c r="C6521">
        <v>333.74</v>
      </c>
      <c r="D6521">
        <v>1.161</v>
      </c>
      <c r="E6521">
        <v>64.27</v>
      </c>
      <c r="F6521">
        <v>315.75</v>
      </c>
      <c r="K6521" s="3"/>
      <c r="O6521" s="3"/>
    </row>
    <row r="6522" spans="1:15">
      <c r="A6522" s="3">
        <v>43046</v>
      </c>
      <c r="B6522" s="3">
        <v>43046</v>
      </c>
      <c r="C6522">
        <v>333.39</v>
      </c>
      <c r="D6522">
        <v>1.1587000000000001</v>
      </c>
      <c r="E6522">
        <v>63.69</v>
      </c>
      <c r="F6522">
        <v>308.89999999999998</v>
      </c>
      <c r="K6522" s="3"/>
      <c r="O6522" s="3"/>
    </row>
    <row r="6523" spans="1:15">
      <c r="A6523" s="3">
        <v>43047</v>
      </c>
      <c r="B6523" s="3">
        <v>43047</v>
      </c>
      <c r="C6523">
        <v>333.18</v>
      </c>
      <c r="D6523">
        <v>1.1595</v>
      </c>
      <c r="E6523">
        <v>63.49</v>
      </c>
      <c r="F6523">
        <v>309.95</v>
      </c>
      <c r="K6523" s="3"/>
      <c r="O6523" s="3"/>
    </row>
    <row r="6524" spans="1:15">
      <c r="A6524" s="3">
        <v>43048</v>
      </c>
      <c r="B6524" s="3">
        <v>43048</v>
      </c>
      <c r="C6524">
        <v>332.87</v>
      </c>
      <c r="D6524">
        <v>1.1641999999999999</v>
      </c>
      <c r="E6524">
        <v>63.93</v>
      </c>
      <c r="F6524">
        <v>308.60000000000002</v>
      </c>
      <c r="K6524" s="3"/>
      <c r="O6524" s="3"/>
    </row>
    <row r="6525" spans="1:15">
      <c r="A6525" s="3">
        <v>43049</v>
      </c>
      <c r="B6525" s="3">
        <v>43049</v>
      </c>
      <c r="C6525">
        <v>332.72</v>
      </c>
      <c r="D6525">
        <v>1.1665000000000001</v>
      </c>
      <c r="E6525">
        <v>63.52</v>
      </c>
      <c r="F6525">
        <v>307.60000000000002</v>
      </c>
      <c r="K6525" s="3"/>
      <c r="O6525" s="3"/>
    </row>
    <row r="6526" spans="1:15">
      <c r="A6526" s="3">
        <v>43050</v>
      </c>
      <c r="B6526" s="3">
        <v>43050</v>
      </c>
      <c r="C6526">
        <v>332.72</v>
      </c>
      <c r="D6526">
        <v>1.1665000000000001</v>
      </c>
      <c r="E6526">
        <v>63.52</v>
      </c>
      <c r="F6526">
        <v>307.60000000000002</v>
      </c>
      <c r="K6526" s="3"/>
      <c r="O6526" s="3"/>
    </row>
    <row r="6527" spans="1:15">
      <c r="A6527" s="3">
        <v>43051</v>
      </c>
      <c r="B6527" s="3">
        <v>43051</v>
      </c>
      <c r="C6527">
        <v>332.72</v>
      </c>
      <c r="D6527">
        <v>1.1665000000000001</v>
      </c>
      <c r="E6527">
        <v>63.52</v>
      </c>
      <c r="F6527">
        <v>307.60000000000002</v>
      </c>
      <c r="K6527" s="3"/>
      <c r="O6527" s="3"/>
    </row>
    <row r="6528" spans="1:15">
      <c r="A6528" s="3">
        <v>43052</v>
      </c>
      <c r="B6528" s="3">
        <v>43052</v>
      </c>
      <c r="C6528">
        <v>332.85</v>
      </c>
      <c r="D6528">
        <v>1.1667000000000001</v>
      </c>
      <c r="E6528">
        <v>63.16</v>
      </c>
      <c r="F6528">
        <v>311.64999999999998</v>
      </c>
      <c r="K6528" s="3"/>
      <c r="O6528" s="3"/>
    </row>
    <row r="6529" spans="1:15">
      <c r="A6529" s="3">
        <v>43053</v>
      </c>
      <c r="B6529" s="3">
        <v>43053</v>
      </c>
      <c r="C6529">
        <v>332.35</v>
      </c>
      <c r="D6529">
        <v>1.1798</v>
      </c>
      <c r="E6529">
        <v>62.21</v>
      </c>
      <c r="F6529">
        <v>306.5</v>
      </c>
      <c r="K6529" s="3"/>
      <c r="O6529" s="3"/>
    </row>
    <row r="6530" spans="1:15">
      <c r="A6530" s="3">
        <v>43054</v>
      </c>
      <c r="B6530" s="3">
        <v>43054</v>
      </c>
      <c r="C6530">
        <v>332.83</v>
      </c>
      <c r="D6530">
        <v>1.1791</v>
      </c>
      <c r="E6530">
        <v>61.87</v>
      </c>
      <c r="F6530">
        <v>305.45</v>
      </c>
      <c r="K6530" s="3"/>
      <c r="O6530" s="3"/>
    </row>
    <row r="6531" spans="1:15">
      <c r="A6531" s="3">
        <v>43055</v>
      </c>
      <c r="B6531" s="3">
        <v>43055</v>
      </c>
      <c r="C6531">
        <v>332.36</v>
      </c>
      <c r="D6531">
        <v>1.177</v>
      </c>
      <c r="E6531">
        <v>61.36</v>
      </c>
      <c r="F6531">
        <v>304.8</v>
      </c>
      <c r="K6531" s="3"/>
      <c r="O6531" s="3"/>
    </row>
    <row r="6532" spans="1:15">
      <c r="A6532" s="3">
        <v>43056</v>
      </c>
      <c r="B6532" s="3">
        <v>43056</v>
      </c>
      <c r="C6532">
        <v>331.96</v>
      </c>
      <c r="D6532">
        <v>1.179</v>
      </c>
      <c r="E6532">
        <v>62.72</v>
      </c>
      <c r="F6532">
        <v>306.7</v>
      </c>
      <c r="K6532" s="3"/>
      <c r="O6532" s="3"/>
    </row>
    <row r="6533" spans="1:15">
      <c r="A6533" s="3">
        <v>43057</v>
      </c>
      <c r="B6533" s="3">
        <v>43057</v>
      </c>
      <c r="C6533">
        <v>331.96</v>
      </c>
      <c r="D6533">
        <v>1.179</v>
      </c>
      <c r="E6533">
        <v>62.72</v>
      </c>
      <c r="F6533">
        <v>306.7</v>
      </c>
      <c r="K6533" s="3"/>
      <c r="O6533" s="3"/>
    </row>
    <row r="6534" spans="1:15">
      <c r="A6534" s="3">
        <v>43058</v>
      </c>
      <c r="B6534" s="3">
        <v>43058</v>
      </c>
      <c r="C6534">
        <v>331.96</v>
      </c>
      <c r="D6534">
        <v>1.179</v>
      </c>
      <c r="E6534">
        <v>62.72</v>
      </c>
      <c r="F6534">
        <v>306.7</v>
      </c>
      <c r="K6534" s="3"/>
      <c r="O6534" s="3"/>
    </row>
    <row r="6535" spans="1:15">
      <c r="A6535" s="3">
        <v>43059</v>
      </c>
      <c r="B6535" s="3">
        <v>43059</v>
      </c>
      <c r="C6535">
        <v>332.15</v>
      </c>
      <c r="D6535">
        <v>1.1733</v>
      </c>
      <c r="E6535">
        <v>62.22</v>
      </c>
      <c r="F6535">
        <v>309.3</v>
      </c>
      <c r="K6535" s="3"/>
      <c r="O6535" s="3"/>
    </row>
    <row r="6536" spans="1:15">
      <c r="A6536" s="3">
        <v>43060</v>
      </c>
      <c r="B6536" s="3">
        <v>43060</v>
      </c>
      <c r="C6536">
        <v>330.47</v>
      </c>
      <c r="D6536">
        <v>1.1738</v>
      </c>
      <c r="E6536">
        <v>62.57</v>
      </c>
      <c r="F6536">
        <v>312.85000000000002</v>
      </c>
      <c r="K6536" s="3"/>
      <c r="O6536" s="3"/>
    </row>
    <row r="6537" spans="1:15">
      <c r="A6537" s="3">
        <v>43061</v>
      </c>
      <c r="B6537" s="3">
        <v>43061</v>
      </c>
      <c r="C6537">
        <v>330.35</v>
      </c>
      <c r="D6537">
        <v>1.1821999999999999</v>
      </c>
      <c r="E6537">
        <v>63.32</v>
      </c>
      <c r="F6537">
        <v>313.7</v>
      </c>
      <c r="K6537" s="3"/>
      <c r="O6537" s="3"/>
    </row>
    <row r="6538" spans="1:15">
      <c r="A6538" s="3">
        <v>43062</v>
      </c>
      <c r="B6538" s="3">
        <v>43062</v>
      </c>
      <c r="C6538">
        <v>330</v>
      </c>
      <c r="D6538">
        <v>1.1851</v>
      </c>
      <c r="E6538">
        <v>63.55</v>
      </c>
      <c r="F6538">
        <v>313.7</v>
      </c>
      <c r="K6538" s="3"/>
      <c r="O6538" s="3"/>
    </row>
    <row r="6539" spans="1:15">
      <c r="A6539" s="3">
        <v>43063</v>
      </c>
      <c r="B6539" s="3">
        <v>43063</v>
      </c>
      <c r="C6539">
        <v>330.34</v>
      </c>
      <c r="D6539">
        <v>1.1933</v>
      </c>
      <c r="E6539">
        <v>63.86</v>
      </c>
      <c r="F6539">
        <v>316.89999999999998</v>
      </c>
      <c r="K6539" s="3"/>
      <c r="O6539" s="3"/>
    </row>
    <row r="6540" spans="1:15">
      <c r="A6540" s="3">
        <v>43064</v>
      </c>
      <c r="B6540" s="3">
        <v>43064</v>
      </c>
      <c r="C6540">
        <v>330.34</v>
      </c>
      <c r="D6540">
        <v>1.1933</v>
      </c>
      <c r="E6540">
        <v>63.86</v>
      </c>
      <c r="F6540">
        <v>316.89999999999998</v>
      </c>
      <c r="K6540" s="3"/>
      <c r="O6540" s="3"/>
    </row>
    <row r="6541" spans="1:15">
      <c r="A6541" s="3">
        <v>43065</v>
      </c>
      <c r="B6541" s="3">
        <v>43065</v>
      </c>
      <c r="C6541">
        <v>330.34</v>
      </c>
      <c r="D6541">
        <v>1.1933</v>
      </c>
      <c r="E6541">
        <v>63.86</v>
      </c>
      <c r="F6541">
        <v>316.89999999999998</v>
      </c>
      <c r="K6541" s="3"/>
      <c r="O6541" s="3"/>
    </row>
    <row r="6542" spans="1:15">
      <c r="A6542" s="3">
        <v>43066</v>
      </c>
      <c r="B6542" s="3">
        <v>43066</v>
      </c>
      <c r="C6542">
        <v>330.98</v>
      </c>
      <c r="D6542">
        <v>1.1898</v>
      </c>
      <c r="E6542">
        <v>63.84</v>
      </c>
      <c r="F6542">
        <v>313.45</v>
      </c>
      <c r="K6542" s="3"/>
      <c r="O6542" s="3"/>
    </row>
    <row r="6543" spans="1:15">
      <c r="A6543" s="3">
        <v>43067</v>
      </c>
      <c r="B6543" s="3">
        <v>43067</v>
      </c>
      <c r="C6543">
        <v>331.69</v>
      </c>
      <c r="D6543">
        <v>1.1839999999999999</v>
      </c>
      <c r="E6543">
        <v>63.61</v>
      </c>
      <c r="F6543">
        <v>307.14999999999998</v>
      </c>
      <c r="K6543" s="3"/>
      <c r="O6543" s="3"/>
    </row>
    <row r="6544" spans="1:15">
      <c r="A6544" s="3">
        <v>43068</v>
      </c>
      <c r="B6544" s="3">
        <v>43068</v>
      </c>
      <c r="C6544">
        <v>330.78</v>
      </c>
      <c r="D6544">
        <v>1.1847000000000001</v>
      </c>
      <c r="E6544">
        <v>63.11</v>
      </c>
      <c r="F6544">
        <v>304</v>
      </c>
      <c r="K6544" s="3"/>
      <c r="O6544" s="3"/>
    </row>
    <row r="6545" spans="1:15">
      <c r="A6545" s="3">
        <v>43069</v>
      </c>
      <c r="B6545" s="3">
        <v>43069</v>
      </c>
      <c r="C6545">
        <v>331.09</v>
      </c>
      <c r="D6545">
        <v>1.1903999999999999</v>
      </c>
      <c r="E6545">
        <v>63.57</v>
      </c>
      <c r="F6545">
        <v>303.7</v>
      </c>
      <c r="K6545" s="3"/>
      <c r="O6545" s="3"/>
    </row>
    <row r="6546" spans="1:15">
      <c r="A6546" s="3">
        <v>43070</v>
      </c>
      <c r="B6546" s="3">
        <v>43070</v>
      </c>
      <c r="C6546">
        <v>331.09</v>
      </c>
      <c r="D6546">
        <v>1.1896</v>
      </c>
      <c r="E6546">
        <v>63.73</v>
      </c>
      <c r="F6546">
        <v>306.55</v>
      </c>
      <c r="K6546" s="3"/>
      <c r="O6546" s="3"/>
    </row>
    <row r="6547" spans="1:15">
      <c r="A6547" s="3">
        <v>43071</v>
      </c>
      <c r="B6547" s="3">
        <v>43071</v>
      </c>
      <c r="C6547">
        <v>331.09</v>
      </c>
      <c r="D6547">
        <v>1.1896</v>
      </c>
      <c r="E6547">
        <v>63.73</v>
      </c>
      <c r="F6547">
        <v>306.55</v>
      </c>
      <c r="K6547" s="3"/>
      <c r="O6547" s="3"/>
    </row>
    <row r="6548" spans="1:15">
      <c r="A6548" s="3">
        <v>43072</v>
      </c>
      <c r="B6548" s="3">
        <v>43072</v>
      </c>
      <c r="C6548">
        <v>331.09</v>
      </c>
      <c r="D6548">
        <v>1.1896</v>
      </c>
      <c r="E6548">
        <v>63.73</v>
      </c>
      <c r="F6548">
        <v>306.55</v>
      </c>
      <c r="K6548" s="3"/>
      <c r="O6548" s="3"/>
    </row>
    <row r="6549" spans="1:15">
      <c r="A6549" s="3">
        <v>43073</v>
      </c>
      <c r="B6549" s="3">
        <v>43073</v>
      </c>
      <c r="C6549">
        <v>332.65</v>
      </c>
      <c r="D6549">
        <v>1.1866000000000001</v>
      </c>
      <c r="E6549">
        <v>62.45</v>
      </c>
      <c r="F6549">
        <v>306.3</v>
      </c>
      <c r="K6549" s="3"/>
      <c r="O6549" s="3"/>
    </row>
    <row r="6550" spans="1:15">
      <c r="A6550" s="3">
        <v>43074</v>
      </c>
      <c r="B6550" s="3">
        <v>43074</v>
      </c>
      <c r="C6550">
        <v>333.15</v>
      </c>
      <c r="D6550">
        <v>1.1826000000000001</v>
      </c>
      <c r="E6550">
        <v>62.86</v>
      </c>
      <c r="F6550">
        <v>292.05</v>
      </c>
      <c r="K6550" s="3"/>
      <c r="O6550" s="3"/>
    </row>
    <row r="6551" spans="1:15">
      <c r="A6551" s="3">
        <v>43075</v>
      </c>
      <c r="B6551" s="3">
        <v>43075</v>
      </c>
      <c r="C6551">
        <v>334.01</v>
      </c>
      <c r="D6551">
        <v>1.1796</v>
      </c>
      <c r="E6551">
        <v>61.22</v>
      </c>
      <c r="F6551">
        <v>293.64999999999998</v>
      </c>
      <c r="K6551" s="3"/>
      <c r="O6551" s="3"/>
    </row>
    <row r="6552" spans="1:15">
      <c r="A6552" s="3">
        <v>43076</v>
      </c>
      <c r="B6552" s="3">
        <v>43076</v>
      </c>
      <c r="C6552">
        <v>334.45</v>
      </c>
      <c r="D6552">
        <v>1.1773</v>
      </c>
      <c r="E6552">
        <v>62.2</v>
      </c>
      <c r="F6552">
        <v>294.05</v>
      </c>
      <c r="K6552" s="3"/>
      <c r="O6552" s="3"/>
    </row>
    <row r="6553" spans="1:15">
      <c r="A6553" s="3">
        <v>43077</v>
      </c>
      <c r="B6553" s="3">
        <v>43077</v>
      </c>
      <c r="C6553">
        <v>334.74</v>
      </c>
      <c r="D6553">
        <v>1.1773</v>
      </c>
      <c r="E6553">
        <v>63.4</v>
      </c>
      <c r="F6553">
        <v>295.5</v>
      </c>
      <c r="K6553" s="3"/>
      <c r="O6553" s="3"/>
    </row>
    <row r="6554" spans="1:15">
      <c r="A6554" s="3">
        <v>43078</v>
      </c>
      <c r="B6554" s="3">
        <v>43078</v>
      </c>
      <c r="C6554">
        <v>334.74</v>
      </c>
      <c r="D6554">
        <v>1.1773</v>
      </c>
      <c r="E6554">
        <v>63.4</v>
      </c>
      <c r="F6554">
        <v>295.5</v>
      </c>
      <c r="K6554" s="3"/>
      <c r="O6554" s="3"/>
    </row>
    <row r="6555" spans="1:15">
      <c r="A6555" s="3">
        <v>43079</v>
      </c>
      <c r="B6555" s="3">
        <v>43079</v>
      </c>
      <c r="C6555">
        <v>334.74</v>
      </c>
      <c r="D6555">
        <v>1.1773</v>
      </c>
      <c r="E6555">
        <v>63.4</v>
      </c>
      <c r="F6555">
        <v>295.5</v>
      </c>
      <c r="K6555" s="3"/>
      <c r="O6555" s="3"/>
    </row>
    <row r="6556" spans="1:15">
      <c r="A6556" s="3">
        <v>43080</v>
      </c>
      <c r="B6556" s="3">
        <v>43080</v>
      </c>
      <c r="C6556">
        <v>335.49</v>
      </c>
      <c r="D6556">
        <v>1.1769000000000001</v>
      </c>
      <c r="E6556">
        <v>64.69</v>
      </c>
      <c r="F6556">
        <v>298.8</v>
      </c>
      <c r="K6556" s="3"/>
      <c r="O6556" s="3"/>
    </row>
    <row r="6557" spans="1:15">
      <c r="A6557" s="3">
        <v>43081</v>
      </c>
      <c r="B6557" s="3">
        <v>43081</v>
      </c>
      <c r="C6557">
        <v>334.75</v>
      </c>
      <c r="D6557">
        <v>1.1741999999999999</v>
      </c>
      <c r="E6557">
        <v>63.34</v>
      </c>
      <c r="F6557">
        <v>299.95</v>
      </c>
      <c r="K6557" s="3"/>
      <c r="O6557" s="3"/>
    </row>
    <row r="6558" spans="1:15">
      <c r="A6558" s="3">
        <v>43082</v>
      </c>
      <c r="B6558" s="3">
        <v>43082</v>
      </c>
      <c r="C6558">
        <v>335.51</v>
      </c>
      <c r="D6558">
        <v>1.1826000000000001</v>
      </c>
      <c r="E6558">
        <v>62.44</v>
      </c>
      <c r="F6558">
        <v>302.95</v>
      </c>
      <c r="K6558" s="3"/>
      <c r="O6558" s="3"/>
    </row>
    <row r="6559" spans="1:15">
      <c r="A6559" s="3">
        <v>43083</v>
      </c>
      <c r="B6559" s="3">
        <v>43083</v>
      </c>
      <c r="C6559">
        <v>335.29</v>
      </c>
      <c r="D6559">
        <v>1.1778</v>
      </c>
      <c r="E6559">
        <v>63.31</v>
      </c>
      <c r="F6559">
        <v>304.85000000000002</v>
      </c>
      <c r="K6559" s="3"/>
      <c r="O6559" s="3"/>
    </row>
    <row r="6560" spans="1:15">
      <c r="A6560" s="3">
        <v>43084</v>
      </c>
      <c r="B6560" s="3">
        <v>43084</v>
      </c>
      <c r="C6560">
        <v>335.7</v>
      </c>
      <c r="D6560">
        <v>1.1749000000000001</v>
      </c>
      <c r="E6560">
        <v>63.23</v>
      </c>
      <c r="F6560">
        <v>311</v>
      </c>
      <c r="K6560" s="3"/>
      <c r="O6560" s="3"/>
    </row>
    <row r="6561" spans="1:15">
      <c r="A6561" s="3">
        <v>43085</v>
      </c>
      <c r="B6561" s="3">
        <v>43085</v>
      </c>
      <c r="C6561">
        <v>335.7</v>
      </c>
      <c r="D6561">
        <v>1.1749000000000001</v>
      </c>
      <c r="E6561">
        <v>63.23</v>
      </c>
      <c r="F6561">
        <v>311</v>
      </c>
      <c r="K6561" s="3"/>
      <c r="O6561" s="3"/>
    </row>
    <row r="6562" spans="1:15">
      <c r="A6562" s="3">
        <v>43086</v>
      </c>
      <c r="B6562" s="3">
        <v>43086</v>
      </c>
      <c r="C6562">
        <v>335.7</v>
      </c>
      <c r="D6562">
        <v>1.1749000000000001</v>
      </c>
      <c r="E6562">
        <v>63.23</v>
      </c>
      <c r="F6562">
        <v>311</v>
      </c>
      <c r="K6562" s="3"/>
      <c r="O6562" s="3"/>
    </row>
    <row r="6563" spans="1:15">
      <c r="A6563" s="3">
        <v>43087</v>
      </c>
      <c r="B6563" s="3">
        <v>43087</v>
      </c>
      <c r="C6563">
        <v>336.14</v>
      </c>
      <c r="D6563">
        <v>1.1781999999999999</v>
      </c>
      <c r="E6563">
        <v>63.41</v>
      </c>
      <c r="F6563">
        <v>312.2</v>
      </c>
      <c r="K6563" s="3"/>
      <c r="O6563" s="3"/>
    </row>
    <row r="6564" spans="1:15">
      <c r="A6564" s="3">
        <v>43088</v>
      </c>
      <c r="B6564" s="3">
        <v>43088</v>
      </c>
      <c r="C6564">
        <v>336.14</v>
      </c>
      <c r="D6564">
        <v>1.1839999999999999</v>
      </c>
      <c r="E6564">
        <v>63.8</v>
      </c>
      <c r="F6564">
        <v>312.75</v>
      </c>
      <c r="K6564" s="3"/>
      <c r="O6564" s="3"/>
    </row>
    <row r="6565" spans="1:15">
      <c r="A6565" s="3">
        <v>43089</v>
      </c>
      <c r="B6565" s="3">
        <v>43089</v>
      </c>
      <c r="C6565">
        <v>335.97</v>
      </c>
      <c r="D6565">
        <v>1.1871</v>
      </c>
      <c r="E6565">
        <v>64.56</v>
      </c>
      <c r="F6565">
        <v>317.14999999999998</v>
      </c>
      <c r="K6565" s="3"/>
      <c r="O6565" s="3"/>
    </row>
    <row r="6566" spans="1:15">
      <c r="A6566" s="3">
        <v>43090</v>
      </c>
      <c r="B6566" s="3">
        <v>43090</v>
      </c>
      <c r="C6566">
        <v>334.2</v>
      </c>
      <c r="D6566">
        <v>1.1874</v>
      </c>
      <c r="E6566">
        <v>64.900000000000006</v>
      </c>
      <c r="F6566">
        <v>319.45</v>
      </c>
      <c r="K6566" s="3"/>
      <c r="O6566" s="3"/>
    </row>
    <row r="6567" spans="1:15">
      <c r="A6567" s="3">
        <v>43091</v>
      </c>
      <c r="B6567" s="3">
        <v>43091</v>
      </c>
      <c r="C6567">
        <v>333.08</v>
      </c>
      <c r="D6567">
        <v>1.1861999999999999</v>
      </c>
      <c r="E6567">
        <v>65.25</v>
      </c>
      <c r="F6567">
        <v>321.45</v>
      </c>
      <c r="K6567" s="3"/>
      <c r="O6567" s="3"/>
    </row>
    <row r="6568" spans="1:15">
      <c r="A6568" s="3">
        <v>43092</v>
      </c>
      <c r="B6568" s="3">
        <v>43092</v>
      </c>
      <c r="C6568">
        <v>333.08</v>
      </c>
      <c r="D6568">
        <v>1.1861999999999999</v>
      </c>
      <c r="E6568">
        <v>65.25</v>
      </c>
      <c r="F6568">
        <v>321.45</v>
      </c>
      <c r="K6568" s="3"/>
      <c r="O6568" s="3"/>
    </row>
    <row r="6569" spans="1:15">
      <c r="A6569" s="3">
        <v>43093</v>
      </c>
      <c r="B6569" s="3">
        <v>43093</v>
      </c>
      <c r="C6569">
        <v>333.08</v>
      </c>
      <c r="D6569">
        <v>1.1861999999999999</v>
      </c>
      <c r="E6569">
        <v>65.25</v>
      </c>
      <c r="F6569">
        <v>321.45</v>
      </c>
      <c r="K6569" s="3"/>
      <c r="O6569" s="3"/>
    </row>
    <row r="6570" spans="1:15">
      <c r="A6570" s="3">
        <v>43094</v>
      </c>
      <c r="B6570" s="3">
        <v>43094</v>
      </c>
      <c r="C6570">
        <v>332.73</v>
      </c>
      <c r="D6570">
        <v>1.1870000000000001</v>
      </c>
      <c r="E6570">
        <v>65.25</v>
      </c>
      <c r="F6570">
        <v>321.45</v>
      </c>
      <c r="K6570" s="3"/>
      <c r="O6570" s="3"/>
    </row>
    <row r="6571" spans="1:15">
      <c r="A6571" s="3">
        <v>43095</v>
      </c>
      <c r="B6571" s="3">
        <v>43095</v>
      </c>
      <c r="C6571">
        <v>332.5</v>
      </c>
      <c r="D6571">
        <v>1.1858</v>
      </c>
      <c r="E6571">
        <v>67.02</v>
      </c>
      <c r="F6571">
        <v>325.60000000000002</v>
      </c>
      <c r="K6571" s="3"/>
      <c r="O6571" s="3"/>
    </row>
    <row r="6572" spans="1:15">
      <c r="A6572" s="3">
        <v>43096</v>
      </c>
      <c r="B6572" s="3">
        <v>43096</v>
      </c>
      <c r="C6572">
        <v>331.8</v>
      </c>
      <c r="D6572">
        <v>1.1888000000000001</v>
      </c>
      <c r="E6572">
        <v>66.44</v>
      </c>
      <c r="F6572">
        <v>325.7</v>
      </c>
      <c r="K6572" s="3"/>
      <c r="O6572" s="3"/>
    </row>
    <row r="6573" spans="1:15">
      <c r="A6573" s="3">
        <v>43097</v>
      </c>
      <c r="B6573" s="3">
        <v>43097</v>
      </c>
      <c r="C6573">
        <v>331.17</v>
      </c>
      <c r="D6573">
        <v>1.1942999999999999</v>
      </c>
      <c r="E6573">
        <v>66.72</v>
      </c>
      <c r="F6573">
        <v>330.85</v>
      </c>
      <c r="K6573" s="3"/>
      <c r="O6573" s="3"/>
    </row>
    <row r="6574" spans="1:15">
      <c r="A6574" s="3">
        <v>43098</v>
      </c>
      <c r="B6574" s="3">
        <v>43098</v>
      </c>
      <c r="C6574">
        <v>332.85</v>
      </c>
      <c r="D6574">
        <v>1.2004999999999999</v>
      </c>
      <c r="E6574">
        <v>66.87</v>
      </c>
      <c r="F6574">
        <v>330.05</v>
      </c>
      <c r="K6574" s="3"/>
      <c r="O6574" s="3"/>
    </row>
    <row r="6575" spans="1:15">
      <c r="A6575" s="3">
        <v>43099</v>
      </c>
      <c r="B6575" s="3">
        <v>43099</v>
      </c>
      <c r="C6575">
        <v>332.85</v>
      </c>
      <c r="D6575">
        <v>1.2004999999999999</v>
      </c>
      <c r="E6575">
        <v>66.87</v>
      </c>
      <c r="F6575">
        <v>330.05</v>
      </c>
      <c r="K6575" s="3"/>
      <c r="O6575" s="3"/>
    </row>
    <row r="6576" spans="1:15">
      <c r="A6576" s="3">
        <v>43100</v>
      </c>
      <c r="B6576" s="3">
        <v>43100</v>
      </c>
      <c r="C6576">
        <v>332.85</v>
      </c>
      <c r="D6576">
        <v>1.2004999999999999</v>
      </c>
      <c r="E6576">
        <v>66.87</v>
      </c>
      <c r="F6576">
        <v>330.05</v>
      </c>
      <c r="K6576" s="3"/>
      <c r="O6576" s="3"/>
    </row>
    <row r="6577" spans="1:15">
      <c r="A6577" s="3">
        <v>43101</v>
      </c>
      <c r="B6577" s="3">
        <v>43101</v>
      </c>
      <c r="C6577">
        <v>332.85</v>
      </c>
      <c r="D6577">
        <v>1.2012</v>
      </c>
      <c r="E6577">
        <v>66.87</v>
      </c>
      <c r="F6577">
        <v>330.05</v>
      </c>
      <c r="K6577" s="3"/>
      <c r="O6577" s="3"/>
    </row>
    <row r="6578" spans="1:15">
      <c r="A6578" s="3">
        <v>43102</v>
      </c>
      <c r="B6578" s="3">
        <v>43102</v>
      </c>
      <c r="C6578">
        <v>331.56</v>
      </c>
      <c r="D6578">
        <v>1.2059</v>
      </c>
      <c r="E6578">
        <v>66.569999999999993</v>
      </c>
      <c r="F6578">
        <v>327.8</v>
      </c>
      <c r="K6578" s="3"/>
      <c r="O6578" s="3"/>
    </row>
    <row r="6579" spans="1:15">
      <c r="A6579" s="3">
        <v>43103</v>
      </c>
      <c r="B6579" s="3">
        <v>43103</v>
      </c>
      <c r="C6579">
        <v>333.32</v>
      </c>
      <c r="D6579">
        <v>1.2015</v>
      </c>
      <c r="E6579">
        <v>67.84</v>
      </c>
      <c r="F6579">
        <v>325.75</v>
      </c>
      <c r="K6579" s="3"/>
      <c r="O6579" s="3"/>
    </row>
    <row r="6580" spans="1:15">
      <c r="A6580" s="3">
        <v>43104</v>
      </c>
      <c r="B6580" s="3">
        <v>43104</v>
      </c>
      <c r="C6580">
        <v>332.07</v>
      </c>
      <c r="D6580">
        <v>1.2068000000000001</v>
      </c>
      <c r="E6580">
        <v>68.069999999999993</v>
      </c>
      <c r="F6580">
        <v>326.3</v>
      </c>
      <c r="K6580" s="3"/>
      <c r="O6580" s="3"/>
    </row>
    <row r="6581" spans="1:15">
      <c r="A6581" s="3">
        <v>43105</v>
      </c>
      <c r="B6581" s="3">
        <v>43105</v>
      </c>
      <c r="C6581">
        <v>329.6</v>
      </c>
      <c r="D6581">
        <v>1.2029000000000001</v>
      </c>
      <c r="E6581">
        <v>67.62</v>
      </c>
      <c r="F6581">
        <v>322.95</v>
      </c>
      <c r="K6581" s="3"/>
      <c r="O6581" s="3"/>
    </row>
    <row r="6582" spans="1:15">
      <c r="A6582" s="3">
        <v>43106</v>
      </c>
      <c r="B6582" s="3">
        <v>43106</v>
      </c>
      <c r="C6582">
        <v>329.6</v>
      </c>
      <c r="D6582">
        <v>1.2029000000000001</v>
      </c>
      <c r="E6582">
        <v>67.62</v>
      </c>
      <c r="F6582">
        <v>322.95</v>
      </c>
      <c r="K6582" s="3"/>
      <c r="O6582" s="3"/>
    </row>
    <row r="6583" spans="1:15">
      <c r="A6583" s="3">
        <v>43107</v>
      </c>
      <c r="B6583" s="3">
        <v>43107</v>
      </c>
      <c r="C6583">
        <v>329.6</v>
      </c>
      <c r="D6583">
        <v>1.2029000000000001</v>
      </c>
      <c r="E6583">
        <v>67.62</v>
      </c>
      <c r="F6583">
        <v>322.95</v>
      </c>
      <c r="K6583" s="3"/>
      <c r="O6583" s="3"/>
    </row>
    <row r="6584" spans="1:15">
      <c r="A6584" s="3">
        <v>43108</v>
      </c>
      <c r="B6584" s="3">
        <v>43108</v>
      </c>
      <c r="C6584">
        <v>330.18</v>
      </c>
      <c r="D6584">
        <v>1.1967000000000001</v>
      </c>
      <c r="E6584">
        <v>67.78</v>
      </c>
      <c r="F6584">
        <v>322.39999999999998</v>
      </c>
      <c r="K6584" s="3"/>
      <c r="O6584" s="3"/>
    </row>
    <row r="6585" spans="1:15">
      <c r="A6585" s="3">
        <v>43109</v>
      </c>
      <c r="B6585" s="3">
        <v>43109</v>
      </c>
      <c r="C6585">
        <v>330.77</v>
      </c>
      <c r="D6585">
        <v>1.1937</v>
      </c>
      <c r="E6585">
        <v>68.819999999999993</v>
      </c>
      <c r="F6585">
        <v>321.60000000000002</v>
      </c>
      <c r="K6585" s="3"/>
      <c r="O6585" s="3"/>
    </row>
    <row r="6586" spans="1:15">
      <c r="A6586" s="3">
        <v>43110</v>
      </c>
      <c r="B6586" s="3">
        <v>43110</v>
      </c>
      <c r="C6586">
        <v>330.28</v>
      </c>
      <c r="D6586">
        <v>1.1948000000000001</v>
      </c>
      <c r="E6586">
        <v>69.2</v>
      </c>
      <c r="F6586">
        <v>323.55</v>
      </c>
      <c r="K6586" s="3"/>
      <c r="O6586" s="3"/>
    </row>
    <row r="6587" spans="1:15">
      <c r="A6587" s="3">
        <v>43111</v>
      </c>
      <c r="B6587" s="3">
        <v>43111</v>
      </c>
      <c r="C6587">
        <v>330.18</v>
      </c>
      <c r="D6587">
        <v>1.2032</v>
      </c>
      <c r="E6587">
        <v>69.260000000000005</v>
      </c>
      <c r="F6587">
        <v>323.3</v>
      </c>
      <c r="K6587" s="3"/>
      <c r="O6587" s="3"/>
    </row>
    <row r="6588" spans="1:15">
      <c r="A6588" s="3">
        <v>43112</v>
      </c>
      <c r="B6588" s="3">
        <v>43112</v>
      </c>
      <c r="C6588">
        <v>329.56</v>
      </c>
      <c r="D6588">
        <v>1.2202</v>
      </c>
      <c r="E6588">
        <v>69.87</v>
      </c>
      <c r="F6588">
        <v>321.85000000000002</v>
      </c>
      <c r="K6588" s="3"/>
      <c r="O6588" s="3"/>
    </row>
    <row r="6589" spans="1:15">
      <c r="A6589" s="3">
        <v>43113</v>
      </c>
      <c r="B6589" s="3">
        <v>43113</v>
      </c>
      <c r="C6589">
        <v>329.56</v>
      </c>
      <c r="D6589">
        <v>1.2202</v>
      </c>
      <c r="E6589">
        <v>69.87</v>
      </c>
      <c r="F6589">
        <v>321.85000000000002</v>
      </c>
      <c r="K6589" s="3"/>
      <c r="O6589" s="3"/>
    </row>
    <row r="6590" spans="1:15">
      <c r="A6590" s="3">
        <v>43114</v>
      </c>
      <c r="B6590" s="3">
        <v>43114</v>
      </c>
      <c r="C6590">
        <v>329.56</v>
      </c>
      <c r="D6590">
        <v>1.2202</v>
      </c>
      <c r="E6590">
        <v>69.87</v>
      </c>
      <c r="F6590">
        <v>321.85000000000002</v>
      </c>
      <c r="K6590" s="3"/>
      <c r="O6590" s="3"/>
    </row>
    <row r="6591" spans="1:15">
      <c r="A6591" s="3">
        <v>43115</v>
      </c>
      <c r="B6591" s="3">
        <v>43115</v>
      </c>
      <c r="C6591">
        <v>329.65</v>
      </c>
      <c r="D6591">
        <v>1.2263999999999999</v>
      </c>
      <c r="E6591">
        <v>70.260000000000005</v>
      </c>
      <c r="F6591">
        <v>321.85000000000002</v>
      </c>
      <c r="K6591" s="3"/>
      <c r="O6591" s="3"/>
    </row>
    <row r="6592" spans="1:15">
      <c r="A6592" s="3">
        <v>43116</v>
      </c>
      <c r="B6592" s="3">
        <v>43116</v>
      </c>
      <c r="C6592">
        <v>327.68</v>
      </c>
      <c r="D6592">
        <v>1.226</v>
      </c>
      <c r="E6592">
        <v>69.150000000000006</v>
      </c>
      <c r="F6592">
        <v>321.95</v>
      </c>
      <c r="K6592" s="3"/>
      <c r="O6592" s="3"/>
    </row>
    <row r="6593" spans="1:15">
      <c r="A6593" s="3">
        <v>43117</v>
      </c>
      <c r="B6593" s="3">
        <v>43117</v>
      </c>
      <c r="C6593">
        <v>326.23</v>
      </c>
      <c r="D6593">
        <v>1.2185999999999999</v>
      </c>
      <c r="E6593">
        <v>69.38</v>
      </c>
      <c r="F6593">
        <v>318.89999999999998</v>
      </c>
      <c r="K6593" s="3"/>
      <c r="O6593" s="3"/>
    </row>
    <row r="6594" spans="1:15">
      <c r="A6594" s="3">
        <v>43118</v>
      </c>
      <c r="B6594" s="3">
        <v>43118</v>
      </c>
      <c r="C6594">
        <v>324.61</v>
      </c>
      <c r="D6594">
        <v>1.2238</v>
      </c>
      <c r="E6594">
        <v>69.31</v>
      </c>
      <c r="F6594">
        <v>319.89999999999998</v>
      </c>
      <c r="K6594" s="3"/>
      <c r="O6594" s="3"/>
    </row>
    <row r="6595" spans="1:15">
      <c r="A6595" s="3">
        <v>43119</v>
      </c>
      <c r="B6595" s="3">
        <v>43119</v>
      </c>
      <c r="C6595">
        <v>324.7</v>
      </c>
      <c r="D6595">
        <v>1.2222</v>
      </c>
      <c r="E6595">
        <v>68.61</v>
      </c>
      <c r="F6595">
        <v>318.75</v>
      </c>
      <c r="K6595" s="3"/>
      <c r="O6595" s="3"/>
    </row>
    <row r="6596" spans="1:15">
      <c r="A6596" s="3">
        <v>43120</v>
      </c>
      <c r="B6596" s="3">
        <v>43120</v>
      </c>
      <c r="C6596">
        <v>324.7</v>
      </c>
      <c r="D6596">
        <v>1.2222</v>
      </c>
      <c r="E6596">
        <v>68.61</v>
      </c>
      <c r="F6596">
        <v>318.75</v>
      </c>
      <c r="K6596" s="3"/>
      <c r="O6596" s="3"/>
    </row>
    <row r="6597" spans="1:15">
      <c r="A6597" s="3">
        <v>43121</v>
      </c>
      <c r="B6597" s="3">
        <v>43121</v>
      </c>
      <c r="C6597">
        <v>324.7</v>
      </c>
      <c r="D6597">
        <v>1.2222</v>
      </c>
      <c r="E6597">
        <v>68.61</v>
      </c>
      <c r="F6597">
        <v>318.75</v>
      </c>
      <c r="K6597" s="3"/>
      <c r="O6597" s="3"/>
    </row>
    <row r="6598" spans="1:15">
      <c r="A6598" s="3">
        <v>43122</v>
      </c>
      <c r="B6598" s="3">
        <v>43122</v>
      </c>
      <c r="C6598">
        <v>324.08999999999997</v>
      </c>
      <c r="D6598">
        <v>1.2262</v>
      </c>
      <c r="E6598">
        <v>69.03</v>
      </c>
      <c r="F6598">
        <v>319.85000000000002</v>
      </c>
      <c r="K6598" s="3"/>
      <c r="O6598" s="3"/>
    </row>
    <row r="6599" spans="1:15">
      <c r="A6599" s="3">
        <v>43123</v>
      </c>
      <c r="B6599" s="3">
        <v>43123</v>
      </c>
      <c r="C6599">
        <v>322.58999999999997</v>
      </c>
      <c r="D6599">
        <v>1.2299</v>
      </c>
      <c r="E6599">
        <v>69.959999999999994</v>
      </c>
      <c r="F6599">
        <v>311.10000000000002</v>
      </c>
      <c r="K6599" s="3"/>
      <c r="O6599" s="3"/>
    </row>
    <row r="6600" spans="1:15">
      <c r="A6600" s="3">
        <v>43124</v>
      </c>
      <c r="B6600" s="3">
        <v>43124</v>
      </c>
      <c r="C6600">
        <v>320.85000000000002</v>
      </c>
      <c r="D6600">
        <v>1.2407999999999999</v>
      </c>
      <c r="E6600">
        <v>70.53</v>
      </c>
      <c r="F6600">
        <v>322.85000000000002</v>
      </c>
      <c r="K6600" s="3"/>
      <c r="O6600" s="3"/>
    </row>
    <row r="6601" spans="1:15">
      <c r="A6601" s="3">
        <v>43125</v>
      </c>
      <c r="B6601" s="3">
        <v>43125</v>
      </c>
      <c r="C6601">
        <v>319.79000000000002</v>
      </c>
      <c r="D6601">
        <v>1.2396</v>
      </c>
      <c r="E6601">
        <v>70.42</v>
      </c>
      <c r="F6601">
        <v>321.64999999999998</v>
      </c>
      <c r="K6601" s="3"/>
      <c r="O6601" s="3"/>
    </row>
    <row r="6602" spans="1:15">
      <c r="A6602" s="3">
        <v>43126</v>
      </c>
      <c r="B6602" s="3">
        <v>43126</v>
      </c>
      <c r="C6602">
        <v>321.20999999999998</v>
      </c>
      <c r="D6602">
        <v>1.2426999999999999</v>
      </c>
      <c r="E6602">
        <v>70.52</v>
      </c>
      <c r="F6602">
        <v>319.89999999999998</v>
      </c>
      <c r="K6602" s="3"/>
      <c r="O6602" s="3"/>
    </row>
    <row r="6603" spans="1:15">
      <c r="A6603" s="3">
        <v>43127</v>
      </c>
      <c r="B6603" s="3">
        <v>43127</v>
      </c>
      <c r="C6603">
        <v>321.20999999999998</v>
      </c>
      <c r="D6603">
        <v>1.2426999999999999</v>
      </c>
      <c r="E6603">
        <v>70.52</v>
      </c>
      <c r="F6603">
        <v>319.89999999999998</v>
      </c>
      <c r="K6603" s="3"/>
      <c r="O6603" s="3"/>
    </row>
    <row r="6604" spans="1:15">
      <c r="A6604" s="3">
        <v>43128</v>
      </c>
      <c r="B6604" s="3">
        <v>43128</v>
      </c>
      <c r="C6604">
        <v>321.20999999999998</v>
      </c>
      <c r="D6604">
        <v>1.2426999999999999</v>
      </c>
      <c r="E6604">
        <v>70.52</v>
      </c>
      <c r="F6604">
        <v>319.89999999999998</v>
      </c>
      <c r="K6604" s="3"/>
      <c r="O6604" s="3"/>
    </row>
    <row r="6605" spans="1:15">
      <c r="A6605" s="3">
        <v>43129</v>
      </c>
      <c r="B6605" s="3">
        <v>43129</v>
      </c>
      <c r="C6605">
        <v>322.24</v>
      </c>
      <c r="D6605">
        <v>1.2383</v>
      </c>
      <c r="E6605">
        <v>69.459999999999994</v>
      </c>
      <c r="F6605">
        <v>319.39999999999998</v>
      </c>
      <c r="K6605" s="3"/>
      <c r="O6605" s="3"/>
    </row>
    <row r="6606" spans="1:15">
      <c r="A6606" s="3">
        <v>43130</v>
      </c>
      <c r="B6606" s="3">
        <v>43130</v>
      </c>
      <c r="C6606">
        <v>322.45999999999998</v>
      </c>
      <c r="D6606">
        <v>1.2402</v>
      </c>
      <c r="E6606">
        <v>69.02</v>
      </c>
      <c r="F6606">
        <v>318.89999999999998</v>
      </c>
      <c r="K6606" s="3"/>
      <c r="O6606" s="3"/>
    </row>
    <row r="6607" spans="1:15">
      <c r="A6607" s="3">
        <v>43131</v>
      </c>
      <c r="B6607" s="3">
        <v>43131</v>
      </c>
      <c r="C6607">
        <v>322.85000000000002</v>
      </c>
      <c r="D6607">
        <v>1.2414000000000001</v>
      </c>
      <c r="E6607">
        <v>69.05</v>
      </c>
      <c r="F6607">
        <v>319.55</v>
      </c>
      <c r="K6607" s="3"/>
      <c r="O6607" s="3"/>
    </row>
    <row r="6608" spans="1:15">
      <c r="A6608" s="3">
        <v>43132</v>
      </c>
      <c r="B6608" s="3">
        <v>43132</v>
      </c>
      <c r="C6608">
        <v>322.45</v>
      </c>
      <c r="D6608">
        <v>1.2509999999999999</v>
      </c>
      <c r="E6608">
        <v>69.650000000000006</v>
      </c>
      <c r="F6608">
        <v>320.89999999999998</v>
      </c>
      <c r="K6608" s="3"/>
      <c r="O6608" s="3"/>
    </row>
    <row r="6609" spans="1:15">
      <c r="A6609" s="3">
        <v>43133</v>
      </c>
      <c r="B6609" s="3">
        <v>43133</v>
      </c>
      <c r="C6609">
        <v>321.79000000000002</v>
      </c>
      <c r="D6609">
        <v>1.2463</v>
      </c>
      <c r="E6609">
        <v>68.58</v>
      </c>
      <c r="F6609">
        <v>318.75</v>
      </c>
      <c r="K6609" s="3"/>
      <c r="O6609" s="3"/>
    </row>
    <row r="6610" spans="1:15">
      <c r="A6610" s="3">
        <v>43134</v>
      </c>
      <c r="B6610" s="3">
        <v>43134</v>
      </c>
      <c r="C6610">
        <v>321.79000000000002</v>
      </c>
      <c r="D6610">
        <v>1.2463</v>
      </c>
      <c r="E6610">
        <v>68.58</v>
      </c>
      <c r="F6610">
        <v>318.75</v>
      </c>
      <c r="K6610" s="3"/>
      <c r="O6610" s="3"/>
    </row>
    <row r="6611" spans="1:15">
      <c r="A6611" s="3">
        <v>43135</v>
      </c>
      <c r="B6611" s="3">
        <v>43135</v>
      </c>
      <c r="C6611">
        <v>321.79000000000002</v>
      </c>
      <c r="D6611">
        <v>1.2463</v>
      </c>
      <c r="E6611">
        <v>68.58</v>
      </c>
      <c r="F6611">
        <v>318.75</v>
      </c>
      <c r="K6611" s="3"/>
      <c r="O6611" s="3"/>
    </row>
    <row r="6612" spans="1:15">
      <c r="A6612" s="3">
        <v>43136</v>
      </c>
      <c r="B6612" s="3">
        <v>43136</v>
      </c>
      <c r="C6612">
        <v>322.39</v>
      </c>
      <c r="D6612">
        <v>1.2366999999999999</v>
      </c>
      <c r="E6612">
        <v>67.62</v>
      </c>
      <c r="F6612">
        <v>322.10000000000002</v>
      </c>
      <c r="K6612" s="3"/>
      <c r="O6612" s="3"/>
    </row>
    <row r="6613" spans="1:15">
      <c r="A6613" s="3">
        <v>43137</v>
      </c>
      <c r="B6613" s="3">
        <v>43137</v>
      </c>
      <c r="C6613">
        <v>324.08</v>
      </c>
      <c r="D6613">
        <v>1.2377</v>
      </c>
      <c r="E6613">
        <v>66.86</v>
      </c>
      <c r="F6613">
        <v>318.89999999999998</v>
      </c>
      <c r="K6613" s="3"/>
      <c r="O6613" s="3"/>
    </row>
    <row r="6614" spans="1:15">
      <c r="A6614" s="3">
        <v>43138</v>
      </c>
      <c r="B6614" s="3">
        <v>43138</v>
      </c>
      <c r="C6614">
        <v>323.57</v>
      </c>
      <c r="D6614">
        <v>1.2263999999999999</v>
      </c>
      <c r="E6614">
        <v>65.510000000000005</v>
      </c>
      <c r="F6614">
        <v>308.75</v>
      </c>
      <c r="K6614" s="3"/>
      <c r="O6614" s="3"/>
    </row>
    <row r="6615" spans="1:15">
      <c r="A6615" s="3">
        <v>43139</v>
      </c>
      <c r="B6615" s="3">
        <v>43139</v>
      </c>
      <c r="C6615">
        <v>325.76</v>
      </c>
      <c r="D6615">
        <v>1.2246999999999999</v>
      </c>
      <c r="E6615">
        <v>64.81</v>
      </c>
      <c r="F6615">
        <v>308.2</v>
      </c>
      <c r="K6615" s="3"/>
      <c r="O6615" s="3"/>
    </row>
    <row r="6616" spans="1:15">
      <c r="A6616" s="3">
        <v>43140</v>
      </c>
      <c r="B6616" s="3">
        <v>43140</v>
      </c>
      <c r="C6616">
        <v>327.56</v>
      </c>
      <c r="D6616">
        <v>1.2252000000000001</v>
      </c>
      <c r="E6616">
        <v>62.79</v>
      </c>
      <c r="F6616">
        <v>303.35000000000002</v>
      </c>
      <c r="K6616" s="3"/>
      <c r="O6616" s="3"/>
    </row>
    <row r="6617" spans="1:15">
      <c r="A6617" s="3">
        <v>43141</v>
      </c>
      <c r="B6617" s="3">
        <v>43141</v>
      </c>
      <c r="C6617">
        <v>327.56</v>
      </c>
      <c r="D6617">
        <v>1.2252000000000001</v>
      </c>
      <c r="E6617">
        <v>62.79</v>
      </c>
      <c r="F6617">
        <v>303.35000000000002</v>
      </c>
      <c r="K6617" s="3"/>
      <c r="O6617" s="3"/>
    </row>
    <row r="6618" spans="1:15">
      <c r="A6618" s="3">
        <v>43142</v>
      </c>
      <c r="B6618" s="3">
        <v>43142</v>
      </c>
      <c r="C6618">
        <v>327.56</v>
      </c>
      <c r="D6618">
        <v>1.2252000000000001</v>
      </c>
      <c r="E6618">
        <v>62.79</v>
      </c>
      <c r="F6618">
        <v>303.35000000000002</v>
      </c>
      <c r="K6618" s="3"/>
      <c r="O6618" s="3"/>
    </row>
    <row r="6619" spans="1:15">
      <c r="A6619" s="3">
        <v>43143</v>
      </c>
      <c r="B6619" s="3">
        <v>43143</v>
      </c>
      <c r="C6619">
        <v>325.83</v>
      </c>
      <c r="D6619">
        <v>1.2292000000000001</v>
      </c>
      <c r="E6619">
        <v>62.59</v>
      </c>
      <c r="F6619">
        <v>308.64999999999998</v>
      </c>
      <c r="K6619" s="3"/>
      <c r="O6619" s="3"/>
    </row>
    <row r="6620" spans="1:15">
      <c r="A6620" s="3">
        <v>43144</v>
      </c>
      <c r="B6620" s="3">
        <v>43144</v>
      </c>
      <c r="C6620">
        <v>324.77</v>
      </c>
      <c r="D6620">
        <v>1.2352000000000001</v>
      </c>
      <c r="E6620">
        <v>62.72</v>
      </c>
      <c r="F6620">
        <v>316.25</v>
      </c>
      <c r="K6620" s="3"/>
      <c r="O6620" s="3"/>
    </row>
    <row r="6621" spans="1:15">
      <c r="A6621" s="3">
        <v>43145</v>
      </c>
      <c r="B6621" s="3">
        <v>43145</v>
      </c>
      <c r="C6621">
        <v>323.01</v>
      </c>
      <c r="D6621">
        <v>1.2451000000000001</v>
      </c>
      <c r="E6621">
        <v>64.36</v>
      </c>
      <c r="F6621">
        <v>323.60000000000002</v>
      </c>
      <c r="K6621" s="3"/>
      <c r="O6621" s="3"/>
    </row>
    <row r="6622" spans="1:15">
      <c r="A6622" s="3">
        <v>43146</v>
      </c>
      <c r="B6622" s="3">
        <v>43146</v>
      </c>
      <c r="C6622">
        <v>320.24</v>
      </c>
      <c r="D6622">
        <v>1.2505999999999999</v>
      </c>
      <c r="E6622">
        <v>64.33</v>
      </c>
      <c r="F6622">
        <v>324.55</v>
      </c>
      <c r="K6622" s="3"/>
      <c r="O6622" s="3"/>
    </row>
    <row r="6623" spans="1:15">
      <c r="A6623" s="3">
        <v>43147</v>
      </c>
      <c r="B6623" s="3">
        <v>43147</v>
      </c>
      <c r="C6623">
        <v>319.66000000000003</v>
      </c>
      <c r="D6623">
        <v>1.2405999999999999</v>
      </c>
      <c r="E6623">
        <v>64.84</v>
      </c>
      <c r="F6623">
        <v>324.85000000000002</v>
      </c>
      <c r="K6623" s="3"/>
      <c r="O6623" s="3"/>
    </row>
    <row r="6624" spans="1:15">
      <c r="A6624" s="3">
        <v>43148</v>
      </c>
      <c r="B6624" s="3">
        <v>43148</v>
      </c>
      <c r="C6624">
        <v>319.66000000000003</v>
      </c>
      <c r="D6624">
        <v>1.2405999999999999</v>
      </c>
      <c r="E6624">
        <v>64.84</v>
      </c>
      <c r="F6624">
        <v>324.85000000000002</v>
      </c>
      <c r="K6624" s="3"/>
      <c r="O6624" s="3"/>
    </row>
    <row r="6625" spans="1:15">
      <c r="A6625" s="3">
        <v>43149</v>
      </c>
      <c r="B6625" s="3">
        <v>43149</v>
      </c>
      <c r="C6625">
        <v>319.66000000000003</v>
      </c>
      <c r="D6625">
        <v>1.2405999999999999</v>
      </c>
      <c r="E6625">
        <v>64.84</v>
      </c>
      <c r="F6625">
        <v>324.85000000000002</v>
      </c>
      <c r="K6625" s="3"/>
      <c r="O6625" s="3"/>
    </row>
    <row r="6626" spans="1:15">
      <c r="A6626" s="3">
        <v>43150</v>
      </c>
      <c r="B6626" s="3">
        <v>43150</v>
      </c>
      <c r="C6626">
        <v>319.66000000000003</v>
      </c>
      <c r="D6626">
        <v>1.2406999999999999</v>
      </c>
      <c r="E6626">
        <v>65.67</v>
      </c>
      <c r="F6626">
        <v>324.85000000000002</v>
      </c>
      <c r="K6626" s="3"/>
      <c r="O6626" s="3"/>
    </row>
    <row r="6627" spans="1:15">
      <c r="A6627" s="3">
        <v>43151</v>
      </c>
      <c r="B6627" s="3">
        <v>43151</v>
      </c>
      <c r="C6627">
        <v>319.79000000000002</v>
      </c>
      <c r="D6627">
        <v>1.2337</v>
      </c>
      <c r="E6627">
        <v>65.25</v>
      </c>
      <c r="F6627">
        <v>319.05</v>
      </c>
      <c r="K6627" s="3"/>
      <c r="O6627" s="3"/>
    </row>
    <row r="6628" spans="1:15">
      <c r="A6628" s="3">
        <v>43152</v>
      </c>
      <c r="B6628" s="3">
        <v>43152</v>
      </c>
      <c r="C6628">
        <v>319.39999999999998</v>
      </c>
      <c r="D6628">
        <v>1.2283999999999999</v>
      </c>
      <c r="E6628">
        <v>65.42</v>
      </c>
      <c r="F6628">
        <v>321.60000000000002</v>
      </c>
      <c r="K6628" s="3"/>
      <c r="O6628" s="3"/>
    </row>
    <row r="6629" spans="1:15">
      <c r="A6629" s="3">
        <v>43153</v>
      </c>
      <c r="B6629" s="3">
        <v>43153</v>
      </c>
      <c r="C6629">
        <v>320.35000000000002</v>
      </c>
      <c r="D6629">
        <v>1.2330000000000001</v>
      </c>
      <c r="E6629">
        <v>66.39</v>
      </c>
      <c r="F6629">
        <v>324.14999999999998</v>
      </c>
      <c r="K6629" s="3"/>
      <c r="O6629" s="3"/>
    </row>
    <row r="6630" spans="1:15">
      <c r="A6630" s="3">
        <v>43154</v>
      </c>
      <c r="B6630" s="3">
        <v>43154</v>
      </c>
      <c r="C6630">
        <v>319.58</v>
      </c>
      <c r="D6630">
        <v>1.2295</v>
      </c>
      <c r="E6630">
        <v>67.31</v>
      </c>
      <c r="F6630">
        <v>321.25</v>
      </c>
      <c r="K6630" s="3"/>
      <c r="O6630" s="3"/>
    </row>
    <row r="6631" spans="1:15">
      <c r="A6631" s="3">
        <v>43155</v>
      </c>
      <c r="B6631" s="3">
        <v>43155</v>
      </c>
      <c r="C6631">
        <v>319.58</v>
      </c>
      <c r="D6631">
        <v>1.2295</v>
      </c>
      <c r="E6631">
        <v>67.31</v>
      </c>
      <c r="F6631">
        <v>321.25</v>
      </c>
      <c r="K6631" s="3"/>
      <c r="O6631" s="3"/>
    </row>
    <row r="6632" spans="1:15">
      <c r="A6632" s="3">
        <v>43156</v>
      </c>
      <c r="B6632" s="3">
        <v>43156</v>
      </c>
      <c r="C6632">
        <v>319.58</v>
      </c>
      <c r="D6632">
        <v>1.2295</v>
      </c>
      <c r="E6632">
        <v>67.31</v>
      </c>
      <c r="F6632">
        <v>321.25</v>
      </c>
      <c r="K6632" s="3"/>
      <c r="O6632" s="3"/>
    </row>
    <row r="6633" spans="1:15">
      <c r="A6633" s="3">
        <v>43157</v>
      </c>
      <c r="B6633" s="3">
        <v>43157</v>
      </c>
      <c r="C6633">
        <v>319.23</v>
      </c>
      <c r="D6633">
        <v>1.2317</v>
      </c>
      <c r="E6633">
        <v>67.5</v>
      </c>
      <c r="F6633">
        <v>319.75</v>
      </c>
      <c r="K6633" s="3"/>
      <c r="O6633" s="3"/>
    </row>
    <row r="6634" spans="1:15">
      <c r="A6634" s="3">
        <v>43158</v>
      </c>
      <c r="B6634" s="3">
        <v>43158</v>
      </c>
      <c r="C6634">
        <v>318.86</v>
      </c>
      <c r="D6634">
        <v>1.2233000000000001</v>
      </c>
      <c r="E6634">
        <v>66.63</v>
      </c>
      <c r="F6634">
        <v>315.75</v>
      </c>
      <c r="K6634" s="3"/>
      <c r="O6634" s="3"/>
    </row>
    <row r="6635" spans="1:15">
      <c r="A6635" s="3">
        <v>43159</v>
      </c>
      <c r="B6635" s="3">
        <v>43159</v>
      </c>
      <c r="C6635">
        <v>320.45</v>
      </c>
      <c r="D6635">
        <v>1.2194</v>
      </c>
      <c r="E6635">
        <v>65.78</v>
      </c>
      <c r="F6635">
        <v>310.75</v>
      </c>
      <c r="K6635" s="3"/>
      <c r="O6635" s="3"/>
    </row>
    <row r="6636" spans="1:15">
      <c r="A6636" s="3">
        <v>43160</v>
      </c>
      <c r="B6636" s="3">
        <v>43160</v>
      </c>
      <c r="C6636">
        <v>321.77999999999997</v>
      </c>
      <c r="D6636">
        <v>1.2266999999999999</v>
      </c>
      <c r="E6636">
        <v>63.83</v>
      </c>
      <c r="F6636">
        <v>309.95</v>
      </c>
      <c r="K6636" s="3"/>
      <c r="O6636" s="3"/>
    </row>
    <row r="6637" spans="1:15">
      <c r="A6637" s="3">
        <v>43161</v>
      </c>
      <c r="B6637" s="3">
        <v>43161</v>
      </c>
      <c r="C6637">
        <v>322.39999999999998</v>
      </c>
      <c r="D6637">
        <v>1.2317</v>
      </c>
      <c r="E6637">
        <v>64.37</v>
      </c>
      <c r="F6637">
        <v>310.10000000000002</v>
      </c>
      <c r="K6637" s="3"/>
      <c r="O6637" s="3"/>
    </row>
    <row r="6638" spans="1:15">
      <c r="A6638" s="3">
        <v>43162</v>
      </c>
      <c r="B6638" s="3">
        <v>43162</v>
      </c>
      <c r="C6638">
        <v>322.39999999999998</v>
      </c>
      <c r="D6638">
        <v>1.2317</v>
      </c>
      <c r="E6638">
        <v>64.37</v>
      </c>
      <c r="F6638">
        <v>310.10000000000002</v>
      </c>
      <c r="K6638" s="3"/>
      <c r="O6638" s="3"/>
    </row>
    <row r="6639" spans="1:15">
      <c r="A6639" s="3">
        <v>43163</v>
      </c>
      <c r="B6639" s="3">
        <v>43163</v>
      </c>
      <c r="C6639">
        <v>322.39999999999998</v>
      </c>
      <c r="D6639">
        <v>1.2317</v>
      </c>
      <c r="E6639">
        <v>64.37</v>
      </c>
      <c r="F6639">
        <v>310.10000000000002</v>
      </c>
      <c r="K6639" s="3"/>
      <c r="O6639" s="3"/>
    </row>
    <row r="6640" spans="1:15">
      <c r="A6640" s="3">
        <v>43164</v>
      </c>
      <c r="B6640" s="3">
        <v>43164</v>
      </c>
      <c r="C6640">
        <v>321.10000000000002</v>
      </c>
      <c r="D6640">
        <v>1.2336</v>
      </c>
      <c r="E6640">
        <v>65.540000000000006</v>
      </c>
      <c r="F6640">
        <v>310.55</v>
      </c>
      <c r="K6640" s="3"/>
      <c r="O6640" s="3"/>
    </row>
    <row r="6641" spans="1:15">
      <c r="A6641" s="3">
        <v>43165</v>
      </c>
      <c r="B6641" s="3">
        <v>43165</v>
      </c>
      <c r="C6641">
        <v>319.39</v>
      </c>
      <c r="D6641">
        <v>1.2403999999999999</v>
      </c>
      <c r="E6641">
        <v>65.790000000000006</v>
      </c>
      <c r="F6641">
        <v>313.7</v>
      </c>
      <c r="K6641" s="3"/>
      <c r="O6641" s="3"/>
    </row>
    <row r="6642" spans="1:15">
      <c r="A6642" s="3">
        <v>43166</v>
      </c>
      <c r="B6642" s="3">
        <v>43166</v>
      </c>
      <c r="C6642">
        <v>320.8</v>
      </c>
      <c r="D6642">
        <v>1.2411000000000001</v>
      </c>
      <c r="E6642">
        <v>64.34</v>
      </c>
      <c r="F6642">
        <v>311.39999999999998</v>
      </c>
      <c r="K6642" s="3"/>
      <c r="O6642" s="3"/>
    </row>
    <row r="6643" spans="1:15">
      <c r="A6643" s="3">
        <v>43167</v>
      </c>
      <c r="B6643" s="3">
        <v>43167</v>
      </c>
      <c r="C6643">
        <v>320.95999999999998</v>
      </c>
      <c r="D6643">
        <v>1.2312000000000001</v>
      </c>
      <c r="E6643">
        <v>63.61</v>
      </c>
      <c r="F6643">
        <v>305.85000000000002</v>
      </c>
      <c r="K6643" s="3"/>
      <c r="O6643" s="3"/>
    </row>
    <row r="6644" spans="1:15">
      <c r="A6644" s="3">
        <v>43168</v>
      </c>
      <c r="B6644" s="3">
        <v>43168</v>
      </c>
      <c r="C6644">
        <v>320.77999999999997</v>
      </c>
      <c r="D6644">
        <v>1.2306999999999999</v>
      </c>
      <c r="E6644">
        <v>65.489999999999995</v>
      </c>
      <c r="F6644">
        <v>311.60000000000002</v>
      </c>
      <c r="K6644" s="3"/>
      <c r="O6644" s="3"/>
    </row>
    <row r="6645" spans="1:15">
      <c r="A6645" s="3">
        <v>43169</v>
      </c>
      <c r="B6645" s="3">
        <v>43169</v>
      </c>
      <c r="C6645">
        <v>320.77999999999997</v>
      </c>
      <c r="D6645">
        <v>1.2306999999999999</v>
      </c>
      <c r="E6645">
        <v>65.489999999999995</v>
      </c>
      <c r="F6645">
        <v>311.60000000000002</v>
      </c>
      <c r="K6645" s="3"/>
      <c r="O6645" s="3"/>
    </row>
    <row r="6646" spans="1:15">
      <c r="A6646" s="3">
        <v>43170</v>
      </c>
      <c r="B6646" s="3">
        <v>43170</v>
      </c>
      <c r="C6646">
        <v>320.77999999999997</v>
      </c>
      <c r="D6646">
        <v>1.2306999999999999</v>
      </c>
      <c r="E6646">
        <v>65.489999999999995</v>
      </c>
      <c r="F6646">
        <v>311.60000000000002</v>
      </c>
      <c r="K6646" s="3"/>
      <c r="O6646" s="3"/>
    </row>
    <row r="6647" spans="1:15">
      <c r="A6647" s="3">
        <v>43171</v>
      </c>
      <c r="B6647" s="3">
        <v>43171</v>
      </c>
      <c r="C6647">
        <v>320.97000000000003</v>
      </c>
      <c r="D6647">
        <v>1.2334000000000001</v>
      </c>
      <c r="E6647">
        <v>64.95</v>
      </c>
      <c r="F6647">
        <v>310.39999999999998</v>
      </c>
      <c r="K6647" s="3"/>
      <c r="O6647" s="3"/>
    </row>
    <row r="6648" spans="1:15">
      <c r="A6648" s="3">
        <v>43172</v>
      </c>
      <c r="B6648" s="3">
        <v>43172</v>
      </c>
      <c r="C6648">
        <v>321.05</v>
      </c>
      <c r="D6648">
        <v>1.2390000000000001</v>
      </c>
      <c r="E6648">
        <v>64.64</v>
      </c>
      <c r="F6648">
        <v>311.89999999999998</v>
      </c>
      <c r="K6648" s="3"/>
      <c r="O6648" s="3"/>
    </row>
    <row r="6649" spans="1:15">
      <c r="A6649" s="3">
        <v>43173</v>
      </c>
      <c r="B6649" s="3">
        <v>43173</v>
      </c>
      <c r="C6649">
        <v>322.27999999999997</v>
      </c>
      <c r="D6649">
        <v>1.2367999999999999</v>
      </c>
      <c r="E6649">
        <v>64.89</v>
      </c>
      <c r="F6649">
        <v>314</v>
      </c>
      <c r="K6649" s="3"/>
      <c r="O6649" s="3"/>
    </row>
    <row r="6650" spans="1:15">
      <c r="A6650" s="3">
        <v>43174</v>
      </c>
      <c r="B6650" s="3">
        <v>43174</v>
      </c>
      <c r="C6650">
        <v>321.81</v>
      </c>
      <c r="D6650">
        <v>1.2304999999999999</v>
      </c>
      <c r="E6650">
        <v>65.12</v>
      </c>
      <c r="F6650">
        <v>311.10000000000002</v>
      </c>
      <c r="K6650" s="3"/>
      <c r="O6650" s="3"/>
    </row>
    <row r="6651" spans="1:15">
      <c r="A6651" s="3">
        <v>43175</v>
      </c>
      <c r="B6651" s="3">
        <v>43175</v>
      </c>
      <c r="C6651">
        <v>322.66000000000003</v>
      </c>
      <c r="D6651">
        <v>1.2290000000000001</v>
      </c>
      <c r="E6651">
        <v>66.209999999999994</v>
      </c>
      <c r="F6651">
        <v>309.3</v>
      </c>
      <c r="K6651" s="3"/>
      <c r="O6651" s="3"/>
    </row>
    <row r="6652" spans="1:15">
      <c r="A6652" s="3">
        <v>43176</v>
      </c>
      <c r="B6652" s="3">
        <v>43176</v>
      </c>
      <c r="C6652">
        <v>322.66000000000003</v>
      </c>
      <c r="D6652">
        <v>1.2290000000000001</v>
      </c>
      <c r="E6652">
        <v>66.209999999999994</v>
      </c>
      <c r="F6652">
        <v>309.3</v>
      </c>
      <c r="K6652" s="3"/>
      <c r="O6652" s="3"/>
    </row>
    <row r="6653" spans="1:15">
      <c r="A6653" s="3">
        <v>43177</v>
      </c>
      <c r="B6653" s="3">
        <v>43177</v>
      </c>
      <c r="C6653">
        <v>322.66000000000003</v>
      </c>
      <c r="D6653">
        <v>1.2290000000000001</v>
      </c>
      <c r="E6653">
        <v>66.209999999999994</v>
      </c>
      <c r="F6653">
        <v>309.3</v>
      </c>
      <c r="K6653" s="3"/>
      <c r="O6653" s="3"/>
    </row>
    <row r="6654" spans="1:15">
      <c r="A6654" s="3">
        <v>43178</v>
      </c>
      <c r="B6654" s="3">
        <v>43178</v>
      </c>
      <c r="C6654">
        <v>320.31</v>
      </c>
      <c r="D6654">
        <v>1.2335</v>
      </c>
      <c r="E6654">
        <v>66.05</v>
      </c>
      <c r="F6654">
        <v>306.95</v>
      </c>
      <c r="K6654" s="3"/>
      <c r="O6654" s="3"/>
    </row>
    <row r="6655" spans="1:15">
      <c r="A6655" s="3">
        <v>43179</v>
      </c>
      <c r="B6655" s="3">
        <v>43179</v>
      </c>
      <c r="C6655">
        <v>320.74</v>
      </c>
      <c r="D6655">
        <v>1.2242</v>
      </c>
      <c r="E6655">
        <v>67.42</v>
      </c>
      <c r="F6655">
        <v>302.55</v>
      </c>
      <c r="K6655" s="3"/>
      <c r="O6655" s="3"/>
    </row>
    <row r="6656" spans="1:15">
      <c r="A6656" s="3">
        <v>43180</v>
      </c>
      <c r="B6656" s="3">
        <v>43180</v>
      </c>
      <c r="C6656">
        <v>320.87</v>
      </c>
      <c r="D6656">
        <v>1.2338</v>
      </c>
      <c r="E6656">
        <v>69.47</v>
      </c>
      <c r="F6656">
        <v>304.85000000000002</v>
      </c>
      <c r="K6656" s="3"/>
      <c r="O6656" s="3"/>
    </row>
    <row r="6657" spans="1:15">
      <c r="A6657" s="3">
        <v>43181</v>
      </c>
      <c r="B6657" s="3">
        <v>43181</v>
      </c>
      <c r="C6657">
        <v>320.43</v>
      </c>
      <c r="D6657">
        <v>1.2302</v>
      </c>
      <c r="E6657">
        <v>68.91</v>
      </c>
      <c r="F6657">
        <v>301.2</v>
      </c>
      <c r="K6657" s="3"/>
      <c r="O6657" s="3"/>
    </row>
    <row r="6658" spans="1:15">
      <c r="A6658" s="3">
        <v>43182</v>
      </c>
      <c r="B6658" s="3">
        <v>43182</v>
      </c>
      <c r="C6658">
        <v>320.43</v>
      </c>
      <c r="D6658">
        <v>1.2353000000000001</v>
      </c>
      <c r="E6658">
        <v>70.45</v>
      </c>
      <c r="F6658">
        <v>298.45</v>
      </c>
      <c r="K6658" s="3"/>
      <c r="O6658" s="3"/>
    </row>
    <row r="6659" spans="1:15">
      <c r="A6659" s="3">
        <v>43183</v>
      </c>
      <c r="B6659" s="3">
        <v>43183</v>
      </c>
      <c r="C6659">
        <v>320.43</v>
      </c>
      <c r="D6659">
        <v>1.2353000000000001</v>
      </c>
      <c r="E6659">
        <v>70.45</v>
      </c>
      <c r="F6659">
        <v>298.45</v>
      </c>
      <c r="K6659" s="3"/>
      <c r="O6659" s="3"/>
    </row>
    <row r="6660" spans="1:15">
      <c r="A6660" s="3">
        <v>43184</v>
      </c>
      <c r="B6660" s="3">
        <v>43184</v>
      </c>
      <c r="C6660">
        <v>320.43</v>
      </c>
      <c r="D6660">
        <v>1.2353000000000001</v>
      </c>
      <c r="E6660">
        <v>70.45</v>
      </c>
      <c r="F6660">
        <v>298.45</v>
      </c>
      <c r="K6660" s="3"/>
      <c r="O6660" s="3"/>
    </row>
    <row r="6661" spans="1:15">
      <c r="A6661" s="3">
        <v>43185</v>
      </c>
      <c r="B6661" s="3">
        <v>43185</v>
      </c>
      <c r="C6661">
        <v>319.58999999999997</v>
      </c>
      <c r="D6661">
        <v>1.2444</v>
      </c>
      <c r="E6661">
        <v>70.12</v>
      </c>
      <c r="F6661">
        <v>296.05</v>
      </c>
      <c r="K6661" s="3"/>
      <c r="O6661" s="3"/>
    </row>
    <row r="6662" spans="1:15">
      <c r="A6662" s="3">
        <v>43186</v>
      </c>
      <c r="B6662" s="3">
        <v>43186</v>
      </c>
      <c r="C6662">
        <v>318.75</v>
      </c>
      <c r="D6662">
        <v>1.2403</v>
      </c>
      <c r="E6662">
        <v>70.11</v>
      </c>
      <c r="F6662">
        <v>299.14999999999998</v>
      </c>
      <c r="K6662" s="3"/>
      <c r="O6662" s="3"/>
    </row>
    <row r="6663" spans="1:15">
      <c r="A6663" s="3">
        <v>43187</v>
      </c>
      <c r="B6663" s="3">
        <v>43187</v>
      </c>
      <c r="C6663">
        <v>319.17</v>
      </c>
      <c r="D6663">
        <v>1.2307999999999999</v>
      </c>
      <c r="E6663">
        <v>69.53</v>
      </c>
      <c r="F6663">
        <v>300.2</v>
      </c>
      <c r="K6663" s="3"/>
      <c r="O6663" s="3"/>
    </row>
    <row r="6664" spans="1:15">
      <c r="A6664" s="3">
        <v>43188</v>
      </c>
      <c r="B6664" s="3">
        <v>43188</v>
      </c>
      <c r="C6664">
        <v>319.19</v>
      </c>
      <c r="D6664">
        <v>1.23</v>
      </c>
      <c r="E6664">
        <v>70.27</v>
      </c>
      <c r="F6664">
        <v>302.55</v>
      </c>
      <c r="K6664" s="3"/>
      <c r="O6664" s="3"/>
    </row>
    <row r="6665" spans="1:15">
      <c r="A6665" s="3">
        <v>43189</v>
      </c>
      <c r="B6665" s="3">
        <v>43189</v>
      </c>
      <c r="C6665">
        <v>318.73</v>
      </c>
      <c r="D6665">
        <v>1.2323999999999999</v>
      </c>
      <c r="E6665">
        <v>70.27</v>
      </c>
      <c r="F6665">
        <v>302.55</v>
      </c>
      <c r="K6665" s="3"/>
      <c r="O6665" s="3"/>
    </row>
    <row r="6666" spans="1:15">
      <c r="A6666" s="3">
        <v>43190</v>
      </c>
      <c r="B6666" s="3">
        <v>43190</v>
      </c>
      <c r="C6666">
        <v>318.73</v>
      </c>
      <c r="D6666">
        <v>1.2323999999999999</v>
      </c>
      <c r="E6666">
        <v>70.27</v>
      </c>
      <c r="F6666">
        <v>302.55</v>
      </c>
      <c r="K6666" s="3"/>
      <c r="O6666" s="3"/>
    </row>
    <row r="6667" spans="1:15">
      <c r="A6667" s="3">
        <v>43191</v>
      </c>
      <c r="B6667" s="3">
        <v>43191</v>
      </c>
      <c r="C6667">
        <v>318.73</v>
      </c>
      <c r="D6667">
        <v>1.2323999999999999</v>
      </c>
      <c r="E6667">
        <v>70.27</v>
      </c>
      <c r="F6667">
        <v>302.55</v>
      </c>
      <c r="K6667" s="3"/>
      <c r="O6667" s="3"/>
    </row>
    <row r="6668" spans="1:15">
      <c r="A6668" s="3">
        <v>43192</v>
      </c>
      <c r="B6668" s="3">
        <v>43192</v>
      </c>
      <c r="C6668">
        <v>319.58</v>
      </c>
      <c r="D6668">
        <v>1.2302</v>
      </c>
      <c r="E6668">
        <v>67.64</v>
      </c>
      <c r="F6668">
        <v>305</v>
      </c>
      <c r="K6668" s="3"/>
      <c r="O6668" s="3"/>
    </row>
    <row r="6669" spans="1:15">
      <c r="A6669" s="3">
        <v>43193</v>
      </c>
      <c r="B6669" s="3">
        <v>43193</v>
      </c>
      <c r="C6669">
        <v>320.51</v>
      </c>
      <c r="D6669">
        <v>1.2270000000000001</v>
      </c>
      <c r="E6669">
        <v>68.12</v>
      </c>
      <c r="F6669">
        <v>306.35000000000002</v>
      </c>
      <c r="K6669" s="3"/>
      <c r="O6669" s="3"/>
    </row>
    <row r="6670" spans="1:15">
      <c r="A6670" s="3">
        <v>43194</v>
      </c>
      <c r="B6670" s="3">
        <v>43194</v>
      </c>
      <c r="C6670">
        <v>320.08999999999997</v>
      </c>
      <c r="D6670">
        <v>1.2278</v>
      </c>
      <c r="E6670">
        <v>68.02</v>
      </c>
      <c r="F6670">
        <v>301.05</v>
      </c>
      <c r="K6670" s="3"/>
      <c r="O6670" s="3"/>
    </row>
    <row r="6671" spans="1:15">
      <c r="A6671" s="3">
        <v>43195</v>
      </c>
      <c r="B6671" s="3">
        <v>43195</v>
      </c>
      <c r="C6671">
        <v>319.77</v>
      </c>
      <c r="D6671">
        <v>1.224</v>
      </c>
      <c r="E6671">
        <v>68.33</v>
      </c>
      <c r="F6671">
        <v>307.45</v>
      </c>
      <c r="K6671" s="3"/>
      <c r="O6671" s="3"/>
    </row>
    <row r="6672" spans="1:15">
      <c r="A6672" s="3">
        <v>43196</v>
      </c>
      <c r="B6672" s="3">
        <v>43196</v>
      </c>
      <c r="C6672">
        <v>319.55</v>
      </c>
      <c r="D6672">
        <v>1.2281</v>
      </c>
      <c r="E6672">
        <v>67.11</v>
      </c>
      <c r="F6672">
        <v>305.85000000000002</v>
      </c>
      <c r="K6672" s="3"/>
      <c r="O6672" s="3"/>
    </row>
    <row r="6673" spans="1:15">
      <c r="A6673" s="3">
        <v>43197</v>
      </c>
      <c r="B6673" s="3">
        <v>43197</v>
      </c>
      <c r="C6673">
        <v>319.55</v>
      </c>
      <c r="D6673">
        <v>1.2281</v>
      </c>
      <c r="E6673">
        <v>67.11</v>
      </c>
      <c r="F6673">
        <v>305.85000000000002</v>
      </c>
      <c r="K6673" s="3"/>
      <c r="O6673" s="3"/>
    </row>
    <row r="6674" spans="1:15">
      <c r="A6674" s="3">
        <v>43198</v>
      </c>
      <c r="B6674" s="3">
        <v>43198</v>
      </c>
      <c r="C6674">
        <v>319.55</v>
      </c>
      <c r="D6674">
        <v>1.2281</v>
      </c>
      <c r="E6674">
        <v>67.11</v>
      </c>
      <c r="F6674">
        <v>305.85000000000002</v>
      </c>
      <c r="K6674" s="3"/>
      <c r="O6674" s="3"/>
    </row>
    <row r="6675" spans="1:15">
      <c r="A6675" s="3">
        <v>43199</v>
      </c>
      <c r="B6675" s="3">
        <v>43199</v>
      </c>
      <c r="C6675">
        <v>321.2</v>
      </c>
      <c r="D6675">
        <v>1.2321</v>
      </c>
      <c r="E6675">
        <v>68.650000000000006</v>
      </c>
      <c r="F6675">
        <v>307.7</v>
      </c>
      <c r="K6675" s="3"/>
      <c r="O6675" s="3"/>
    </row>
    <row r="6676" spans="1:15">
      <c r="A6676" s="3">
        <v>43200</v>
      </c>
      <c r="B6676" s="3">
        <v>43200</v>
      </c>
      <c r="C6676">
        <v>327.54000000000002</v>
      </c>
      <c r="D6676">
        <v>1.2356</v>
      </c>
      <c r="E6676">
        <v>71.040000000000006</v>
      </c>
      <c r="F6676">
        <v>313.7</v>
      </c>
      <c r="K6676" s="3"/>
      <c r="O6676" s="3"/>
    </row>
    <row r="6677" spans="1:15">
      <c r="A6677" s="3">
        <v>43201</v>
      </c>
      <c r="B6677" s="3">
        <v>43201</v>
      </c>
      <c r="C6677">
        <v>330.88</v>
      </c>
      <c r="D6677">
        <v>1.2366999999999999</v>
      </c>
      <c r="E6677">
        <v>72.06</v>
      </c>
      <c r="F6677">
        <v>311.7</v>
      </c>
      <c r="K6677" s="3"/>
      <c r="O6677" s="3"/>
    </row>
    <row r="6678" spans="1:15">
      <c r="A6678" s="3">
        <v>43202</v>
      </c>
      <c r="B6678" s="3">
        <v>43202</v>
      </c>
      <c r="C6678">
        <v>328.54</v>
      </c>
      <c r="D6678">
        <v>1.2326999999999999</v>
      </c>
      <c r="E6678">
        <v>72.02</v>
      </c>
      <c r="F6678">
        <v>306.35000000000002</v>
      </c>
      <c r="K6678" s="3"/>
      <c r="O6678" s="3"/>
    </row>
    <row r="6679" spans="1:15">
      <c r="A6679" s="3">
        <v>43203</v>
      </c>
      <c r="B6679" s="3">
        <v>43203</v>
      </c>
      <c r="C6679">
        <v>327.10000000000002</v>
      </c>
      <c r="D6679">
        <v>1.2331000000000001</v>
      </c>
      <c r="E6679">
        <v>72.58</v>
      </c>
      <c r="F6679">
        <v>307.10000000000002</v>
      </c>
      <c r="K6679" s="3"/>
      <c r="O6679" s="3"/>
    </row>
    <row r="6680" spans="1:15">
      <c r="A6680" s="3">
        <v>43204</v>
      </c>
      <c r="B6680" s="3">
        <v>43204</v>
      </c>
      <c r="C6680">
        <v>327.10000000000002</v>
      </c>
      <c r="D6680">
        <v>1.2331000000000001</v>
      </c>
      <c r="E6680">
        <v>72.58</v>
      </c>
      <c r="F6680">
        <v>307.10000000000002</v>
      </c>
      <c r="K6680" s="3"/>
      <c r="O6680" s="3"/>
    </row>
    <row r="6681" spans="1:15">
      <c r="A6681" s="3">
        <v>43205</v>
      </c>
      <c r="B6681" s="3">
        <v>43205</v>
      </c>
      <c r="C6681">
        <v>327.10000000000002</v>
      </c>
      <c r="D6681">
        <v>1.2331000000000001</v>
      </c>
      <c r="E6681">
        <v>72.58</v>
      </c>
      <c r="F6681">
        <v>307.10000000000002</v>
      </c>
      <c r="K6681" s="3"/>
      <c r="O6681" s="3"/>
    </row>
    <row r="6682" spans="1:15">
      <c r="A6682" s="3">
        <v>43206</v>
      </c>
      <c r="B6682" s="3">
        <v>43206</v>
      </c>
      <c r="C6682">
        <v>329.9</v>
      </c>
      <c r="D6682">
        <v>1.238</v>
      </c>
      <c r="E6682">
        <v>71.42</v>
      </c>
      <c r="F6682">
        <v>309.55</v>
      </c>
      <c r="K6682" s="3"/>
      <c r="O6682" s="3"/>
    </row>
    <row r="6683" spans="1:15">
      <c r="A6683" s="3">
        <v>43207</v>
      </c>
      <c r="B6683" s="3">
        <v>43207</v>
      </c>
      <c r="C6683">
        <v>328.67</v>
      </c>
      <c r="D6683">
        <v>1.2370000000000001</v>
      </c>
      <c r="E6683">
        <v>71.58</v>
      </c>
      <c r="F6683">
        <v>307.95</v>
      </c>
      <c r="K6683" s="3"/>
      <c r="O6683" s="3"/>
    </row>
    <row r="6684" spans="1:15">
      <c r="A6684" s="3">
        <v>43208</v>
      </c>
      <c r="B6684" s="3">
        <v>43208</v>
      </c>
      <c r="C6684">
        <v>328.01</v>
      </c>
      <c r="D6684">
        <v>1.2374000000000001</v>
      </c>
      <c r="E6684">
        <v>73.48</v>
      </c>
      <c r="F6684">
        <v>315.85000000000002</v>
      </c>
      <c r="K6684" s="3"/>
      <c r="O6684" s="3"/>
    </row>
    <row r="6685" spans="1:15">
      <c r="A6685" s="3">
        <v>43209</v>
      </c>
      <c r="B6685" s="3">
        <v>43209</v>
      </c>
      <c r="C6685">
        <v>325.79000000000002</v>
      </c>
      <c r="D6685">
        <v>1.2344999999999999</v>
      </c>
      <c r="E6685">
        <v>73.78</v>
      </c>
      <c r="F6685">
        <v>313.2</v>
      </c>
      <c r="K6685" s="3"/>
      <c r="O6685" s="3"/>
    </row>
    <row r="6686" spans="1:15">
      <c r="A6686" s="3">
        <v>43210</v>
      </c>
      <c r="B6686" s="3">
        <v>43210</v>
      </c>
      <c r="C6686">
        <v>326.35000000000002</v>
      </c>
      <c r="D6686">
        <v>1.2287999999999999</v>
      </c>
      <c r="E6686">
        <v>74.06</v>
      </c>
      <c r="F6686">
        <v>313.5</v>
      </c>
      <c r="K6686" s="3"/>
      <c r="O6686" s="3"/>
    </row>
    <row r="6687" spans="1:15">
      <c r="A6687" s="3">
        <v>43211</v>
      </c>
      <c r="B6687" s="3">
        <v>43211</v>
      </c>
      <c r="C6687">
        <v>326.35000000000002</v>
      </c>
      <c r="D6687">
        <v>1.2287999999999999</v>
      </c>
      <c r="E6687">
        <v>74.06</v>
      </c>
      <c r="F6687">
        <v>313.5</v>
      </c>
      <c r="K6687" s="3"/>
      <c r="O6687" s="3"/>
    </row>
    <row r="6688" spans="1:15">
      <c r="A6688" s="3">
        <v>43212</v>
      </c>
      <c r="B6688" s="3">
        <v>43212</v>
      </c>
      <c r="C6688">
        <v>326.35000000000002</v>
      </c>
      <c r="D6688">
        <v>1.2287999999999999</v>
      </c>
      <c r="E6688">
        <v>74.06</v>
      </c>
      <c r="F6688">
        <v>313.5</v>
      </c>
      <c r="K6688" s="3"/>
      <c r="O6688" s="3"/>
    </row>
    <row r="6689" spans="1:15">
      <c r="A6689" s="3">
        <v>43213</v>
      </c>
      <c r="B6689" s="3">
        <v>43213</v>
      </c>
      <c r="C6689">
        <v>327.58999999999997</v>
      </c>
      <c r="D6689">
        <v>1.2209000000000001</v>
      </c>
      <c r="E6689">
        <v>74.709999999999994</v>
      </c>
      <c r="F6689">
        <v>311.05</v>
      </c>
      <c r="K6689" s="3"/>
      <c r="O6689" s="3"/>
    </row>
    <row r="6690" spans="1:15">
      <c r="A6690" s="3">
        <v>43214</v>
      </c>
      <c r="B6690" s="3">
        <v>43214</v>
      </c>
      <c r="C6690">
        <v>326.02</v>
      </c>
      <c r="D6690">
        <v>1.2233000000000001</v>
      </c>
      <c r="E6690">
        <v>73.86</v>
      </c>
      <c r="F6690">
        <v>314.2</v>
      </c>
      <c r="K6690" s="3"/>
      <c r="O6690" s="3"/>
    </row>
    <row r="6691" spans="1:15">
      <c r="A6691" s="3">
        <v>43215</v>
      </c>
      <c r="B6691" s="3">
        <v>43215</v>
      </c>
      <c r="C6691">
        <v>325.73</v>
      </c>
      <c r="D6691">
        <v>1.2161</v>
      </c>
      <c r="E6691">
        <v>74</v>
      </c>
      <c r="F6691">
        <v>313.45</v>
      </c>
      <c r="K6691" s="3"/>
      <c r="O6691" s="3"/>
    </row>
    <row r="6692" spans="1:15">
      <c r="A6692" s="3">
        <v>43216</v>
      </c>
      <c r="B6692" s="3">
        <v>43216</v>
      </c>
      <c r="C6692">
        <v>328.47</v>
      </c>
      <c r="D6692">
        <v>1.2102999999999999</v>
      </c>
      <c r="E6692">
        <v>74.739999999999995</v>
      </c>
      <c r="F6692">
        <v>311.39999999999998</v>
      </c>
      <c r="K6692" s="3"/>
      <c r="O6692" s="3"/>
    </row>
    <row r="6693" spans="1:15">
      <c r="A6693" s="3">
        <v>43217</v>
      </c>
      <c r="B6693" s="3">
        <v>43217</v>
      </c>
      <c r="C6693">
        <v>327.49</v>
      </c>
      <c r="D6693">
        <v>1.2130000000000001</v>
      </c>
      <c r="E6693">
        <v>74.64</v>
      </c>
      <c r="F6693">
        <v>304.60000000000002</v>
      </c>
      <c r="K6693" s="3"/>
      <c r="O6693" s="3"/>
    </row>
    <row r="6694" spans="1:15">
      <c r="A6694" s="3">
        <v>43218</v>
      </c>
      <c r="B6694" s="3">
        <v>43218</v>
      </c>
      <c r="C6694">
        <v>327.49</v>
      </c>
      <c r="D6694">
        <v>1.2130000000000001</v>
      </c>
      <c r="E6694">
        <v>74.64</v>
      </c>
      <c r="F6694">
        <v>304.60000000000002</v>
      </c>
      <c r="K6694" s="3"/>
      <c r="O6694" s="3"/>
    </row>
    <row r="6695" spans="1:15">
      <c r="A6695" s="3">
        <v>43219</v>
      </c>
      <c r="B6695" s="3">
        <v>43219</v>
      </c>
      <c r="C6695">
        <v>327.49</v>
      </c>
      <c r="D6695">
        <v>1.2130000000000001</v>
      </c>
      <c r="E6695">
        <v>74.64</v>
      </c>
      <c r="F6695">
        <v>304.60000000000002</v>
      </c>
      <c r="K6695" s="3"/>
      <c r="O6695" s="3"/>
    </row>
    <row r="6696" spans="1:15">
      <c r="A6696" s="3">
        <v>43220</v>
      </c>
      <c r="B6696" s="3">
        <v>43220</v>
      </c>
      <c r="C6696">
        <v>327.49</v>
      </c>
      <c r="D6696">
        <v>1.2078</v>
      </c>
      <c r="E6696">
        <v>75.17</v>
      </c>
      <c r="F6696">
        <v>305.25</v>
      </c>
      <c r="K6696" s="3"/>
      <c r="O6696" s="3"/>
    </row>
    <row r="6697" spans="1:15">
      <c r="A6697" s="3">
        <v>43221</v>
      </c>
      <c r="B6697" s="3">
        <v>43221</v>
      </c>
      <c r="C6697">
        <v>327.49</v>
      </c>
      <c r="D6697">
        <v>1.1993</v>
      </c>
      <c r="E6697">
        <v>73.13</v>
      </c>
      <c r="F6697">
        <v>301.5</v>
      </c>
      <c r="K6697" s="3"/>
      <c r="O6697" s="3"/>
    </row>
    <row r="6698" spans="1:15">
      <c r="A6698" s="3">
        <v>43222</v>
      </c>
      <c r="B6698" s="3">
        <v>43222</v>
      </c>
      <c r="C6698">
        <v>330.23</v>
      </c>
      <c r="D6698">
        <v>1.1951000000000001</v>
      </c>
      <c r="E6698">
        <v>73.36</v>
      </c>
      <c r="F6698">
        <v>304.75</v>
      </c>
      <c r="K6698" s="3"/>
      <c r="O6698" s="3"/>
    </row>
    <row r="6699" spans="1:15">
      <c r="A6699" s="3">
        <v>43223</v>
      </c>
      <c r="B6699" s="3">
        <v>43223</v>
      </c>
      <c r="C6699">
        <v>329.81</v>
      </c>
      <c r="D6699">
        <v>1.1988000000000001</v>
      </c>
      <c r="E6699">
        <v>73.62</v>
      </c>
      <c r="F6699">
        <v>305.89999999999998</v>
      </c>
      <c r="K6699" s="3"/>
      <c r="O6699" s="3"/>
    </row>
    <row r="6700" spans="1:15">
      <c r="A6700" s="3">
        <v>43224</v>
      </c>
      <c r="B6700" s="3">
        <v>43224</v>
      </c>
      <c r="C6700">
        <v>330.07</v>
      </c>
      <c r="D6700">
        <v>1.196</v>
      </c>
      <c r="E6700">
        <v>74.87</v>
      </c>
      <c r="F6700">
        <v>306.55</v>
      </c>
      <c r="K6700" s="3"/>
      <c r="O6700" s="3"/>
    </row>
    <row r="6701" spans="1:15">
      <c r="A6701" s="3">
        <v>43225</v>
      </c>
      <c r="B6701" s="3">
        <v>43225</v>
      </c>
      <c r="C6701">
        <v>330.07</v>
      </c>
      <c r="D6701">
        <v>1.196</v>
      </c>
      <c r="E6701">
        <v>74.87</v>
      </c>
      <c r="F6701">
        <v>306.55</v>
      </c>
      <c r="K6701" s="3"/>
      <c r="O6701" s="3"/>
    </row>
    <row r="6702" spans="1:15">
      <c r="A6702" s="3">
        <v>43226</v>
      </c>
      <c r="B6702" s="3">
        <v>43226</v>
      </c>
      <c r="C6702">
        <v>330.07</v>
      </c>
      <c r="D6702">
        <v>1.196</v>
      </c>
      <c r="E6702">
        <v>74.87</v>
      </c>
      <c r="F6702">
        <v>306.55</v>
      </c>
      <c r="K6702" s="3"/>
      <c r="O6702" s="3"/>
    </row>
    <row r="6703" spans="1:15">
      <c r="A6703" s="3">
        <v>43227</v>
      </c>
      <c r="B6703" s="3">
        <v>43227</v>
      </c>
      <c r="C6703">
        <v>330.07</v>
      </c>
      <c r="D6703">
        <v>1.1921999999999999</v>
      </c>
      <c r="E6703">
        <v>76.17</v>
      </c>
      <c r="F6703">
        <v>305.95</v>
      </c>
      <c r="K6703" s="3"/>
      <c r="O6703" s="3"/>
    </row>
    <row r="6704" spans="1:15">
      <c r="A6704" s="3">
        <v>43228</v>
      </c>
      <c r="B6704" s="3">
        <v>43228</v>
      </c>
      <c r="C6704">
        <v>330.07</v>
      </c>
      <c r="D6704">
        <v>1.1863999999999999</v>
      </c>
      <c r="E6704">
        <v>74.849999999999994</v>
      </c>
      <c r="F6704">
        <v>304.05</v>
      </c>
      <c r="K6704" s="3"/>
      <c r="O6704" s="3"/>
    </row>
    <row r="6705" spans="1:15">
      <c r="A6705" s="3">
        <v>43229</v>
      </c>
      <c r="B6705" s="3">
        <v>43229</v>
      </c>
      <c r="C6705">
        <v>330.07</v>
      </c>
      <c r="D6705">
        <v>1.1851</v>
      </c>
      <c r="E6705">
        <v>77.209999999999994</v>
      </c>
      <c r="F6705">
        <v>303.95</v>
      </c>
      <c r="K6705" s="3"/>
      <c r="O6705" s="3"/>
    </row>
    <row r="6706" spans="1:15">
      <c r="A6706" s="3">
        <v>43230</v>
      </c>
      <c r="B6706" s="3">
        <v>43230</v>
      </c>
      <c r="C6706">
        <v>329.32</v>
      </c>
      <c r="D6706">
        <v>1.1915</v>
      </c>
      <c r="E6706">
        <v>77.47</v>
      </c>
      <c r="F6706">
        <v>309.25</v>
      </c>
      <c r="K6706" s="3"/>
      <c r="O6706" s="3"/>
    </row>
    <row r="6707" spans="1:15">
      <c r="A6707" s="3">
        <v>43231</v>
      </c>
      <c r="B6707" s="3">
        <v>43231</v>
      </c>
      <c r="C6707">
        <v>327.54000000000002</v>
      </c>
      <c r="D6707">
        <v>1.1942999999999999</v>
      </c>
      <c r="E6707">
        <v>77.12</v>
      </c>
      <c r="F6707">
        <v>309.5</v>
      </c>
      <c r="K6707" s="3"/>
      <c r="O6707" s="3"/>
    </row>
    <row r="6708" spans="1:15">
      <c r="A6708" s="3">
        <v>43232</v>
      </c>
      <c r="B6708" s="3">
        <v>43232</v>
      </c>
      <c r="C6708">
        <v>327.54000000000002</v>
      </c>
      <c r="D6708">
        <v>1.1942999999999999</v>
      </c>
      <c r="E6708">
        <v>77.12</v>
      </c>
      <c r="F6708">
        <v>309.5</v>
      </c>
      <c r="K6708" s="3"/>
      <c r="O6708" s="3"/>
    </row>
    <row r="6709" spans="1:15">
      <c r="A6709" s="3">
        <v>43233</v>
      </c>
      <c r="B6709" s="3">
        <v>43233</v>
      </c>
      <c r="C6709">
        <v>327.54000000000002</v>
      </c>
      <c r="D6709">
        <v>1.1942999999999999</v>
      </c>
      <c r="E6709">
        <v>77.12</v>
      </c>
      <c r="F6709">
        <v>309.5</v>
      </c>
      <c r="K6709" s="3"/>
      <c r="O6709" s="3"/>
    </row>
    <row r="6710" spans="1:15">
      <c r="A6710" s="3">
        <v>43234</v>
      </c>
      <c r="B6710" s="3">
        <v>43234</v>
      </c>
      <c r="C6710">
        <v>328.05</v>
      </c>
      <c r="D6710">
        <v>1.1927000000000001</v>
      </c>
      <c r="E6710">
        <v>78.23</v>
      </c>
      <c r="F6710">
        <v>307.85000000000002</v>
      </c>
      <c r="K6710" s="3"/>
      <c r="O6710" s="3"/>
    </row>
    <row r="6711" spans="1:15">
      <c r="A6711" s="3">
        <v>43235</v>
      </c>
      <c r="B6711" s="3">
        <v>43235</v>
      </c>
      <c r="C6711">
        <v>328.3</v>
      </c>
      <c r="D6711">
        <v>1.1838</v>
      </c>
      <c r="E6711">
        <v>78.430000000000007</v>
      </c>
      <c r="F6711">
        <v>304.25</v>
      </c>
      <c r="K6711" s="3"/>
      <c r="O6711" s="3"/>
    </row>
    <row r="6712" spans="1:15">
      <c r="A6712" s="3">
        <v>43236</v>
      </c>
      <c r="B6712" s="3">
        <v>43236</v>
      </c>
      <c r="C6712">
        <v>329.42</v>
      </c>
      <c r="D6712">
        <v>1.1808000000000001</v>
      </c>
      <c r="E6712">
        <v>79.28</v>
      </c>
      <c r="F6712">
        <v>305.85000000000002</v>
      </c>
      <c r="K6712" s="3"/>
      <c r="O6712" s="3"/>
    </row>
    <row r="6713" spans="1:15">
      <c r="A6713" s="3">
        <v>43237</v>
      </c>
      <c r="B6713" s="3">
        <v>43237</v>
      </c>
      <c r="C6713">
        <v>327.68</v>
      </c>
      <c r="D6713">
        <v>1.1795</v>
      </c>
      <c r="E6713">
        <v>79.3</v>
      </c>
      <c r="F6713">
        <v>307.7</v>
      </c>
      <c r="K6713" s="3"/>
      <c r="O6713" s="3"/>
    </row>
    <row r="6714" spans="1:15">
      <c r="A6714" s="3">
        <v>43238</v>
      </c>
      <c r="B6714" s="3">
        <v>43238</v>
      </c>
      <c r="C6714">
        <v>328.56</v>
      </c>
      <c r="D6714">
        <v>1.1772</v>
      </c>
      <c r="E6714">
        <v>78.510000000000005</v>
      </c>
      <c r="F6714">
        <v>305.10000000000002</v>
      </c>
      <c r="K6714" s="3"/>
      <c r="O6714" s="3"/>
    </row>
    <row r="6715" spans="1:15">
      <c r="A6715" s="3">
        <v>43239</v>
      </c>
      <c r="B6715" s="3">
        <v>43239</v>
      </c>
      <c r="C6715">
        <v>328.56</v>
      </c>
      <c r="D6715">
        <v>1.1772</v>
      </c>
      <c r="E6715">
        <v>78.510000000000005</v>
      </c>
      <c r="F6715">
        <v>305.10000000000002</v>
      </c>
      <c r="K6715" s="3"/>
      <c r="O6715" s="3"/>
    </row>
    <row r="6716" spans="1:15">
      <c r="A6716" s="3">
        <v>43240</v>
      </c>
      <c r="B6716" s="3">
        <v>43240</v>
      </c>
      <c r="C6716">
        <v>328.56</v>
      </c>
      <c r="D6716">
        <v>1.1772</v>
      </c>
      <c r="E6716">
        <v>78.510000000000005</v>
      </c>
      <c r="F6716">
        <v>305.10000000000002</v>
      </c>
      <c r="K6716" s="3"/>
      <c r="O6716" s="3"/>
    </row>
    <row r="6717" spans="1:15">
      <c r="A6717" s="3">
        <v>43241</v>
      </c>
      <c r="B6717" s="3">
        <v>43241</v>
      </c>
      <c r="C6717">
        <v>329.31</v>
      </c>
      <c r="D6717">
        <v>1.1791</v>
      </c>
      <c r="E6717">
        <v>79.22</v>
      </c>
      <c r="F6717">
        <v>308.55</v>
      </c>
      <c r="K6717" s="3"/>
      <c r="O6717" s="3"/>
    </row>
    <row r="6718" spans="1:15">
      <c r="A6718" s="3">
        <v>43242</v>
      </c>
      <c r="B6718" s="3">
        <v>43242</v>
      </c>
      <c r="C6718">
        <v>327.94</v>
      </c>
      <c r="D6718">
        <v>1.1778999999999999</v>
      </c>
      <c r="E6718">
        <v>79.569999999999993</v>
      </c>
      <c r="F6718">
        <v>311.89999999999998</v>
      </c>
      <c r="K6718" s="3"/>
      <c r="O6718" s="3"/>
    </row>
    <row r="6719" spans="1:15">
      <c r="A6719" s="3">
        <v>43243</v>
      </c>
      <c r="B6719" s="3">
        <v>43243</v>
      </c>
      <c r="C6719">
        <v>325.93</v>
      </c>
      <c r="D6719">
        <v>1.1697</v>
      </c>
      <c r="E6719">
        <v>79.8</v>
      </c>
      <c r="F6719">
        <v>306.05</v>
      </c>
      <c r="K6719" s="3"/>
      <c r="O6719" s="3"/>
    </row>
    <row r="6720" spans="1:15">
      <c r="A6720" s="3">
        <v>43244</v>
      </c>
      <c r="B6720" s="3">
        <v>43244</v>
      </c>
      <c r="C6720">
        <v>326.08</v>
      </c>
      <c r="D6720">
        <v>1.1719999999999999</v>
      </c>
      <c r="E6720">
        <v>78.790000000000006</v>
      </c>
      <c r="F6720">
        <v>308.55</v>
      </c>
      <c r="K6720" s="3"/>
      <c r="O6720" s="3"/>
    </row>
    <row r="6721" spans="1:15">
      <c r="A6721" s="3">
        <v>43245</v>
      </c>
      <c r="B6721" s="3">
        <v>43245</v>
      </c>
      <c r="C6721">
        <v>328.11</v>
      </c>
      <c r="D6721">
        <v>1.1651</v>
      </c>
      <c r="E6721">
        <v>76.44</v>
      </c>
      <c r="F6721">
        <v>306.7</v>
      </c>
      <c r="K6721" s="3"/>
      <c r="O6721" s="3"/>
    </row>
    <row r="6722" spans="1:15">
      <c r="A6722" s="3">
        <v>43246</v>
      </c>
      <c r="B6722" s="3">
        <v>43246</v>
      </c>
      <c r="C6722">
        <v>328.11</v>
      </c>
      <c r="D6722">
        <v>1.1651</v>
      </c>
      <c r="E6722">
        <v>76.44</v>
      </c>
      <c r="F6722">
        <v>306.7</v>
      </c>
      <c r="K6722" s="3"/>
      <c r="O6722" s="3"/>
    </row>
    <row r="6723" spans="1:15">
      <c r="A6723" s="3">
        <v>43247</v>
      </c>
      <c r="B6723" s="3">
        <v>43247</v>
      </c>
      <c r="C6723">
        <v>328.11</v>
      </c>
      <c r="D6723">
        <v>1.1651</v>
      </c>
      <c r="E6723">
        <v>76.44</v>
      </c>
      <c r="F6723">
        <v>306.7</v>
      </c>
      <c r="K6723" s="3"/>
      <c r="O6723" s="3"/>
    </row>
    <row r="6724" spans="1:15">
      <c r="A6724" s="3">
        <v>43248</v>
      </c>
      <c r="B6724" s="3">
        <v>43248</v>
      </c>
      <c r="C6724">
        <v>328.11</v>
      </c>
      <c r="D6724">
        <v>1.1625000000000001</v>
      </c>
      <c r="E6724">
        <v>75.3</v>
      </c>
      <c r="F6724">
        <v>306.7</v>
      </c>
      <c r="K6724" s="3"/>
      <c r="O6724" s="3"/>
    </row>
    <row r="6725" spans="1:15">
      <c r="A6725" s="3">
        <v>43249</v>
      </c>
      <c r="B6725" s="3">
        <v>43249</v>
      </c>
      <c r="C6725">
        <v>329.42</v>
      </c>
      <c r="D6725">
        <v>1.1539999999999999</v>
      </c>
      <c r="E6725">
        <v>75.39</v>
      </c>
      <c r="F6725">
        <v>305.2</v>
      </c>
      <c r="K6725" s="3"/>
      <c r="O6725" s="3"/>
    </row>
    <row r="6726" spans="1:15">
      <c r="A6726" s="3">
        <v>43250</v>
      </c>
      <c r="B6726" s="3">
        <v>43250</v>
      </c>
      <c r="C6726">
        <v>329.91</v>
      </c>
      <c r="D6726">
        <v>1.1665000000000001</v>
      </c>
      <c r="E6726">
        <v>77.5</v>
      </c>
      <c r="F6726">
        <v>306.89999999999998</v>
      </c>
      <c r="K6726" s="3"/>
      <c r="O6726" s="3"/>
    </row>
    <row r="6727" spans="1:15">
      <c r="A6727" s="3">
        <v>43251</v>
      </c>
      <c r="B6727" s="3">
        <v>43251</v>
      </c>
      <c r="C6727">
        <v>329.41</v>
      </c>
      <c r="D6727">
        <v>1.1693</v>
      </c>
      <c r="E6727">
        <v>77.59</v>
      </c>
      <c r="F6727">
        <v>306.5</v>
      </c>
      <c r="K6727" s="3"/>
      <c r="O6727" s="3"/>
    </row>
    <row r="6728" spans="1:15">
      <c r="A6728" s="3">
        <v>43252</v>
      </c>
      <c r="B6728" s="3">
        <v>43252</v>
      </c>
      <c r="C6728">
        <v>330.91</v>
      </c>
      <c r="D6728">
        <v>1.1658999999999999</v>
      </c>
      <c r="E6728">
        <v>76.790000000000006</v>
      </c>
      <c r="F6728">
        <v>309.85000000000002</v>
      </c>
      <c r="K6728" s="3"/>
      <c r="O6728" s="3"/>
    </row>
    <row r="6729" spans="1:15">
      <c r="A6729" s="3">
        <v>43253</v>
      </c>
      <c r="B6729" s="3">
        <v>43253</v>
      </c>
      <c r="C6729">
        <v>330.91</v>
      </c>
      <c r="D6729">
        <v>1.1658999999999999</v>
      </c>
      <c r="E6729">
        <v>76.790000000000006</v>
      </c>
      <c r="F6729">
        <v>309.85000000000002</v>
      </c>
      <c r="K6729" s="3"/>
      <c r="O6729" s="3"/>
    </row>
    <row r="6730" spans="1:15">
      <c r="A6730" s="3">
        <v>43254</v>
      </c>
      <c r="B6730" s="3">
        <v>43254</v>
      </c>
      <c r="C6730">
        <v>330.91</v>
      </c>
      <c r="D6730">
        <v>1.1658999999999999</v>
      </c>
      <c r="E6730">
        <v>76.790000000000006</v>
      </c>
      <c r="F6730">
        <v>309.85000000000002</v>
      </c>
      <c r="K6730" s="3"/>
      <c r="O6730" s="3"/>
    </row>
    <row r="6731" spans="1:15">
      <c r="A6731" s="3">
        <v>43255</v>
      </c>
      <c r="B6731" s="3">
        <v>43255</v>
      </c>
      <c r="C6731">
        <v>331.04</v>
      </c>
      <c r="D6731">
        <v>1.1698999999999999</v>
      </c>
      <c r="E6731">
        <v>75.290000000000006</v>
      </c>
      <c r="F6731">
        <v>313.45</v>
      </c>
      <c r="K6731" s="3"/>
      <c r="O6731" s="3"/>
    </row>
    <row r="6732" spans="1:15">
      <c r="A6732" s="3">
        <v>43256</v>
      </c>
      <c r="B6732" s="3">
        <v>43256</v>
      </c>
      <c r="C6732">
        <v>330.67</v>
      </c>
      <c r="D6732">
        <v>1.1718</v>
      </c>
      <c r="E6732">
        <v>75.38</v>
      </c>
      <c r="F6732">
        <v>319.85000000000002</v>
      </c>
      <c r="K6732" s="3"/>
      <c r="O6732" s="3"/>
    </row>
    <row r="6733" spans="1:15">
      <c r="A6733" s="3">
        <v>43257</v>
      </c>
      <c r="B6733" s="3">
        <v>43257</v>
      </c>
      <c r="C6733">
        <v>332.51</v>
      </c>
      <c r="D6733">
        <v>1.1774</v>
      </c>
      <c r="E6733">
        <v>75.36</v>
      </c>
      <c r="F6733">
        <v>326.2</v>
      </c>
      <c r="K6733" s="3"/>
      <c r="O6733" s="3"/>
    </row>
    <row r="6734" spans="1:15">
      <c r="A6734" s="3">
        <v>43258</v>
      </c>
      <c r="B6734" s="3">
        <v>43258</v>
      </c>
      <c r="C6734">
        <v>333.69</v>
      </c>
      <c r="D6734">
        <v>1.18</v>
      </c>
      <c r="E6734">
        <v>77.319999999999993</v>
      </c>
      <c r="F6734">
        <v>327.5</v>
      </c>
      <c r="K6734" s="3"/>
      <c r="O6734" s="3"/>
    </row>
    <row r="6735" spans="1:15">
      <c r="A6735" s="3">
        <v>43259</v>
      </c>
      <c r="B6735" s="3">
        <v>43259</v>
      </c>
      <c r="C6735">
        <v>334.31</v>
      </c>
      <c r="D6735">
        <v>1.1769000000000001</v>
      </c>
      <c r="E6735">
        <v>76.459999999999994</v>
      </c>
      <c r="F6735">
        <v>330</v>
      </c>
      <c r="K6735" s="3"/>
      <c r="O6735" s="3"/>
    </row>
    <row r="6736" spans="1:15">
      <c r="A6736" s="3">
        <v>43260</v>
      </c>
      <c r="B6736" s="3">
        <v>43260</v>
      </c>
      <c r="C6736">
        <v>334.31</v>
      </c>
      <c r="D6736">
        <v>1.1769000000000001</v>
      </c>
      <c r="E6736">
        <v>76.459999999999994</v>
      </c>
      <c r="F6736">
        <v>330</v>
      </c>
      <c r="K6736" s="3"/>
      <c r="O6736" s="3"/>
    </row>
    <row r="6737" spans="1:15">
      <c r="A6737" s="3">
        <v>43261</v>
      </c>
      <c r="B6737" s="3">
        <v>43261</v>
      </c>
      <c r="C6737">
        <v>334.31</v>
      </c>
      <c r="D6737">
        <v>1.1769000000000001</v>
      </c>
      <c r="E6737">
        <v>76.459999999999994</v>
      </c>
      <c r="F6737">
        <v>330</v>
      </c>
      <c r="K6737" s="3"/>
      <c r="O6737" s="3"/>
    </row>
    <row r="6738" spans="1:15">
      <c r="A6738" s="3">
        <v>43262</v>
      </c>
      <c r="B6738" s="3">
        <v>43262</v>
      </c>
      <c r="C6738">
        <v>333.92</v>
      </c>
      <c r="D6738">
        <v>1.1783999999999999</v>
      </c>
      <c r="E6738">
        <v>76.459999999999994</v>
      </c>
      <c r="F6738">
        <v>325.7</v>
      </c>
      <c r="K6738" s="3"/>
      <c r="O6738" s="3"/>
    </row>
    <row r="6739" spans="1:15">
      <c r="A6739" s="3">
        <v>43263</v>
      </c>
      <c r="B6739" s="3">
        <v>43263</v>
      </c>
      <c r="C6739">
        <v>334.51</v>
      </c>
      <c r="D6739">
        <v>1.1745000000000001</v>
      </c>
      <c r="E6739">
        <v>75.88</v>
      </c>
      <c r="F6739">
        <v>324.95</v>
      </c>
      <c r="K6739" s="3"/>
      <c r="O6739" s="3"/>
    </row>
    <row r="6740" spans="1:15">
      <c r="A6740" s="3">
        <v>43264</v>
      </c>
      <c r="B6740" s="3">
        <v>43264</v>
      </c>
      <c r="C6740">
        <v>336.11</v>
      </c>
      <c r="D6740">
        <v>1.1791</v>
      </c>
      <c r="E6740">
        <v>76.739999999999995</v>
      </c>
      <c r="F6740">
        <v>325.39999999999998</v>
      </c>
      <c r="K6740" s="3"/>
      <c r="O6740" s="3"/>
    </row>
    <row r="6741" spans="1:15">
      <c r="A6741" s="3">
        <v>43265</v>
      </c>
      <c r="B6741" s="3">
        <v>43265</v>
      </c>
      <c r="C6741">
        <v>335.77</v>
      </c>
      <c r="D6741">
        <v>1.1568000000000001</v>
      </c>
      <c r="E6741">
        <v>75.94</v>
      </c>
      <c r="F6741">
        <v>322.2</v>
      </c>
      <c r="K6741" s="3"/>
      <c r="O6741" s="3"/>
    </row>
    <row r="6742" spans="1:15">
      <c r="A6742" s="3">
        <v>43266</v>
      </c>
      <c r="B6742" s="3">
        <v>43266</v>
      </c>
      <c r="C6742">
        <v>336.71</v>
      </c>
      <c r="D6742">
        <v>1.161</v>
      </c>
      <c r="E6742">
        <v>73.44</v>
      </c>
      <c r="F6742">
        <v>314.45</v>
      </c>
      <c r="K6742" s="3"/>
      <c r="O6742" s="3"/>
    </row>
    <row r="6743" spans="1:15">
      <c r="A6743" s="3">
        <v>43267</v>
      </c>
      <c r="B6743" s="3">
        <v>43267</v>
      </c>
      <c r="C6743">
        <v>336.71</v>
      </c>
      <c r="D6743">
        <v>1.161</v>
      </c>
      <c r="E6743">
        <v>73.44</v>
      </c>
      <c r="F6743">
        <v>314.45</v>
      </c>
      <c r="K6743" s="3"/>
      <c r="O6743" s="3"/>
    </row>
    <row r="6744" spans="1:15">
      <c r="A6744" s="3">
        <v>43268</v>
      </c>
      <c r="B6744" s="3">
        <v>43268</v>
      </c>
      <c r="C6744">
        <v>336.71</v>
      </c>
      <c r="D6744">
        <v>1.161</v>
      </c>
      <c r="E6744">
        <v>73.44</v>
      </c>
      <c r="F6744">
        <v>314.45</v>
      </c>
      <c r="K6744" s="3"/>
      <c r="O6744" s="3"/>
    </row>
    <row r="6745" spans="1:15">
      <c r="A6745" s="3">
        <v>43269</v>
      </c>
      <c r="B6745" s="3">
        <v>43269</v>
      </c>
      <c r="C6745">
        <v>339.56</v>
      </c>
      <c r="D6745">
        <v>1.1623000000000001</v>
      </c>
      <c r="E6745">
        <v>75.34</v>
      </c>
      <c r="F6745">
        <v>310.64999999999998</v>
      </c>
      <c r="K6745" s="3"/>
      <c r="O6745" s="3"/>
    </row>
    <row r="6746" spans="1:15">
      <c r="A6746" s="3">
        <v>43270</v>
      </c>
      <c r="B6746" s="3">
        <v>43270</v>
      </c>
      <c r="C6746">
        <v>340.86</v>
      </c>
      <c r="D6746">
        <v>1.159</v>
      </c>
      <c r="E6746">
        <v>75.08</v>
      </c>
      <c r="F6746">
        <v>304.7</v>
      </c>
      <c r="K6746" s="3"/>
      <c r="O6746" s="3"/>
    </row>
    <row r="6747" spans="1:15">
      <c r="A6747" s="3">
        <v>43271</v>
      </c>
      <c r="B6747" s="3">
        <v>43271</v>
      </c>
      <c r="C6747">
        <v>340.83</v>
      </c>
      <c r="D6747">
        <v>1.1572</v>
      </c>
      <c r="E6747">
        <v>74.739999999999995</v>
      </c>
      <c r="F6747">
        <v>304.05</v>
      </c>
      <c r="K6747" s="3"/>
      <c r="O6747" s="3"/>
    </row>
    <row r="6748" spans="1:15">
      <c r="A6748" s="3">
        <v>43272</v>
      </c>
      <c r="B6748" s="3">
        <v>43272</v>
      </c>
      <c r="C6748">
        <v>341.46</v>
      </c>
      <c r="D6748">
        <v>1.1604000000000001</v>
      </c>
      <c r="E6748">
        <v>73.05</v>
      </c>
      <c r="F6748">
        <v>302.14999999999998</v>
      </c>
      <c r="K6748" s="3"/>
      <c r="O6748" s="3"/>
    </row>
    <row r="6749" spans="1:15">
      <c r="A6749" s="3">
        <v>43273</v>
      </c>
      <c r="B6749" s="3">
        <v>43273</v>
      </c>
      <c r="C6749">
        <v>339.86</v>
      </c>
      <c r="D6749">
        <v>1.1651</v>
      </c>
      <c r="E6749">
        <v>75.55</v>
      </c>
      <c r="F6749">
        <v>302.7</v>
      </c>
      <c r="K6749" s="3"/>
      <c r="O6749" s="3"/>
    </row>
    <row r="6750" spans="1:15">
      <c r="A6750" s="3">
        <v>43274</v>
      </c>
      <c r="B6750" s="3">
        <v>43274</v>
      </c>
      <c r="C6750">
        <v>339.86</v>
      </c>
      <c r="D6750">
        <v>1.1651</v>
      </c>
      <c r="E6750">
        <v>75.55</v>
      </c>
      <c r="F6750">
        <v>302.7</v>
      </c>
      <c r="K6750" s="3"/>
      <c r="O6750" s="3"/>
    </row>
    <row r="6751" spans="1:15">
      <c r="A6751" s="3">
        <v>43275</v>
      </c>
      <c r="B6751" s="3">
        <v>43275</v>
      </c>
      <c r="C6751">
        <v>339.86</v>
      </c>
      <c r="D6751">
        <v>1.1651</v>
      </c>
      <c r="E6751">
        <v>75.55</v>
      </c>
      <c r="F6751">
        <v>302.7</v>
      </c>
      <c r="K6751" s="3"/>
      <c r="O6751" s="3"/>
    </row>
    <row r="6752" spans="1:15">
      <c r="A6752" s="3">
        <v>43276</v>
      </c>
      <c r="B6752" s="3">
        <v>43276</v>
      </c>
      <c r="C6752">
        <v>339.41</v>
      </c>
      <c r="D6752">
        <v>1.1704000000000001</v>
      </c>
      <c r="E6752">
        <v>74.73</v>
      </c>
      <c r="F6752">
        <v>298.7</v>
      </c>
      <c r="K6752" s="3"/>
      <c r="O6752" s="3"/>
    </row>
    <row r="6753" spans="1:15">
      <c r="A6753" s="3">
        <v>43277</v>
      </c>
      <c r="B6753" s="3">
        <v>43277</v>
      </c>
      <c r="C6753">
        <v>339.32</v>
      </c>
      <c r="D6753">
        <v>1.1648000000000001</v>
      </c>
      <c r="E6753">
        <v>76.31</v>
      </c>
      <c r="F6753">
        <v>299.2</v>
      </c>
      <c r="K6753" s="3"/>
      <c r="O6753" s="3"/>
    </row>
    <row r="6754" spans="1:15">
      <c r="A6754" s="3">
        <v>43278</v>
      </c>
      <c r="B6754" s="3">
        <v>43278</v>
      </c>
      <c r="C6754">
        <v>340.86</v>
      </c>
      <c r="D6754">
        <v>1.1554</v>
      </c>
      <c r="E6754">
        <v>77.62</v>
      </c>
      <c r="F6754">
        <v>298.45</v>
      </c>
      <c r="K6754" s="3"/>
      <c r="O6754" s="3"/>
    </row>
    <row r="6755" spans="1:15">
      <c r="A6755" s="3">
        <v>43279</v>
      </c>
      <c r="B6755" s="3">
        <v>43279</v>
      </c>
      <c r="C6755">
        <v>341.67</v>
      </c>
      <c r="D6755">
        <v>1.1569</v>
      </c>
      <c r="E6755">
        <v>77.849999999999994</v>
      </c>
      <c r="F6755">
        <v>295.35000000000002</v>
      </c>
      <c r="K6755" s="3"/>
      <c r="O6755" s="3"/>
    </row>
    <row r="6756" spans="1:15">
      <c r="A6756" s="3">
        <v>43280</v>
      </c>
      <c r="B6756" s="3">
        <v>43280</v>
      </c>
      <c r="C6756">
        <v>341.28</v>
      </c>
      <c r="D6756">
        <v>1.1684000000000001</v>
      </c>
      <c r="E6756">
        <v>79.44</v>
      </c>
      <c r="F6756">
        <v>295.10000000000002</v>
      </c>
      <c r="K6756" s="3"/>
      <c r="O6756" s="3"/>
    </row>
    <row r="6757" spans="1:15">
      <c r="A6757" s="3">
        <v>43281</v>
      </c>
      <c r="B6757" s="3">
        <v>43281</v>
      </c>
      <c r="C6757">
        <v>341.28</v>
      </c>
      <c r="D6757">
        <v>1.1684000000000001</v>
      </c>
      <c r="E6757">
        <v>79.44</v>
      </c>
      <c r="F6757">
        <v>295.10000000000002</v>
      </c>
      <c r="K6757" s="3"/>
      <c r="O6757" s="3"/>
    </row>
    <row r="6758" spans="1:15">
      <c r="A6758" s="3">
        <v>43282</v>
      </c>
      <c r="B6758" s="3">
        <v>43282</v>
      </c>
      <c r="C6758">
        <v>341.28</v>
      </c>
      <c r="D6758">
        <v>1.1684000000000001</v>
      </c>
      <c r="E6758">
        <v>79.44</v>
      </c>
      <c r="F6758">
        <v>295.10000000000002</v>
      </c>
      <c r="K6758" s="3"/>
      <c r="O6758" s="3"/>
    </row>
    <row r="6759" spans="1:15">
      <c r="A6759" s="3">
        <v>43283</v>
      </c>
      <c r="B6759" s="3">
        <v>43283</v>
      </c>
      <c r="C6759">
        <v>341.81</v>
      </c>
      <c r="D6759">
        <v>1.1638999999999999</v>
      </c>
      <c r="E6759">
        <v>77.3</v>
      </c>
      <c r="F6759">
        <v>293.14999999999998</v>
      </c>
      <c r="K6759" s="3"/>
      <c r="O6759" s="3"/>
    </row>
    <row r="6760" spans="1:15">
      <c r="A6760" s="3">
        <v>43284</v>
      </c>
      <c r="B6760" s="3">
        <v>43284</v>
      </c>
      <c r="C6760">
        <v>342.99</v>
      </c>
      <c r="D6760">
        <v>1.1657999999999999</v>
      </c>
      <c r="E6760">
        <v>77.760000000000005</v>
      </c>
      <c r="F6760">
        <v>290.60000000000002</v>
      </c>
      <c r="K6760" s="3"/>
      <c r="O6760" s="3"/>
    </row>
    <row r="6761" spans="1:15">
      <c r="A6761" s="3">
        <v>43285</v>
      </c>
      <c r="B6761" s="3">
        <v>43285</v>
      </c>
      <c r="C6761">
        <v>342.99</v>
      </c>
      <c r="D6761">
        <v>1.1657</v>
      </c>
      <c r="E6761">
        <v>78.239999999999995</v>
      </c>
      <c r="F6761">
        <v>290.60000000000002</v>
      </c>
      <c r="K6761" s="3"/>
      <c r="O6761" s="3"/>
    </row>
    <row r="6762" spans="1:15">
      <c r="A6762" s="3">
        <v>43286</v>
      </c>
      <c r="B6762" s="3">
        <v>43286</v>
      </c>
      <c r="C6762">
        <v>343.49</v>
      </c>
      <c r="D6762">
        <v>1.1691</v>
      </c>
      <c r="E6762">
        <v>77.39</v>
      </c>
      <c r="F6762">
        <v>281.39999999999998</v>
      </c>
      <c r="K6762" s="3"/>
      <c r="O6762" s="3"/>
    </row>
    <row r="6763" spans="1:15">
      <c r="A6763" s="3">
        <v>43287</v>
      </c>
      <c r="B6763" s="3">
        <v>43287</v>
      </c>
      <c r="C6763">
        <v>343.49</v>
      </c>
      <c r="D6763">
        <v>1.1746000000000001</v>
      </c>
      <c r="E6763">
        <v>77.11</v>
      </c>
      <c r="F6763">
        <v>281.3</v>
      </c>
      <c r="K6763" s="3"/>
      <c r="O6763" s="3"/>
    </row>
    <row r="6764" spans="1:15">
      <c r="A6764" s="3">
        <v>43288</v>
      </c>
      <c r="B6764" s="3">
        <v>43288</v>
      </c>
      <c r="C6764">
        <v>343.49</v>
      </c>
      <c r="D6764">
        <v>1.1746000000000001</v>
      </c>
      <c r="E6764">
        <v>77.11</v>
      </c>
      <c r="F6764">
        <v>281.3</v>
      </c>
      <c r="K6764" s="3"/>
      <c r="O6764" s="3"/>
    </row>
    <row r="6765" spans="1:15">
      <c r="A6765" s="3">
        <v>43289</v>
      </c>
      <c r="B6765" s="3">
        <v>43289</v>
      </c>
      <c r="C6765">
        <v>343.49</v>
      </c>
      <c r="D6765">
        <v>1.1746000000000001</v>
      </c>
      <c r="E6765">
        <v>77.11</v>
      </c>
      <c r="F6765">
        <v>281.3</v>
      </c>
      <c r="K6765" s="3"/>
      <c r="O6765" s="3"/>
    </row>
    <row r="6766" spans="1:15">
      <c r="A6766" s="3">
        <v>43290</v>
      </c>
      <c r="B6766" s="3">
        <v>43290</v>
      </c>
      <c r="C6766">
        <v>343.46</v>
      </c>
      <c r="D6766">
        <v>1.1751</v>
      </c>
      <c r="E6766">
        <v>78.069999999999993</v>
      </c>
      <c r="F6766">
        <v>283.89999999999998</v>
      </c>
      <c r="K6766" s="3"/>
      <c r="O6766" s="3"/>
    </row>
    <row r="6767" spans="1:15">
      <c r="A6767" s="3">
        <v>43291</v>
      </c>
      <c r="B6767" s="3">
        <v>43291</v>
      </c>
      <c r="C6767">
        <v>343.02</v>
      </c>
      <c r="D6767">
        <v>1.1744000000000001</v>
      </c>
      <c r="E6767">
        <v>78.86</v>
      </c>
      <c r="F6767">
        <v>282.85000000000002</v>
      </c>
      <c r="K6767" s="3"/>
      <c r="O6767" s="3"/>
    </row>
    <row r="6768" spans="1:15">
      <c r="A6768" s="3">
        <v>43292</v>
      </c>
      <c r="B6768" s="3">
        <v>43292</v>
      </c>
      <c r="C6768">
        <v>344.15</v>
      </c>
      <c r="D6768">
        <v>1.1674</v>
      </c>
      <c r="E6768">
        <v>73.400000000000006</v>
      </c>
      <c r="F6768">
        <v>273.35000000000002</v>
      </c>
      <c r="K6768" s="3"/>
      <c r="O6768" s="3"/>
    </row>
    <row r="6769" spans="1:15">
      <c r="A6769" s="3">
        <v>43293</v>
      </c>
      <c r="B6769" s="3">
        <v>43293</v>
      </c>
      <c r="C6769">
        <v>344.35</v>
      </c>
      <c r="D6769">
        <v>1.1672</v>
      </c>
      <c r="E6769">
        <v>74.45</v>
      </c>
      <c r="F6769">
        <v>276.8</v>
      </c>
      <c r="K6769" s="3"/>
      <c r="O6769" s="3"/>
    </row>
    <row r="6770" spans="1:15">
      <c r="A6770" s="3">
        <v>43294</v>
      </c>
      <c r="B6770" s="3">
        <v>43294</v>
      </c>
      <c r="C6770">
        <v>342.1</v>
      </c>
      <c r="D6770">
        <v>1.1685000000000001</v>
      </c>
      <c r="E6770">
        <v>75.33</v>
      </c>
      <c r="F6770">
        <v>277</v>
      </c>
      <c r="K6770" s="3"/>
      <c r="O6770" s="3"/>
    </row>
    <row r="6771" spans="1:15">
      <c r="A6771" s="3">
        <v>43295</v>
      </c>
      <c r="B6771" s="3">
        <v>43295</v>
      </c>
      <c r="C6771">
        <v>342.1</v>
      </c>
      <c r="D6771">
        <v>1.1685000000000001</v>
      </c>
      <c r="E6771">
        <v>75.33</v>
      </c>
      <c r="F6771">
        <v>277</v>
      </c>
      <c r="K6771" s="3"/>
      <c r="O6771" s="3"/>
    </row>
    <row r="6772" spans="1:15">
      <c r="A6772" s="3">
        <v>43296</v>
      </c>
      <c r="B6772" s="3">
        <v>43296</v>
      </c>
      <c r="C6772">
        <v>342.1</v>
      </c>
      <c r="D6772">
        <v>1.1685000000000001</v>
      </c>
      <c r="E6772">
        <v>75.33</v>
      </c>
      <c r="F6772">
        <v>277</v>
      </c>
      <c r="K6772" s="3"/>
      <c r="O6772" s="3"/>
    </row>
    <row r="6773" spans="1:15">
      <c r="A6773" s="3">
        <v>43297</v>
      </c>
      <c r="B6773" s="3">
        <v>43297</v>
      </c>
      <c r="C6773">
        <v>342.2</v>
      </c>
      <c r="D6773">
        <v>1.1711</v>
      </c>
      <c r="E6773">
        <v>71.84</v>
      </c>
      <c r="F6773">
        <v>275.7</v>
      </c>
      <c r="K6773" s="3"/>
      <c r="O6773" s="3"/>
    </row>
    <row r="6774" spans="1:15">
      <c r="A6774" s="3">
        <v>43298</v>
      </c>
      <c r="B6774" s="3">
        <v>43298</v>
      </c>
      <c r="C6774">
        <v>343.35</v>
      </c>
      <c r="D6774">
        <v>1.1660999999999999</v>
      </c>
      <c r="E6774">
        <v>72.16</v>
      </c>
      <c r="F6774">
        <v>273.95</v>
      </c>
      <c r="K6774" s="3"/>
      <c r="O6774" s="3"/>
    </row>
    <row r="6775" spans="1:15">
      <c r="A6775" s="3">
        <v>43299</v>
      </c>
      <c r="B6775" s="3">
        <v>43299</v>
      </c>
      <c r="C6775">
        <v>344.91</v>
      </c>
      <c r="D6775">
        <v>1.1638999999999999</v>
      </c>
      <c r="E6775">
        <v>72.900000000000006</v>
      </c>
      <c r="F6775">
        <v>275.2</v>
      </c>
      <c r="K6775" s="3"/>
      <c r="O6775" s="3"/>
    </row>
    <row r="6776" spans="1:15">
      <c r="A6776" s="3">
        <v>43300</v>
      </c>
      <c r="B6776" s="3">
        <v>43300</v>
      </c>
      <c r="C6776">
        <v>345.84</v>
      </c>
      <c r="D6776">
        <v>1.1641999999999999</v>
      </c>
      <c r="E6776">
        <v>72.58</v>
      </c>
      <c r="F6776">
        <v>268.60000000000002</v>
      </c>
      <c r="K6776" s="3"/>
      <c r="O6776" s="3"/>
    </row>
    <row r="6777" spans="1:15">
      <c r="A6777" s="3">
        <v>43301</v>
      </c>
      <c r="B6777" s="3">
        <v>43301</v>
      </c>
      <c r="C6777">
        <v>346.49</v>
      </c>
      <c r="D6777">
        <v>1.1724000000000001</v>
      </c>
      <c r="E6777">
        <v>73.069999999999993</v>
      </c>
      <c r="F6777">
        <v>274.60000000000002</v>
      </c>
      <c r="K6777" s="3"/>
      <c r="O6777" s="3"/>
    </row>
    <row r="6778" spans="1:15">
      <c r="A6778" s="3">
        <v>43302</v>
      </c>
      <c r="B6778" s="3">
        <v>43302</v>
      </c>
      <c r="C6778">
        <v>346.49</v>
      </c>
      <c r="D6778">
        <v>1.1724000000000001</v>
      </c>
      <c r="E6778">
        <v>73.069999999999993</v>
      </c>
      <c r="F6778">
        <v>274.60000000000002</v>
      </c>
      <c r="K6778" s="3"/>
      <c r="O6778" s="3"/>
    </row>
    <row r="6779" spans="1:15">
      <c r="A6779" s="3">
        <v>43303</v>
      </c>
      <c r="B6779" s="3">
        <v>43303</v>
      </c>
      <c r="C6779">
        <v>346.49</v>
      </c>
      <c r="D6779">
        <v>1.1724000000000001</v>
      </c>
      <c r="E6779">
        <v>73.069999999999993</v>
      </c>
      <c r="F6779">
        <v>274.60000000000002</v>
      </c>
      <c r="K6779" s="3"/>
      <c r="O6779" s="3"/>
    </row>
    <row r="6780" spans="1:15">
      <c r="A6780" s="3">
        <v>43304</v>
      </c>
      <c r="B6780" s="3">
        <v>43304</v>
      </c>
      <c r="C6780">
        <v>345.65</v>
      </c>
      <c r="D6780">
        <v>1.1692</v>
      </c>
      <c r="E6780">
        <v>73.06</v>
      </c>
      <c r="F6780">
        <v>273.7</v>
      </c>
      <c r="K6780" s="3"/>
      <c r="O6780" s="3"/>
    </row>
    <row r="6781" spans="1:15">
      <c r="A6781" s="3">
        <v>43305</v>
      </c>
      <c r="B6781" s="3">
        <v>43305</v>
      </c>
      <c r="C6781">
        <v>345.15</v>
      </c>
      <c r="D6781">
        <v>1.1687000000000001</v>
      </c>
      <c r="E6781">
        <v>73.44</v>
      </c>
      <c r="F6781">
        <v>280</v>
      </c>
      <c r="K6781" s="3"/>
      <c r="O6781" s="3"/>
    </row>
    <row r="6782" spans="1:15">
      <c r="A6782" s="3">
        <v>43306</v>
      </c>
      <c r="B6782" s="3">
        <v>43306</v>
      </c>
      <c r="C6782">
        <v>346.29</v>
      </c>
      <c r="D6782">
        <v>1.1729000000000001</v>
      </c>
      <c r="E6782">
        <v>73.930000000000007</v>
      </c>
      <c r="F6782">
        <v>280.60000000000002</v>
      </c>
      <c r="K6782" s="3"/>
      <c r="O6782" s="3"/>
    </row>
    <row r="6783" spans="1:15">
      <c r="A6783" s="3">
        <v>43307</v>
      </c>
      <c r="B6783" s="3">
        <v>43307</v>
      </c>
      <c r="C6783">
        <v>345.89</v>
      </c>
      <c r="D6783">
        <v>1.1642999999999999</v>
      </c>
      <c r="E6783">
        <v>74.540000000000006</v>
      </c>
      <c r="F6783">
        <v>280.39999999999998</v>
      </c>
      <c r="K6783" s="3"/>
      <c r="O6783" s="3"/>
    </row>
    <row r="6784" spans="1:15">
      <c r="A6784" s="3">
        <v>43308</v>
      </c>
      <c r="B6784" s="3">
        <v>43308</v>
      </c>
      <c r="C6784">
        <v>346.5</v>
      </c>
      <c r="D6784">
        <v>1.1657</v>
      </c>
      <c r="E6784">
        <v>74.290000000000006</v>
      </c>
      <c r="F6784">
        <v>278.75</v>
      </c>
      <c r="K6784" s="3"/>
      <c r="O6784" s="3"/>
    </row>
    <row r="6785" spans="1:15">
      <c r="A6785" s="3">
        <v>43309</v>
      </c>
      <c r="B6785" s="3">
        <v>43309</v>
      </c>
      <c r="C6785">
        <v>346.5</v>
      </c>
      <c r="D6785">
        <v>1.1657</v>
      </c>
      <c r="E6785">
        <v>74.290000000000006</v>
      </c>
      <c r="F6785">
        <v>278.75</v>
      </c>
      <c r="K6785" s="3"/>
      <c r="O6785" s="3"/>
    </row>
    <row r="6786" spans="1:15">
      <c r="A6786" s="3">
        <v>43310</v>
      </c>
      <c r="B6786" s="3">
        <v>43310</v>
      </c>
      <c r="C6786">
        <v>346.5</v>
      </c>
      <c r="D6786">
        <v>1.1657</v>
      </c>
      <c r="E6786">
        <v>74.290000000000006</v>
      </c>
      <c r="F6786">
        <v>278.75</v>
      </c>
      <c r="K6786" s="3"/>
      <c r="O6786" s="3"/>
    </row>
    <row r="6787" spans="1:15">
      <c r="A6787" s="3">
        <v>43311</v>
      </c>
      <c r="B6787" s="3">
        <v>43311</v>
      </c>
      <c r="C6787">
        <v>346.99</v>
      </c>
      <c r="D6787">
        <v>1.1706000000000001</v>
      </c>
      <c r="E6787">
        <v>74.97</v>
      </c>
      <c r="F6787">
        <v>279.2</v>
      </c>
      <c r="K6787" s="3"/>
      <c r="O6787" s="3"/>
    </row>
    <row r="6788" spans="1:15">
      <c r="A6788" s="3">
        <v>43312</v>
      </c>
      <c r="B6788" s="3">
        <v>43312</v>
      </c>
      <c r="C6788">
        <v>347.36</v>
      </c>
      <c r="D6788">
        <v>1.1691</v>
      </c>
      <c r="E6788">
        <v>74.25</v>
      </c>
      <c r="F6788">
        <v>283.14999999999998</v>
      </c>
      <c r="K6788" s="3"/>
      <c r="O6788" s="3"/>
    </row>
    <row r="6789" spans="1:15">
      <c r="A6789" s="3">
        <v>43313</v>
      </c>
      <c r="B6789" s="3">
        <v>43313</v>
      </c>
      <c r="C6789">
        <v>348.54</v>
      </c>
      <c r="D6789">
        <v>1.1659999999999999</v>
      </c>
      <c r="E6789">
        <v>72.39</v>
      </c>
      <c r="F6789">
        <v>274.75</v>
      </c>
      <c r="K6789" s="3"/>
      <c r="O6789" s="3"/>
    </row>
    <row r="6790" spans="1:15">
      <c r="A6790" s="3">
        <v>43314</v>
      </c>
      <c r="B6790" s="3">
        <v>43314</v>
      </c>
      <c r="C6790">
        <v>349.91</v>
      </c>
      <c r="D6790">
        <v>1.1585000000000001</v>
      </c>
      <c r="E6790">
        <v>73.45</v>
      </c>
      <c r="F6790">
        <v>273.75</v>
      </c>
      <c r="K6790" s="3"/>
      <c r="O6790" s="3"/>
    </row>
    <row r="6791" spans="1:15">
      <c r="A6791" s="3">
        <v>43315</v>
      </c>
      <c r="B6791" s="3">
        <v>43315</v>
      </c>
      <c r="C6791">
        <v>349.73</v>
      </c>
      <c r="D6791">
        <v>1.1568000000000001</v>
      </c>
      <c r="E6791">
        <v>73.209999999999994</v>
      </c>
      <c r="F6791">
        <v>276.35000000000002</v>
      </c>
      <c r="K6791" s="3"/>
      <c r="O6791" s="3"/>
    </row>
    <row r="6792" spans="1:15">
      <c r="A6792" s="3">
        <v>43316</v>
      </c>
      <c r="B6792" s="3">
        <v>43316</v>
      </c>
      <c r="C6792">
        <v>349.73</v>
      </c>
      <c r="D6792">
        <v>1.1568000000000001</v>
      </c>
      <c r="E6792">
        <v>73.209999999999994</v>
      </c>
      <c r="F6792">
        <v>276.35000000000002</v>
      </c>
      <c r="K6792" s="3"/>
      <c r="O6792" s="3"/>
    </row>
    <row r="6793" spans="1:15">
      <c r="A6793" s="3">
        <v>43317</v>
      </c>
      <c r="B6793" s="3">
        <v>43317</v>
      </c>
      <c r="C6793">
        <v>349.73</v>
      </c>
      <c r="D6793">
        <v>1.1568000000000001</v>
      </c>
      <c r="E6793">
        <v>73.209999999999994</v>
      </c>
      <c r="F6793">
        <v>276.35000000000002</v>
      </c>
      <c r="K6793" s="3"/>
      <c r="O6793" s="3"/>
    </row>
    <row r="6794" spans="1:15">
      <c r="A6794" s="3">
        <v>43318</v>
      </c>
      <c r="B6794" s="3">
        <v>43318</v>
      </c>
      <c r="C6794">
        <v>348.71</v>
      </c>
      <c r="D6794">
        <v>1.1554</v>
      </c>
      <c r="E6794">
        <v>73.75</v>
      </c>
      <c r="F6794">
        <v>273.14999999999998</v>
      </c>
      <c r="K6794" s="3"/>
      <c r="O6794" s="3"/>
    </row>
    <row r="6795" spans="1:15">
      <c r="A6795" s="3">
        <v>43319</v>
      </c>
      <c r="B6795" s="3">
        <v>43319</v>
      </c>
      <c r="C6795">
        <v>348.46</v>
      </c>
      <c r="D6795">
        <v>1.1598999999999999</v>
      </c>
      <c r="E6795">
        <v>74.650000000000006</v>
      </c>
      <c r="F6795">
        <v>275.2</v>
      </c>
      <c r="K6795" s="3"/>
      <c r="O6795" s="3"/>
    </row>
    <row r="6796" spans="1:15">
      <c r="A6796" s="3">
        <v>43320</v>
      </c>
      <c r="B6796" s="3">
        <v>43320</v>
      </c>
      <c r="C6796">
        <v>349.33</v>
      </c>
      <c r="D6796">
        <v>1.161</v>
      </c>
      <c r="E6796">
        <v>72.28</v>
      </c>
      <c r="F6796">
        <v>275.10000000000002</v>
      </c>
      <c r="K6796" s="3"/>
      <c r="O6796" s="3"/>
    </row>
    <row r="6797" spans="1:15">
      <c r="A6797" s="3">
        <v>43321</v>
      </c>
      <c r="B6797" s="3">
        <v>43321</v>
      </c>
      <c r="C6797">
        <v>355.48</v>
      </c>
      <c r="D6797">
        <v>1.1527000000000001</v>
      </c>
      <c r="E6797">
        <v>72.069999999999993</v>
      </c>
      <c r="F6797">
        <v>276.55</v>
      </c>
      <c r="K6797" s="3"/>
      <c r="O6797" s="3"/>
    </row>
    <row r="6798" spans="1:15">
      <c r="A6798" s="3">
        <v>43322</v>
      </c>
      <c r="B6798" s="3">
        <v>43322</v>
      </c>
      <c r="C6798">
        <v>356.75</v>
      </c>
      <c r="D6798">
        <v>1.1413</v>
      </c>
      <c r="E6798">
        <v>72.81</v>
      </c>
      <c r="F6798">
        <v>274.25</v>
      </c>
      <c r="K6798" s="3"/>
      <c r="O6798" s="3"/>
    </row>
    <row r="6799" spans="1:15">
      <c r="A6799" s="3">
        <v>43323</v>
      </c>
      <c r="B6799" s="3">
        <v>43323</v>
      </c>
      <c r="C6799">
        <v>356.75</v>
      </c>
      <c r="D6799">
        <v>1.1413</v>
      </c>
      <c r="E6799">
        <v>72.81</v>
      </c>
      <c r="F6799">
        <v>274.25</v>
      </c>
      <c r="K6799" s="3"/>
      <c r="O6799" s="3"/>
    </row>
    <row r="6800" spans="1:15">
      <c r="A6800" s="3">
        <v>43324</v>
      </c>
      <c r="B6800" s="3">
        <v>43324</v>
      </c>
      <c r="C6800">
        <v>356.75</v>
      </c>
      <c r="D6800">
        <v>1.1413</v>
      </c>
      <c r="E6800">
        <v>72.81</v>
      </c>
      <c r="F6800">
        <v>274.25</v>
      </c>
      <c r="K6800" s="3"/>
      <c r="O6800" s="3"/>
    </row>
    <row r="6801" spans="1:15">
      <c r="A6801" s="3">
        <v>43325</v>
      </c>
      <c r="B6801" s="3">
        <v>43325</v>
      </c>
      <c r="C6801">
        <v>363.47</v>
      </c>
      <c r="D6801">
        <v>1.141</v>
      </c>
      <c r="E6801">
        <v>72.61</v>
      </c>
      <c r="F6801">
        <v>273.10000000000002</v>
      </c>
      <c r="K6801" s="3"/>
      <c r="O6801" s="3"/>
    </row>
    <row r="6802" spans="1:15">
      <c r="A6802" s="3">
        <v>43326</v>
      </c>
      <c r="B6802" s="3">
        <v>43326</v>
      </c>
      <c r="C6802">
        <v>362.8</v>
      </c>
      <c r="D6802">
        <v>1.1344000000000001</v>
      </c>
      <c r="E6802">
        <v>72.459999999999994</v>
      </c>
      <c r="F6802">
        <v>268.2</v>
      </c>
      <c r="K6802" s="3"/>
      <c r="O6802" s="3"/>
    </row>
    <row r="6803" spans="1:15">
      <c r="A6803" s="3">
        <v>43327</v>
      </c>
      <c r="B6803" s="3">
        <v>43327</v>
      </c>
      <c r="C6803">
        <v>361.4</v>
      </c>
      <c r="D6803">
        <v>1.1345000000000001</v>
      </c>
      <c r="E6803">
        <v>70.760000000000005</v>
      </c>
      <c r="F6803">
        <v>256</v>
      </c>
      <c r="K6803" s="3"/>
      <c r="O6803" s="3"/>
    </row>
    <row r="6804" spans="1:15">
      <c r="A6804" s="3">
        <v>43328</v>
      </c>
      <c r="B6804" s="3">
        <v>43328</v>
      </c>
      <c r="C6804">
        <v>360.83</v>
      </c>
      <c r="D6804">
        <v>1.1376999999999999</v>
      </c>
      <c r="E6804">
        <v>71.430000000000007</v>
      </c>
      <c r="F6804">
        <v>261.64999999999998</v>
      </c>
      <c r="K6804" s="3"/>
      <c r="O6804" s="3"/>
    </row>
    <row r="6805" spans="1:15">
      <c r="A6805" s="3">
        <v>43329</v>
      </c>
      <c r="B6805" s="3">
        <v>43329</v>
      </c>
      <c r="C6805">
        <v>359.64</v>
      </c>
      <c r="D6805">
        <v>1.1437999999999999</v>
      </c>
      <c r="E6805">
        <v>71.83</v>
      </c>
      <c r="F6805">
        <v>262.89999999999998</v>
      </c>
      <c r="K6805" s="3"/>
      <c r="O6805" s="3"/>
    </row>
    <row r="6806" spans="1:15">
      <c r="A6806" s="3">
        <v>43330</v>
      </c>
      <c r="B6806" s="3">
        <v>43330</v>
      </c>
      <c r="C6806">
        <v>359.64</v>
      </c>
      <c r="D6806">
        <v>1.1437999999999999</v>
      </c>
      <c r="E6806">
        <v>71.83</v>
      </c>
      <c r="F6806">
        <v>262.89999999999998</v>
      </c>
      <c r="K6806" s="3"/>
      <c r="O6806" s="3"/>
    </row>
    <row r="6807" spans="1:15">
      <c r="A6807" s="3">
        <v>43331</v>
      </c>
      <c r="B6807" s="3">
        <v>43331</v>
      </c>
      <c r="C6807">
        <v>359.64</v>
      </c>
      <c r="D6807">
        <v>1.1437999999999999</v>
      </c>
      <c r="E6807">
        <v>71.83</v>
      </c>
      <c r="F6807">
        <v>262.89999999999998</v>
      </c>
      <c r="K6807" s="3"/>
      <c r="O6807" s="3"/>
    </row>
    <row r="6808" spans="1:15">
      <c r="A6808" s="3">
        <v>43332</v>
      </c>
      <c r="B6808" s="3">
        <v>43332</v>
      </c>
      <c r="C6808">
        <v>360.9</v>
      </c>
      <c r="D6808">
        <v>1.1482000000000001</v>
      </c>
      <c r="E6808">
        <v>72.209999999999994</v>
      </c>
      <c r="F6808">
        <v>266.85000000000002</v>
      </c>
      <c r="K6808" s="3"/>
      <c r="O6808" s="3"/>
    </row>
    <row r="6809" spans="1:15">
      <c r="A6809" s="3">
        <v>43333</v>
      </c>
      <c r="B6809" s="3">
        <v>43333</v>
      </c>
      <c r="C6809">
        <v>360.9</v>
      </c>
      <c r="D6809">
        <v>1.1571</v>
      </c>
      <c r="E6809">
        <v>72.63</v>
      </c>
      <c r="F6809">
        <v>269.55</v>
      </c>
      <c r="K6809" s="3"/>
      <c r="O6809" s="3"/>
    </row>
    <row r="6810" spans="1:15">
      <c r="A6810" s="3">
        <v>43334</v>
      </c>
      <c r="B6810" s="3">
        <v>43334</v>
      </c>
      <c r="C6810">
        <v>361.65</v>
      </c>
      <c r="D6810">
        <v>1.1597</v>
      </c>
      <c r="E6810">
        <v>74.78</v>
      </c>
      <c r="F6810">
        <v>267.35000000000002</v>
      </c>
      <c r="K6810" s="3"/>
      <c r="O6810" s="3"/>
    </row>
    <row r="6811" spans="1:15">
      <c r="A6811" s="3">
        <v>43335</v>
      </c>
      <c r="B6811" s="3">
        <v>43335</v>
      </c>
      <c r="C6811">
        <v>360.93</v>
      </c>
      <c r="D6811">
        <v>1.1539999999999999</v>
      </c>
      <c r="E6811">
        <v>74.73</v>
      </c>
      <c r="F6811">
        <v>265.45</v>
      </c>
      <c r="K6811" s="3"/>
      <c r="O6811" s="3"/>
    </row>
    <row r="6812" spans="1:15">
      <c r="A6812" s="3">
        <v>43336</v>
      </c>
      <c r="B6812" s="3">
        <v>43336</v>
      </c>
      <c r="C6812">
        <v>360.76</v>
      </c>
      <c r="D6812">
        <v>1.1621999999999999</v>
      </c>
      <c r="E6812">
        <v>75.819999999999993</v>
      </c>
      <c r="F6812">
        <v>270.05</v>
      </c>
      <c r="K6812" s="3"/>
      <c r="O6812" s="3"/>
    </row>
    <row r="6813" spans="1:15">
      <c r="A6813" s="3">
        <v>43337</v>
      </c>
      <c r="B6813" s="3">
        <v>43337</v>
      </c>
      <c r="C6813">
        <v>360.76</v>
      </c>
      <c r="D6813">
        <v>1.1621999999999999</v>
      </c>
      <c r="E6813">
        <v>75.819999999999993</v>
      </c>
      <c r="F6813">
        <v>270.05</v>
      </c>
      <c r="K6813" s="3"/>
      <c r="O6813" s="3"/>
    </row>
    <row r="6814" spans="1:15">
      <c r="A6814" s="3">
        <v>43338</v>
      </c>
      <c r="B6814" s="3">
        <v>43338</v>
      </c>
      <c r="C6814">
        <v>360.76</v>
      </c>
      <c r="D6814">
        <v>1.1621999999999999</v>
      </c>
      <c r="E6814">
        <v>75.819999999999993</v>
      </c>
      <c r="F6814">
        <v>270.05</v>
      </c>
      <c r="K6814" s="3"/>
      <c r="O6814" s="3"/>
    </row>
    <row r="6815" spans="1:15">
      <c r="A6815" s="3">
        <v>43339</v>
      </c>
      <c r="B6815" s="3">
        <v>43339</v>
      </c>
      <c r="C6815">
        <v>360.36</v>
      </c>
      <c r="D6815">
        <v>1.1677999999999999</v>
      </c>
      <c r="E6815">
        <v>76.209999999999994</v>
      </c>
      <c r="F6815">
        <v>270.85000000000002</v>
      </c>
      <c r="K6815" s="3"/>
      <c r="O6815" s="3"/>
    </row>
    <row r="6816" spans="1:15">
      <c r="A6816" s="3">
        <v>43340</v>
      </c>
      <c r="B6816" s="3">
        <v>43340</v>
      </c>
      <c r="C6816">
        <v>361.69</v>
      </c>
      <c r="D6816">
        <v>1.1695</v>
      </c>
      <c r="E6816">
        <v>75.95</v>
      </c>
      <c r="F6816">
        <v>273.60000000000002</v>
      </c>
      <c r="K6816" s="3"/>
      <c r="O6816" s="3"/>
    </row>
    <row r="6817" spans="1:15">
      <c r="A6817" s="3">
        <v>43341</v>
      </c>
      <c r="B6817" s="3">
        <v>43341</v>
      </c>
      <c r="C6817">
        <v>362.95</v>
      </c>
      <c r="D6817">
        <v>1.1707000000000001</v>
      </c>
      <c r="E6817">
        <v>77.14</v>
      </c>
      <c r="F6817">
        <v>271</v>
      </c>
      <c r="K6817" s="3"/>
      <c r="O6817" s="3"/>
    </row>
    <row r="6818" spans="1:15">
      <c r="A6818" s="3">
        <v>43342</v>
      </c>
      <c r="B6818" s="3">
        <v>43342</v>
      </c>
      <c r="C6818">
        <v>362.95</v>
      </c>
      <c r="D6818">
        <v>1.1671</v>
      </c>
      <c r="E6818">
        <v>77.77</v>
      </c>
      <c r="F6818">
        <v>269.05</v>
      </c>
      <c r="K6818" s="3"/>
      <c r="O6818" s="3"/>
    </row>
    <row r="6819" spans="1:15">
      <c r="A6819" s="3">
        <v>43343</v>
      </c>
      <c r="B6819" s="3">
        <v>43343</v>
      </c>
      <c r="C6819">
        <v>362.95</v>
      </c>
      <c r="D6819">
        <v>1.1601999999999999</v>
      </c>
      <c r="E6819">
        <v>77.42</v>
      </c>
      <c r="F6819">
        <v>264.89999999999998</v>
      </c>
      <c r="K6819" s="3"/>
      <c r="O6819" s="3"/>
    </row>
    <row r="6820" spans="1:15">
      <c r="A6820" s="3">
        <v>43344</v>
      </c>
      <c r="B6820" s="3">
        <v>43344</v>
      </c>
      <c r="C6820">
        <v>362.95</v>
      </c>
      <c r="D6820">
        <v>1.1601999999999999</v>
      </c>
      <c r="E6820">
        <v>77.42</v>
      </c>
      <c r="F6820">
        <v>264.89999999999998</v>
      </c>
      <c r="K6820" s="3"/>
      <c r="O6820" s="3"/>
    </row>
    <row r="6821" spans="1:15">
      <c r="A6821" s="3">
        <v>43345</v>
      </c>
      <c r="B6821" s="3">
        <v>43345</v>
      </c>
      <c r="C6821">
        <v>362.95</v>
      </c>
      <c r="D6821">
        <v>1.1601999999999999</v>
      </c>
      <c r="E6821">
        <v>77.42</v>
      </c>
      <c r="F6821">
        <v>264.89999999999998</v>
      </c>
      <c r="K6821" s="3"/>
      <c r="O6821" s="3"/>
    </row>
    <row r="6822" spans="1:15">
      <c r="A6822" s="3">
        <v>43346</v>
      </c>
      <c r="B6822" s="3">
        <v>43346</v>
      </c>
      <c r="C6822">
        <v>362.95</v>
      </c>
      <c r="D6822">
        <v>1.1618999999999999</v>
      </c>
      <c r="E6822">
        <v>78.150000000000006</v>
      </c>
      <c r="F6822">
        <v>264.89999999999998</v>
      </c>
      <c r="K6822" s="3"/>
      <c r="O6822" s="3"/>
    </row>
    <row r="6823" spans="1:15">
      <c r="A6823" s="3">
        <v>43347</v>
      </c>
      <c r="B6823" s="3">
        <v>43347</v>
      </c>
      <c r="C6823">
        <v>368.05</v>
      </c>
      <c r="D6823">
        <v>1.1581999999999999</v>
      </c>
      <c r="E6823">
        <v>78.17</v>
      </c>
      <c r="F6823">
        <v>258.35000000000002</v>
      </c>
      <c r="K6823" s="3"/>
      <c r="O6823" s="3"/>
    </row>
    <row r="6824" spans="1:15">
      <c r="A6824" s="3">
        <v>43348</v>
      </c>
      <c r="B6824" s="3">
        <v>43348</v>
      </c>
      <c r="C6824">
        <v>370.24</v>
      </c>
      <c r="D6824">
        <v>1.163</v>
      </c>
      <c r="E6824">
        <v>77.27</v>
      </c>
      <c r="F6824">
        <v>259.25</v>
      </c>
      <c r="K6824" s="3"/>
      <c r="O6824" s="3"/>
    </row>
    <row r="6825" spans="1:15">
      <c r="A6825" s="3">
        <v>43349</v>
      </c>
      <c r="B6825" s="3">
        <v>43349</v>
      </c>
      <c r="C6825">
        <v>372.92</v>
      </c>
      <c r="D6825">
        <v>1.1623000000000001</v>
      </c>
      <c r="E6825">
        <v>76.5</v>
      </c>
      <c r="F6825">
        <v>261.85000000000002</v>
      </c>
      <c r="K6825" s="3"/>
      <c r="O6825" s="3"/>
    </row>
    <row r="6826" spans="1:15">
      <c r="A6826" s="3">
        <v>43350</v>
      </c>
      <c r="B6826" s="3">
        <v>43350</v>
      </c>
      <c r="C6826">
        <v>374.61</v>
      </c>
      <c r="D6826">
        <v>1.1553</v>
      </c>
      <c r="E6826">
        <v>76.83</v>
      </c>
      <c r="F6826">
        <v>260.35000000000002</v>
      </c>
      <c r="K6826" s="3"/>
      <c r="O6826" s="3"/>
    </row>
    <row r="6827" spans="1:15">
      <c r="A6827" s="3">
        <v>43351</v>
      </c>
      <c r="B6827" s="3">
        <v>43351</v>
      </c>
      <c r="C6827">
        <v>374.61</v>
      </c>
      <c r="D6827">
        <v>1.1553</v>
      </c>
      <c r="E6827">
        <v>76.83</v>
      </c>
      <c r="F6827">
        <v>260.35000000000002</v>
      </c>
      <c r="K6827" s="3"/>
      <c r="O6827" s="3"/>
    </row>
    <row r="6828" spans="1:15">
      <c r="A6828" s="3">
        <v>43352</v>
      </c>
      <c r="B6828" s="3">
        <v>43352</v>
      </c>
      <c r="C6828">
        <v>374.61</v>
      </c>
      <c r="D6828">
        <v>1.1553</v>
      </c>
      <c r="E6828">
        <v>76.83</v>
      </c>
      <c r="F6828">
        <v>260.35000000000002</v>
      </c>
      <c r="K6828" s="3"/>
      <c r="O6828" s="3"/>
    </row>
    <row r="6829" spans="1:15">
      <c r="A6829" s="3">
        <v>43353</v>
      </c>
      <c r="B6829" s="3">
        <v>43353</v>
      </c>
      <c r="C6829">
        <v>378.65</v>
      </c>
      <c r="D6829">
        <v>1.1594</v>
      </c>
      <c r="E6829">
        <v>77.37</v>
      </c>
      <c r="F6829">
        <v>261.05</v>
      </c>
      <c r="K6829" s="3"/>
      <c r="O6829" s="3"/>
    </row>
    <row r="6830" spans="1:15">
      <c r="A6830" s="3">
        <v>43354</v>
      </c>
      <c r="B6830" s="3">
        <v>43354</v>
      </c>
      <c r="C6830">
        <v>378.85</v>
      </c>
      <c r="D6830">
        <v>1.1606000000000001</v>
      </c>
      <c r="E6830">
        <v>79.06</v>
      </c>
      <c r="F6830">
        <v>260.39999999999998</v>
      </c>
      <c r="K6830" s="3"/>
      <c r="O6830" s="3"/>
    </row>
    <row r="6831" spans="1:15">
      <c r="A6831" s="3">
        <v>43355</v>
      </c>
      <c r="B6831" s="3">
        <v>43355</v>
      </c>
      <c r="C6831">
        <v>377.75</v>
      </c>
      <c r="D6831">
        <v>1.1626000000000001</v>
      </c>
      <c r="E6831">
        <v>79.739999999999995</v>
      </c>
      <c r="F6831">
        <v>265.85000000000002</v>
      </c>
      <c r="K6831" s="3"/>
      <c r="O6831" s="3"/>
    </row>
    <row r="6832" spans="1:15">
      <c r="A6832" s="3">
        <v>43356</v>
      </c>
      <c r="B6832" s="3">
        <v>43356</v>
      </c>
      <c r="C6832">
        <v>374.83</v>
      </c>
      <c r="D6832">
        <v>1.169</v>
      </c>
      <c r="E6832">
        <v>78.180000000000007</v>
      </c>
      <c r="F6832">
        <v>266.45</v>
      </c>
      <c r="K6832" s="3"/>
      <c r="O6832" s="3"/>
    </row>
    <row r="6833" spans="1:15">
      <c r="A6833" s="3">
        <v>43357</v>
      </c>
      <c r="B6833" s="3">
        <v>43357</v>
      </c>
      <c r="C6833">
        <v>374.17</v>
      </c>
      <c r="D6833">
        <v>1.1625000000000001</v>
      </c>
      <c r="E6833">
        <v>78.09</v>
      </c>
      <c r="F6833">
        <v>262.75</v>
      </c>
      <c r="K6833" s="3"/>
      <c r="O6833" s="3"/>
    </row>
    <row r="6834" spans="1:15">
      <c r="A6834" s="3">
        <v>43358</v>
      </c>
      <c r="B6834" s="3">
        <v>43358</v>
      </c>
      <c r="C6834">
        <v>374.17</v>
      </c>
      <c r="D6834">
        <v>1.1625000000000001</v>
      </c>
      <c r="E6834">
        <v>78.09</v>
      </c>
      <c r="F6834">
        <v>262.75</v>
      </c>
      <c r="K6834" s="3"/>
      <c r="O6834" s="3"/>
    </row>
    <row r="6835" spans="1:15">
      <c r="A6835" s="3">
        <v>43359</v>
      </c>
      <c r="B6835" s="3">
        <v>43359</v>
      </c>
      <c r="C6835">
        <v>374.17</v>
      </c>
      <c r="D6835">
        <v>1.1625000000000001</v>
      </c>
      <c r="E6835">
        <v>78.09</v>
      </c>
      <c r="F6835">
        <v>262.75</v>
      </c>
      <c r="K6835" s="3"/>
      <c r="O6835" s="3"/>
    </row>
    <row r="6836" spans="1:15">
      <c r="A6836" s="3">
        <v>43360</v>
      </c>
      <c r="B6836" s="3">
        <v>43360</v>
      </c>
      <c r="C6836">
        <v>371.27</v>
      </c>
      <c r="D6836">
        <v>1.1682999999999999</v>
      </c>
      <c r="E6836">
        <v>78.05</v>
      </c>
      <c r="F6836">
        <v>263.35000000000002</v>
      </c>
      <c r="K6836" s="3"/>
      <c r="O6836" s="3"/>
    </row>
    <row r="6837" spans="1:15">
      <c r="A6837" s="3">
        <v>43361</v>
      </c>
      <c r="B6837" s="3">
        <v>43361</v>
      </c>
      <c r="C6837">
        <v>367.12</v>
      </c>
      <c r="D6837">
        <v>1.1667000000000001</v>
      </c>
      <c r="E6837">
        <v>79.03</v>
      </c>
      <c r="F6837">
        <v>271.2</v>
      </c>
      <c r="K6837" s="3"/>
      <c r="O6837" s="3"/>
    </row>
    <row r="6838" spans="1:15">
      <c r="A6838" s="3">
        <v>43362</v>
      </c>
      <c r="B6838" s="3">
        <v>43362</v>
      </c>
      <c r="C6838">
        <v>360.97</v>
      </c>
      <c r="D6838">
        <v>1.1673</v>
      </c>
      <c r="E6838">
        <v>79.400000000000006</v>
      </c>
      <c r="F6838">
        <v>271</v>
      </c>
      <c r="K6838" s="3"/>
      <c r="O6838" s="3"/>
    </row>
    <row r="6839" spans="1:15">
      <c r="A6839" s="3">
        <v>43363</v>
      </c>
      <c r="B6839" s="3">
        <v>43363</v>
      </c>
      <c r="C6839">
        <v>360.11</v>
      </c>
      <c r="D6839">
        <v>1.1777</v>
      </c>
      <c r="E6839">
        <v>78.7</v>
      </c>
      <c r="F6839">
        <v>272.10000000000002</v>
      </c>
      <c r="K6839" s="3"/>
      <c r="O6839" s="3"/>
    </row>
    <row r="6840" spans="1:15">
      <c r="A6840" s="3">
        <v>43364</v>
      </c>
      <c r="B6840" s="3">
        <v>43364</v>
      </c>
      <c r="C6840">
        <v>355.96</v>
      </c>
      <c r="D6840">
        <v>1.1749000000000001</v>
      </c>
      <c r="E6840">
        <v>78.8</v>
      </c>
      <c r="F6840">
        <v>283.64999999999998</v>
      </c>
      <c r="K6840" s="3"/>
      <c r="O6840" s="3"/>
    </row>
    <row r="6841" spans="1:15">
      <c r="A6841" s="3">
        <v>43365</v>
      </c>
      <c r="B6841" s="3">
        <v>43365</v>
      </c>
      <c r="C6841">
        <v>355.96</v>
      </c>
      <c r="D6841">
        <v>1.1749000000000001</v>
      </c>
      <c r="E6841">
        <v>78.8</v>
      </c>
      <c r="F6841">
        <v>283.64999999999998</v>
      </c>
      <c r="K6841" s="3"/>
      <c r="O6841" s="3"/>
    </row>
    <row r="6842" spans="1:15">
      <c r="A6842" s="3">
        <v>43366</v>
      </c>
      <c r="B6842" s="3">
        <v>43366</v>
      </c>
      <c r="C6842">
        <v>355.96</v>
      </c>
      <c r="D6842">
        <v>1.1749000000000001</v>
      </c>
      <c r="E6842">
        <v>78.8</v>
      </c>
      <c r="F6842">
        <v>283.64999999999998</v>
      </c>
      <c r="K6842" s="3"/>
      <c r="O6842" s="3"/>
    </row>
    <row r="6843" spans="1:15">
      <c r="A6843" s="3">
        <v>43367</v>
      </c>
      <c r="B6843" s="3">
        <v>43367</v>
      </c>
      <c r="C6843">
        <v>355.96</v>
      </c>
      <c r="D6843">
        <v>1.1748000000000001</v>
      </c>
      <c r="E6843">
        <v>81.2</v>
      </c>
      <c r="F6843">
        <v>281.60000000000002</v>
      </c>
      <c r="K6843" s="3"/>
      <c r="O6843" s="3"/>
    </row>
    <row r="6844" spans="1:15">
      <c r="A6844" s="3">
        <v>43368</v>
      </c>
      <c r="B6844" s="3">
        <v>43368</v>
      </c>
      <c r="C6844">
        <v>357.17</v>
      </c>
      <c r="D6844">
        <v>1.1767000000000001</v>
      </c>
      <c r="E6844">
        <v>81.87</v>
      </c>
      <c r="F6844">
        <v>280.35000000000002</v>
      </c>
      <c r="K6844" s="3"/>
      <c r="O6844" s="3"/>
    </row>
    <row r="6845" spans="1:15">
      <c r="A6845" s="3">
        <v>43369</v>
      </c>
      <c r="B6845" s="3">
        <v>43369</v>
      </c>
      <c r="C6845">
        <v>360.3</v>
      </c>
      <c r="D6845">
        <v>1.1738999999999999</v>
      </c>
      <c r="E6845">
        <v>81.34</v>
      </c>
      <c r="F6845">
        <v>280.7</v>
      </c>
      <c r="K6845" s="3"/>
      <c r="O6845" s="3"/>
    </row>
    <row r="6846" spans="1:15">
      <c r="A6846" s="3">
        <v>43370</v>
      </c>
      <c r="B6846" s="3">
        <v>43370</v>
      </c>
      <c r="C6846">
        <v>363.84</v>
      </c>
      <c r="D6846">
        <v>1.1640999999999999</v>
      </c>
      <c r="E6846">
        <v>81.72</v>
      </c>
      <c r="F6846">
        <v>278.3</v>
      </c>
      <c r="K6846" s="3"/>
      <c r="O6846" s="3"/>
    </row>
    <row r="6847" spans="1:15">
      <c r="A6847" s="3">
        <v>43371</v>
      </c>
      <c r="B6847" s="3">
        <v>43371</v>
      </c>
      <c r="C6847">
        <v>363.11</v>
      </c>
      <c r="D6847">
        <v>1.1604000000000001</v>
      </c>
      <c r="E6847">
        <v>82.72</v>
      </c>
      <c r="F6847">
        <v>280.5</v>
      </c>
      <c r="K6847" s="3"/>
      <c r="O6847" s="3"/>
    </row>
    <row r="6848" spans="1:15">
      <c r="A6848" s="3">
        <v>43372</v>
      </c>
      <c r="B6848" s="3">
        <v>43372</v>
      </c>
      <c r="C6848">
        <v>363.11</v>
      </c>
      <c r="D6848">
        <v>1.1604000000000001</v>
      </c>
      <c r="E6848">
        <v>82.72</v>
      </c>
      <c r="F6848">
        <v>280.5</v>
      </c>
      <c r="K6848" s="3"/>
      <c r="O6848" s="3"/>
    </row>
    <row r="6849" spans="1:15">
      <c r="A6849" s="3">
        <v>43373</v>
      </c>
      <c r="B6849" s="3">
        <v>43373</v>
      </c>
      <c r="C6849">
        <v>363.11</v>
      </c>
      <c r="D6849">
        <v>1.1604000000000001</v>
      </c>
      <c r="E6849">
        <v>82.72</v>
      </c>
      <c r="F6849">
        <v>280.5</v>
      </c>
      <c r="K6849" s="3"/>
      <c r="O6849" s="3"/>
    </row>
    <row r="6850" spans="1:15">
      <c r="A6850" s="3">
        <v>43374</v>
      </c>
      <c r="B6850" s="3">
        <v>43374</v>
      </c>
      <c r="C6850">
        <v>363.6</v>
      </c>
      <c r="D6850">
        <v>1.1577999999999999</v>
      </c>
      <c r="E6850">
        <v>84.98</v>
      </c>
      <c r="F6850">
        <v>278.75</v>
      </c>
      <c r="K6850" s="3"/>
      <c r="O6850" s="3"/>
    </row>
    <row r="6851" spans="1:15">
      <c r="A6851" s="3">
        <v>43375</v>
      </c>
      <c r="B6851" s="3">
        <v>43375</v>
      </c>
      <c r="C6851">
        <v>362.21</v>
      </c>
      <c r="D6851">
        <v>1.1548</v>
      </c>
      <c r="E6851">
        <v>84.8</v>
      </c>
      <c r="F6851">
        <v>280.64999999999998</v>
      </c>
      <c r="K6851" s="3"/>
      <c r="O6851" s="3"/>
    </row>
    <row r="6852" spans="1:15">
      <c r="A6852" s="3">
        <v>43376</v>
      </c>
      <c r="B6852" s="3">
        <v>43376</v>
      </c>
      <c r="C6852">
        <v>364.44</v>
      </c>
      <c r="D6852">
        <v>1.1477999999999999</v>
      </c>
      <c r="E6852">
        <v>86.29</v>
      </c>
      <c r="F6852">
        <v>283.39999999999998</v>
      </c>
      <c r="K6852" s="3"/>
      <c r="O6852" s="3"/>
    </row>
    <row r="6853" spans="1:15">
      <c r="A6853" s="3">
        <v>43377</v>
      </c>
      <c r="B6853" s="3">
        <v>43377</v>
      </c>
      <c r="C6853">
        <v>366.8</v>
      </c>
      <c r="D6853">
        <v>1.1514</v>
      </c>
      <c r="E6853">
        <v>84.58</v>
      </c>
      <c r="F6853">
        <v>277.75</v>
      </c>
      <c r="K6853" s="3"/>
      <c r="O6853" s="3"/>
    </row>
    <row r="6854" spans="1:15">
      <c r="A6854" s="3">
        <v>43378</v>
      </c>
      <c r="B6854" s="3">
        <v>43378</v>
      </c>
      <c r="C6854">
        <v>373.48</v>
      </c>
      <c r="D6854">
        <v>1.1524000000000001</v>
      </c>
      <c r="E6854">
        <v>84.16</v>
      </c>
      <c r="F6854">
        <v>276.3</v>
      </c>
      <c r="K6854" s="3"/>
      <c r="O6854" s="3"/>
    </row>
    <row r="6855" spans="1:15">
      <c r="A6855" s="3">
        <v>43379</v>
      </c>
      <c r="B6855" s="3">
        <v>43379</v>
      </c>
      <c r="C6855">
        <v>373.48</v>
      </c>
      <c r="D6855">
        <v>1.1524000000000001</v>
      </c>
      <c r="E6855">
        <v>84.16</v>
      </c>
      <c r="F6855">
        <v>276.3</v>
      </c>
      <c r="K6855" s="3"/>
      <c r="O6855" s="3"/>
    </row>
    <row r="6856" spans="1:15">
      <c r="A6856" s="3">
        <v>43380</v>
      </c>
      <c r="B6856" s="3">
        <v>43380</v>
      </c>
      <c r="C6856">
        <v>373.48</v>
      </c>
      <c r="D6856">
        <v>1.1524000000000001</v>
      </c>
      <c r="E6856">
        <v>84.16</v>
      </c>
      <c r="F6856">
        <v>276.3</v>
      </c>
      <c r="K6856" s="3"/>
      <c r="O6856" s="3"/>
    </row>
    <row r="6857" spans="1:15">
      <c r="A6857" s="3">
        <v>43381</v>
      </c>
      <c r="B6857" s="3">
        <v>43381</v>
      </c>
      <c r="C6857">
        <v>371.52</v>
      </c>
      <c r="D6857">
        <v>1.1492</v>
      </c>
      <c r="E6857">
        <v>83.91</v>
      </c>
      <c r="F6857">
        <v>276.7</v>
      </c>
      <c r="K6857" s="3"/>
      <c r="O6857" s="3"/>
    </row>
    <row r="6858" spans="1:15">
      <c r="A6858" s="3">
        <v>43382</v>
      </c>
      <c r="B6858" s="3">
        <v>43382</v>
      </c>
      <c r="C6858">
        <v>372</v>
      </c>
      <c r="D6858">
        <v>1.1491</v>
      </c>
      <c r="E6858">
        <v>85</v>
      </c>
      <c r="F6858">
        <v>280.64999999999998</v>
      </c>
      <c r="K6858" s="3"/>
      <c r="O6858" s="3"/>
    </row>
    <row r="6859" spans="1:15">
      <c r="A6859" s="3">
        <v>43383</v>
      </c>
      <c r="B6859" s="3">
        <v>43383</v>
      </c>
      <c r="C6859">
        <v>367.15</v>
      </c>
      <c r="D6859">
        <v>1.1519999999999999</v>
      </c>
      <c r="E6859">
        <v>83.09</v>
      </c>
      <c r="F6859">
        <v>278.05</v>
      </c>
      <c r="K6859" s="3"/>
      <c r="O6859" s="3"/>
    </row>
    <row r="6860" spans="1:15">
      <c r="A6860" s="3">
        <v>43384</v>
      </c>
      <c r="B6860" s="3">
        <v>43384</v>
      </c>
      <c r="C6860">
        <v>368.21</v>
      </c>
      <c r="D6860">
        <v>1.1593</v>
      </c>
      <c r="E6860">
        <v>80.260000000000005</v>
      </c>
      <c r="F6860">
        <v>280.3</v>
      </c>
      <c r="K6860" s="3"/>
      <c r="O6860" s="3"/>
    </row>
    <row r="6861" spans="1:15">
      <c r="A6861" s="3">
        <v>43385</v>
      </c>
      <c r="B6861" s="3">
        <v>43385</v>
      </c>
      <c r="C6861">
        <v>369.1</v>
      </c>
      <c r="D6861">
        <v>1.1559999999999999</v>
      </c>
      <c r="E6861">
        <v>80.430000000000007</v>
      </c>
      <c r="F6861">
        <v>280.05</v>
      </c>
      <c r="K6861" s="3"/>
      <c r="O6861" s="3"/>
    </row>
    <row r="6862" spans="1:15">
      <c r="A6862" s="3">
        <v>43386</v>
      </c>
      <c r="B6862" s="3">
        <v>43386</v>
      </c>
      <c r="C6862">
        <v>369.1</v>
      </c>
      <c r="D6862">
        <v>1.1559999999999999</v>
      </c>
      <c r="E6862">
        <v>80.430000000000007</v>
      </c>
      <c r="F6862">
        <v>280.05</v>
      </c>
      <c r="K6862" s="3"/>
      <c r="O6862" s="3"/>
    </row>
    <row r="6863" spans="1:15">
      <c r="A6863" s="3">
        <v>43387</v>
      </c>
      <c r="B6863" s="3">
        <v>43387</v>
      </c>
      <c r="C6863">
        <v>369.1</v>
      </c>
      <c r="D6863">
        <v>1.1559999999999999</v>
      </c>
      <c r="E6863">
        <v>80.430000000000007</v>
      </c>
      <c r="F6863">
        <v>280.05</v>
      </c>
      <c r="K6863" s="3"/>
      <c r="O6863" s="3"/>
    </row>
    <row r="6864" spans="1:15">
      <c r="A6864" s="3">
        <v>43388</v>
      </c>
      <c r="B6864" s="3">
        <v>43388</v>
      </c>
      <c r="C6864">
        <v>367.2</v>
      </c>
      <c r="D6864">
        <v>1.1578999999999999</v>
      </c>
      <c r="E6864">
        <v>80.78</v>
      </c>
      <c r="F6864">
        <v>278.85000000000002</v>
      </c>
      <c r="K6864" s="3"/>
      <c r="O6864" s="3"/>
    </row>
    <row r="6865" spans="1:15">
      <c r="A6865" s="3">
        <v>43389</v>
      </c>
      <c r="B6865" s="3">
        <v>43389</v>
      </c>
      <c r="C6865">
        <v>366.35</v>
      </c>
      <c r="D6865">
        <v>1.1574</v>
      </c>
      <c r="E6865">
        <v>81.41</v>
      </c>
      <c r="F6865">
        <v>277.95</v>
      </c>
      <c r="K6865" s="3"/>
      <c r="O6865" s="3"/>
    </row>
    <row r="6866" spans="1:15">
      <c r="A6866" s="3">
        <v>43390</v>
      </c>
      <c r="B6866" s="3">
        <v>43390</v>
      </c>
      <c r="C6866">
        <v>362.89</v>
      </c>
      <c r="D6866">
        <v>1.1500999999999999</v>
      </c>
      <c r="E6866">
        <v>80.05</v>
      </c>
      <c r="F6866">
        <v>277.8</v>
      </c>
      <c r="K6866" s="3"/>
      <c r="O6866" s="3"/>
    </row>
    <row r="6867" spans="1:15">
      <c r="A6867" s="3">
        <v>43391</v>
      </c>
      <c r="B6867" s="3">
        <v>43391</v>
      </c>
      <c r="C6867">
        <v>364.71</v>
      </c>
      <c r="D6867">
        <v>1.1453</v>
      </c>
      <c r="E6867">
        <v>79.290000000000006</v>
      </c>
      <c r="F6867">
        <v>274.64999999999998</v>
      </c>
      <c r="K6867" s="3"/>
      <c r="O6867" s="3"/>
    </row>
    <row r="6868" spans="1:15">
      <c r="A6868" s="3">
        <v>43392</v>
      </c>
      <c r="B6868" s="3">
        <v>43392</v>
      </c>
      <c r="C6868">
        <v>366.75</v>
      </c>
      <c r="D6868">
        <v>1.1514</v>
      </c>
      <c r="E6868">
        <v>79.78</v>
      </c>
      <c r="F6868">
        <v>277.8</v>
      </c>
      <c r="K6868" s="3"/>
      <c r="O6868" s="3"/>
    </row>
    <row r="6869" spans="1:15">
      <c r="A6869" s="3">
        <v>43393</v>
      </c>
      <c r="B6869" s="3">
        <v>43393</v>
      </c>
      <c r="C6869">
        <v>366.75</v>
      </c>
      <c r="D6869">
        <v>1.1514</v>
      </c>
      <c r="E6869">
        <v>79.78</v>
      </c>
      <c r="F6869">
        <v>277.8</v>
      </c>
      <c r="K6869" s="3"/>
      <c r="O6869" s="3"/>
    </row>
    <row r="6870" spans="1:15">
      <c r="A6870" s="3">
        <v>43394</v>
      </c>
      <c r="B6870" s="3">
        <v>43394</v>
      </c>
      <c r="C6870">
        <v>366.75</v>
      </c>
      <c r="D6870">
        <v>1.1514</v>
      </c>
      <c r="E6870">
        <v>79.78</v>
      </c>
      <c r="F6870">
        <v>277.8</v>
      </c>
      <c r="K6870" s="3"/>
      <c r="O6870" s="3"/>
    </row>
    <row r="6871" spans="1:15">
      <c r="A6871" s="3">
        <v>43395</v>
      </c>
      <c r="B6871" s="3">
        <v>43395</v>
      </c>
      <c r="C6871">
        <v>365.33</v>
      </c>
      <c r="D6871">
        <v>1.1464000000000001</v>
      </c>
      <c r="E6871">
        <v>79.83</v>
      </c>
      <c r="F6871">
        <v>278.55</v>
      </c>
      <c r="K6871" s="3"/>
      <c r="O6871" s="3"/>
    </row>
    <row r="6872" spans="1:15">
      <c r="A6872" s="3">
        <v>43396</v>
      </c>
      <c r="B6872" s="3">
        <v>43396</v>
      </c>
      <c r="C6872">
        <v>362.18</v>
      </c>
      <c r="D6872">
        <v>1.1471</v>
      </c>
      <c r="E6872">
        <v>76.44</v>
      </c>
      <c r="F6872">
        <v>275.8</v>
      </c>
      <c r="K6872" s="3"/>
      <c r="O6872" s="3"/>
    </row>
    <row r="6873" spans="1:15">
      <c r="A6873" s="3">
        <v>43397</v>
      </c>
      <c r="B6873" s="3">
        <v>43397</v>
      </c>
      <c r="C6873">
        <v>366.63</v>
      </c>
      <c r="D6873">
        <v>1.1392</v>
      </c>
      <c r="E6873">
        <v>76.17</v>
      </c>
      <c r="F6873">
        <v>275.75</v>
      </c>
      <c r="K6873" s="3"/>
      <c r="O6873" s="3"/>
    </row>
    <row r="6874" spans="1:15">
      <c r="A6874" s="3">
        <v>43398</v>
      </c>
      <c r="B6874" s="3">
        <v>43398</v>
      </c>
      <c r="C6874">
        <v>367.1</v>
      </c>
      <c r="D6874">
        <v>1.1375</v>
      </c>
      <c r="E6874">
        <v>76.89</v>
      </c>
      <c r="F6874">
        <v>275.45</v>
      </c>
      <c r="K6874" s="3"/>
      <c r="O6874" s="3"/>
    </row>
    <row r="6875" spans="1:15">
      <c r="A6875" s="3">
        <v>43399</v>
      </c>
      <c r="B6875" s="3">
        <v>43399</v>
      </c>
      <c r="C6875">
        <v>368.13</v>
      </c>
      <c r="D6875">
        <v>1.1403000000000001</v>
      </c>
      <c r="E6875">
        <v>77.62</v>
      </c>
      <c r="F6875">
        <v>274.10000000000002</v>
      </c>
      <c r="K6875" s="3"/>
      <c r="O6875" s="3"/>
    </row>
    <row r="6876" spans="1:15">
      <c r="A6876" s="3">
        <v>43400</v>
      </c>
      <c r="B6876" s="3">
        <v>43400</v>
      </c>
      <c r="C6876">
        <v>368.13</v>
      </c>
      <c r="D6876">
        <v>1.1403000000000001</v>
      </c>
      <c r="E6876">
        <v>77.62</v>
      </c>
      <c r="F6876">
        <v>274.10000000000002</v>
      </c>
      <c r="K6876" s="3"/>
      <c r="O6876" s="3"/>
    </row>
    <row r="6877" spans="1:15">
      <c r="A6877" s="3">
        <v>43401</v>
      </c>
      <c r="B6877" s="3">
        <v>43401</v>
      </c>
      <c r="C6877">
        <v>368.13</v>
      </c>
      <c r="D6877">
        <v>1.1403000000000001</v>
      </c>
      <c r="E6877">
        <v>77.62</v>
      </c>
      <c r="F6877">
        <v>274.10000000000002</v>
      </c>
      <c r="K6877" s="3"/>
      <c r="O6877" s="3"/>
    </row>
    <row r="6878" spans="1:15">
      <c r="A6878" s="3">
        <v>43402</v>
      </c>
      <c r="B6878" s="3">
        <v>43402</v>
      </c>
      <c r="C6878">
        <v>366.84</v>
      </c>
      <c r="D6878">
        <v>1.1373</v>
      </c>
      <c r="E6878">
        <v>77.34</v>
      </c>
      <c r="F6878">
        <v>274.05</v>
      </c>
      <c r="K6878" s="3"/>
      <c r="O6878" s="3"/>
    </row>
    <row r="6879" spans="1:15">
      <c r="A6879" s="3">
        <v>43403</v>
      </c>
      <c r="B6879" s="3">
        <v>43403</v>
      </c>
      <c r="C6879">
        <v>369.08</v>
      </c>
      <c r="D6879">
        <v>1.1345000000000001</v>
      </c>
      <c r="E6879">
        <v>75.91</v>
      </c>
      <c r="F6879">
        <v>266.39999999999998</v>
      </c>
      <c r="K6879" s="3"/>
      <c r="O6879" s="3"/>
    </row>
    <row r="6880" spans="1:15">
      <c r="A6880" s="3">
        <v>43404</v>
      </c>
      <c r="B6880" s="3">
        <v>43404</v>
      </c>
      <c r="C6880">
        <v>369.07</v>
      </c>
      <c r="D6880">
        <v>1.1312</v>
      </c>
      <c r="E6880">
        <v>75.47</v>
      </c>
      <c r="F6880">
        <v>265.89999999999998</v>
      </c>
      <c r="K6880" s="3"/>
      <c r="O6880" s="3"/>
    </row>
    <row r="6881" spans="1:15">
      <c r="A6881" s="3">
        <v>43405</v>
      </c>
      <c r="B6881" s="3">
        <v>43405</v>
      </c>
      <c r="C6881">
        <v>370.17</v>
      </c>
      <c r="D6881">
        <v>1.1408</v>
      </c>
      <c r="E6881">
        <v>72.89</v>
      </c>
      <c r="F6881">
        <v>272.14999999999998</v>
      </c>
      <c r="K6881" s="3"/>
      <c r="O6881" s="3"/>
    </row>
    <row r="6882" spans="1:15">
      <c r="A6882" s="3">
        <v>43406</v>
      </c>
      <c r="B6882" s="3">
        <v>43406</v>
      </c>
      <c r="C6882">
        <v>370.79</v>
      </c>
      <c r="D6882">
        <v>1.1388</v>
      </c>
      <c r="E6882">
        <v>72.83</v>
      </c>
      <c r="F6882">
        <v>280.7</v>
      </c>
      <c r="K6882" s="3"/>
      <c r="O6882" s="3"/>
    </row>
    <row r="6883" spans="1:15">
      <c r="A6883" s="3">
        <v>43407</v>
      </c>
      <c r="B6883" s="3">
        <v>43407</v>
      </c>
      <c r="C6883">
        <v>370.79</v>
      </c>
      <c r="D6883">
        <v>1.1388</v>
      </c>
      <c r="E6883">
        <v>72.83</v>
      </c>
      <c r="F6883">
        <v>280.7</v>
      </c>
      <c r="K6883" s="3"/>
      <c r="O6883" s="3"/>
    </row>
    <row r="6884" spans="1:15">
      <c r="A6884" s="3">
        <v>43408</v>
      </c>
      <c r="B6884" s="3">
        <v>43408</v>
      </c>
      <c r="C6884">
        <v>370.79</v>
      </c>
      <c r="D6884">
        <v>1.1388</v>
      </c>
      <c r="E6884">
        <v>72.83</v>
      </c>
      <c r="F6884">
        <v>280.7</v>
      </c>
      <c r="K6884" s="3"/>
      <c r="O6884" s="3"/>
    </row>
    <row r="6885" spans="1:15">
      <c r="A6885" s="3">
        <v>43409</v>
      </c>
      <c r="B6885" s="3">
        <v>43409</v>
      </c>
      <c r="C6885">
        <v>372.19</v>
      </c>
      <c r="D6885">
        <v>1.1407</v>
      </c>
      <c r="E6885">
        <v>73.17</v>
      </c>
      <c r="F6885">
        <v>275.60000000000002</v>
      </c>
      <c r="K6885" s="3"/>
      <c r="O6885" s="3"/>
    </row>
    <row r="6886" spans="1:15">
      <c r="A6886" s="3">
        <v>43410</v>
      </c>
      <c r="B6886" s="3">
        <v>43410</v>
      </c>
      <c r="C6886">
        <v>370.68</v>
      </c>
      <c r="D6886">
        <v>1.1427</v>
      </c>
      <c r="E6886">
        <v>72.13</v>
      </c>
      <c r="F6886">
        <v>273.25</v>
      </c>
      <c r="K6886" s="3"/>
      <c r="O6886" s="3"/>
    </row>
    <row r="6887" spans="1:15">
      <c r="A6887" s="3">
        <v>43411</v>
      </c>
      <c r="B6887" s="3">
        <v>43411</v>
      </c>
      <c r="C6887">
        <v>371.01</v>
      </c>
      <c r="D6887">
        <v>1.1426000000000001</v>
      </c>
      <c r="E6887">
        <v>72.069999999999993</v>
      </c>
      <c r="F6887">
        <v>275.45</v>
      </c>
      <c r="K6887" s="3"/>
      <c r="O6887" s="3"/>
    </row>
    <row r="6888" spans="1:15">
      <c r="A6888" s="3">
        <v>43412</v>
      </c>
      <c r="B6888" s="3">
        <v>43412</v>
      </c>
      <c r="C6888">
        <v>371.22</v>
      </c>
      <c r="D6888">
        <v>1.1363000000000001</v>
      </c>
      <c r="E6888">
        <v>70.650000000000006</v>
      </c>
      <c r="F6888">
        <v>273.60000000000002</v>
      </c>
      <c r="K6888" s="3"/>
      <c r="O6888" s="3"/>
    </row>
    <row r="6889" spans="1:15">
      <c r="A6889" s="3">
        <v>43413</v>
      </c>
      <c r="B6889" s="3">
        <v>43413</v>
      </c>
      <c r="C6889">
        <v>372.08</v>
      </c>
      <c r="D6889">
        <v>1.1335999999999999</v>
      </c>
      <c r="E6889">
        <v>70.180000000000007</v>
      </c>
      <c r="F6889">
        <v>268.45</v>
      </c>
      <c r="K6889" s="3"/>
      <c r="O6889" s="3"/>
    </row>
    <row r="6890" spans="1:15">
      <c r="A6890" s="3">
        <v>43414</v>
      </c>
      <c r="B6890" s="3">
        <v>43414</v>
      </c>
      <c r="C6890">
        <v>372.08</v>
      </c>
      <c r="D6890">
        <v>1.1335999999999999</v>
      </c>
      <c r="E6890">
        <v>70.180000000000007</v>
      </c>
      <c r="F6890">
        <v>268.45</v>
      </c>
      <c r="K6890" s="3"/>
      <c r="O6890" s="3"/>
    </row>
    <row r="6891" spans="1:15">
      <c r="A6891" s="3">
        <v>43415</v>
      </c>
      <c r="B6891" s="3">
        <v>43415</v>
      </c>
      <c r="C6891">
        <v>372.08</v>
      </c>
      <c r="D6891">
        <v>1.1335999999999999</v>
      </c>
      <c r="E6891">
        <v>70.180000000000007</v>
      </c>
      <c r="F6891">
        <v>268.45</v>
      </c>
      <c r="K6891" s="3"/>
      <c r="O6891" s="3"/>
    </row>
    <row r="6892" spans="1:15">
      <c r="A6892" s="3">
        <v>43416</v>
      </c>
      <c r="B6892" s="3">
        <v>43416</v>
      </c>
      <c r="C6892">
        <v>373.8</v>
      </c>
      <c r="D6892">
        <v>1.1217999999999999</v>
      </c>
      <c r="E6892">
        <v>70.12</v>
      </c>
      <c r="F6892">
        <v>267.64999999999998</v>
      </c>
      <c r="K6892" s="3"/>
      <c r="O6892" s="3"/>
    </row>
    <row r="6893" spans="1:15">
      <c r="A6893" s="3">
        <v>43417</v>
      </c>
      <c r="B6893" s="3">
        <v>43417</v>
      </c>
      <c r="C6893">
        <v>374.22</v>
      </c>
      <c r="D6893">
        <v>1.129</v>
      </c>
      <c r="E6893">
        <v>65.47</v>
      </c>
      <c r="F6893">
        <v>268.7</v>
      </c>
      <c r="K6893" s="3"/>
      <c r="O6893" s="3"/>
    </row>
    <row r="6894" spans="1:15">
      <c r="A6894" s="3">
        <v>43418</v>
      </c>
      <c r="B6894" s="3">
        <v>43418</v>
      </c>
      <c r="C6894">
        <v>375.26</v>
      </c>
      <c r="D6894">
        <v>1.131</v>
      </c>
      <c r="E6894">
        <v>66.12</v>
      </c>
      <c r="F6894">
        <v>271</v>
      </c>
      <c r="K6894" s="3"/>
      <c r="O6894" s="3"/>
    </row>
    <row r="6895" spans="1:15">
      <c r="A6895" s="3">
        <v>43419</v>
      </c>
      <c r="B6895" s="3">
        <v>43419</v>
      </c>
      <c r="C6895">
        <v>367.91</v>
      </c>
      <c r="D6895">
        <v>1.1328</v>
      </c>
      <c r="E6895">
        <v>66.62</v>
      </c>
      <c r="F6895">
        <v>274.64999999999998</v>
      </c>
      <c r="K6895" s="3"/>
      <c r="O6895" s="3"/>
    </row>
    <row r="6896" spans="1:15">
      <c r="A6896" s="3">
        <v>43420</v>
      </c>
      <c r="B6896" s="3">
        <v>43420</v>
      </c>
      <c r="C6896">
        <v>368.33</v>
      </c>
      <c r="D6896">
        <v>1.1415</v>
      </c>
      <c r="E6896">
        <v>66.760000000000005</v>
      </c>
      <c r="F6896">
        <v>279.85000000000002</v>
      </c>
      <c r="K6896" s="3"/>
      <c r="O6896" s="3"/>
    </row>
    <row r="6897" spans="1:15">
      <c r="A6897" s="3">
        <v>43421</v>
      </c>
      <c r="B6897" s="3">
        <v>43421</v>
      </c>
      <c r="C6897">
        <v>368.33</v>
      </c>
      <c r="D6897">
        <v>1.1415</v>
      </c>
      <c r="E6897">
        <v>66.760000000000005</v>
      </c>
      <c r="F6897">
        <v>279.85000000000002</v>
      </c>
      <c r="K6897" s="3"/>
      <c r="O6897" s="3"/>
    </row>
    <row r="6898" spans="1:15">
      <c r="A6898" s="3">
        <v>43422</v>
      </c>
      <c r="B6898" s="3">
        <v>43422</v>
      </c>
      <c r="C6898">
        <v>368.33</v>
      </c>
      <c r="D6898">
        <v>1.1415</v>
      </c>
      <c r="E6898">
        <v>66.760000000000005</v>
      </c>
      <c r="F6898">
        <v>279.85000000000002</v>
      </c>
      <c r="K6898" s="3"/>
      <c r="O6898" s="3"/>
    </row>
    <row r="6899" spans="1:15">
      <c r="A6899" s="3">
        <v>43423</v>
      </c>
      <c r="B6899" s="3">
        <v>43423</v>
      </c>
      <c r="C6899">
        <v>367.38</v>
      </c>
      <c r="D6899">
        <v>1.1454</v>
      </c>
      <c r="E6899">
        <v>66.790000000000006</v>
      </c>
      <c r="F6899">
        <v>279.89999999999998</v>
      </c>
      <c r="K6899" s="3"/>
      <c r="O6899" s="3"/>
    </row>
    <row r="6900" spans="1:15">
      <c r="A6900" s="3">
        <v>43424</v>
      </c>
      <c r="B6900" s="3">
        <v>43424</v>
      </c>
      <c r="C6900">
        <v>366.58</v>
      </c>
      <c r="D6900">
        <v>1.137</v>
      </c>
      <c r="E6900">
        <v>62.53</v>
      </c>
      <c r="F6900">
        <v>276.64999999999998</v>
      </c>
      <c r="K6900" s="3"/>
      <c r="O6900" s="3"/>
    </row>
    <row r="6901" spans="1:15">
      <c r="A6901" s="3">
        <v>43425</v>
      </c>
      <c r="B6901" s="3">
        <v>43425</v>
      </c>
      <c r="C6901">
        <v>367.12</v>
      </c>
      <c r="D6901">
        <v>1.1384000000000001</v>
      </c>
      <c r="E6901">
        <v>63.48</v>
      </c>
      <c r="F6901">
        <v>279.45</v>
      </c>
      <c r="K6901" s="3"/>
      <c r="O6901" s="3"/>
    </row>
    <row r="6902" spans="1:15">
      <c r="A6902" s="3">
        <v>43426</v>
      </c>
      <c r="B6902" s="3">
        <v>43426</v>
      </c>
      <c r="C6902">
        <v>367.3</v>
      </c>
      <c r="D6902">
        <v>1.1403000000000001</v>
      </c>
      <c r="E6902">
        <v>62.6</v>
      </c>
      <c r="F6902">
        <v>279.45</v>
      </c>
      <c r="K6902" s="3"/>
      <c r="O6902" s="3"/>
    </row>
    <row r="6903" spans="1:15">
      <c r="A6903" s="3">
        <v>43427</v>
      </c>
      <c r="B6903" s="3">
        <v>43427</v>
      </c>
      <c r="C6903">
        <v>365.74</v>
      </c>
      <c r="D6903">
        <v>1.1336999999999999</v>
      </c>
      <c r="E6903">
        <v>58.8</v>
      </c>
      <c r="F6903">
        <v>276.64999999999998</v>
      </c>
    </row>
    <row r="6904" spans="1:15">
      <c r="A6904" s="3">
        <v>43428</v>
      </c>
      <c r="B6904" s="3">
        <v>43428</v>
      </c>
      <c r="C6904">
        <v>365.74</v>
      </c>
      <c r="D6904">
        <v>1.1336999999999999</v>
      </c>
      <c r="E6904">
        <v>58.8</v>
      </c>
      <c r="F6904">
        <v>276.64999999999998</v>
      </c>
    </row>
    <row r="6905" spans="1:15">
      <c r="A6905" s="3">
        <v>43429</v>
      </c>
      <c r="B6905" s="3">
        <v>43429</v>
      </c>
      <c r="C6905">
        <v>365.74</v>
      </c>
      <c r="D6905">
        <v>1.1336999999999999</v>
      </c>
      <c r="E6905">
        <v>58.8</v>
      </c>
      <c r="F6905">
        <v>276.64999999999998</v>
      </c>
    </row>
    <row r="6906" spans="1:15">
      <c r="A6906" s="3">
        <v>43430</v>
      </c>
      <c r="B6906" s="3">
        <v>43430</v>
      </c>
      <c r="C6906">
        <v>371.85</v>
      </c>
      <c r="D6906">
        <v>1.1328</v>
      </c>
      <c r="E6906">
        <v>60.48</v>
      </c>
      <c r="F6906">
        <v>275.55</v>
      </c>
    </row>
    <row r="6907" spans="1:15">
      <c r="A6907" s="3">
        <v>43431</v>
      </c>
      <c r="B6907" s="3">
        <v>43431</v>
      </c>
      <c r="C6907">
        <v>372.4</v>
      </c>
      <c r="D6907">
        <v>1.1289</v>
      </c>
      <c r="E6907">
        <v>60.21</v>
      </c>
      <c r="F6907">
        <v>270.75</v>
      </c>
    </row>
    <row r="6908" spans="1:15">
      <c r="A6908" s="3">
        <v>43432</v>
      </c>
      <c r="B6908" s="3">
        <v>43432</v>
      </c>
      <c r="C6908">
        <v>373.19</v>
      </c>
      <c r="D6908">
        <v>1.1366000000000001</v>
      </c>
      <c r="E6908">
        <v>58.76</v>
      </c>
      <c r="F6908">
        <v>279.55</v>
      </c>
    </row>
    <row r="6909" spans="1:15">
      <c r="A6909" s="3">
        <v>43433</v>
      </c>
      <c r="B6909" s="3">
        <v>43433</v>
      </c>
      <c r="C6909">
        <v>371.2</v>
      </c>
      <c r="D6909">
        <v>1.1393</v>
      </c>
      <c r="E6909">
        <v>59.51</v>
      </c>
      <c r="F6909">
        <v>277.8</v>
      </c>
    </row>
    <row r="6910" spans="1:15">
      <c r="A6910" s="3">
        <v>43434</v>
      </c>
      <c r="B6910" s="3">
        <v>43434</v>
      </c>
      <c r="C6910">
        <v>373.13</v>
      </c>
      <c r="D6910">
        <v>1.1316999999999999</v>
      </c>
      <c r="E6910">
        <v>58.71</v>
      </c>
      <c r="F6910">
        <v>277.75</v>
      </c>
    </row>
    <row r="6911" spans="1:15">
      <c r="A6911" s="3">
        <v>43435</v>
      </c>
      <c r="B6911" s="3">
        <v>43435</v>
      </c>
      <c r="C6911">
        <v>373.13</v>
      </c>
      <c r="D6911">
        <v>1.1316999999999999</v>
      </c>
      <c r="E6911">
        <v>58.71</v>
      </c>
      <c r="F6911">
        <v>277.75</v>
      </c>
    </row>
    <row r="6912" spans="1:15">
      <c r="A6912" s="3">
        <v>43436</v>
      </c>
      <c r="B6912" s="3">
        <v>43436</v>
      </c>
      <c r="C6912">
        <v>373.13</v>
      </c>
      <c r="D6912">
        <v>1.1316999999999999</v>
      </c>
      <c r="E6912">
        <v>58.71</v>
      </c>
      <c r="F6912">
        <v>277.75</v>
      </c>
    </row>
    <row r="6913" spans="1:6">
      <c r="A6913" s="3">
        <v>43437</v>
      </c>
      <c r="B6913" s="3">
        <v>43437</v>
      </c>
      <c r="C6913">
        <v>373.13</v>
      </c>
      <c r="D6913">
        <v>1.1354</v>
      </c>
      <c r="E6913">
        <v>61.69</v>
      </c>
      <c r="F6913">
        <v>279.95</v>
      </c>
    </row>
    <row r="6914" spans="1:6">
      <c r="A6914" s="3">
        <v>43438</v>
      </c>
      <c r="B6914" s="3">
        <v>43438</v>
      </c>
      <c r="C6914">
        <v>371.07</v>
      </c>
      <c r="D6914">
        <v>1.1343000000000001</v>
      </c>
      <c r="E6914">
        <v>62.08</v>
      </c>
      <c r="F6914">
        <v>274.85000000000002</v>
      </c>
    </row>
    <row r="6915" spans="1:6">
      <c r="A6915" s="3">
        <v>43439</v>
      </c>
      <c r="B6915" s="3">
        <v>43439</v>
      </c>
      <c r="C6915">
        <v>370.68</v>
      </c>
      <c r="D6915">
        <v>1.1344000000000001</v>
      </c>
      <c r="E6915">
        <v>61.56</v>
      </c>
      <c r="F6915">
        <v>276.8</v>
      </c>
    </row>
    <row r="6916" spans="1:6">
      <c r="A6916" s="3">
        <v>43440</v>
      </c>
      <c r="B6916" s="3">
        <v>43440</v>
      </c>
      <c r="C6916">
        <v>371.1</v>
      </c>
      <c r="D6916">
        <v>1.1374</v>
      </c>
      <c r="E6916">
        <v>60.06</v>
      </c>
      <c r="F6916">
        <v>274.05</v>
      </c>
    </row>
    <row r="6917" spans="1:6">
      <c r="A6917" s="3">
        <v>43441</v>
      </c>
      <c r="B6917" s="3">
        <v>43441</v>
      </c>
      <c r="C6917">
        <v>370.47</v>
      </c>
      <c r="D6917">
        <v>1.1378999999999999</v>
      </c>
      <c r="E6917">
        <v>61.67</v>
      </c>
      <c r="F6917">
        <v>275.75</v>
      </c>
    </row>
    <row r="6918" spans="1:6">
      <c r="A6918" s="3">
        <v>43442</v>
      </c>
      <c r="B6918" s="3">
        <v>43442</v>
      </c>
      <c r="C6918">
        <v>370.47</v>
      </c>
      <c r="D6918">
        <v>1.1378999999999999</v>
      </c>
      <c r="E6918">
        <v>61.67</v>
      </c>
      <c r="F6918">
        <v>275.75</v>
      </c>
    </row>
    <row r="6919" spans="1:6">
      <c r="A6919" s="3">
        <v>43443</v>
      </c>
      <c r="B6919" s="3">
        <v>43443</v>
      </c>
      <c r="C6919">
        <v>370.47</v>
      </c>
      <c r="D6919">
        <v>1.1378999999999999</v>
      </c>
      <c r="E6919">
        <v>61.67</v>
      </c>
      <c r="F6919">
        <v>275.75</v>
      </c>
    </row>
    <row r="6920" spans="1:6">
      <c r="A6920" s="3">
        <v>43444</v>
      </c>
      <c r="B6920" s="3">
        <v>43444</v>
      </c>
      <c r="C6920">
        <v>369.48</v>
      </c>
      <c r="D6920">
        <v>1.1355999999999999</v>
      </c>
      <c r="E6920">
        <v>59.97</v>
      </c>
      <c r="F6920">
        <v>271.85000000000002</v>
      </c>
    </row>
    <row r="6921" spans="1:6">
      <c r="A6921" s="3">
        <v>43445</v>
      </c>
      <c r="B6921" s="3">
        <v>43445</v>
      </c>
      <c r="C6921">
        <v>370.77</v>
      </c>
      <c r="D6921">
        <v>1.1316999999999999</v>
      </c>
      <c r="E6921">
        <v>60.2</v>
      </c>
      <c r="F6921">
        <v>276.60000000000002</v>
      </c>
    </row>
    <row r="6922" spans="1:6">
      <c r="A6922" s="3">
        <v>43446</v>
      </c>
      <c r="B6922" s="3">
        <v>43446</v>
      </c>
      <c r="C6922">
        <v>370.58</v>
      </c>
      <c r="D6922">
        <v>1.1369</v>
      </c>
      <c r="E6922">
        <v>60.15</v>
      </c>
      <c r="F6922">
        <v>276.85000000000002</v>
      </c>
    </row>
    <row r="6923" spans="1:6">
      <c r="A6923" s="3">
        <v>43447</v>
      </c>
      <c r="B6923" s="3">
        <v>43447</v>
      </c>
      <c r="C6923">
        <v>370.39</v>
      </c>
      <c r="D6923">
        <v>1.1361000000000001</v>
      </c>
      <c r="E6923">
        <v>61.45</v>
      </c>
      <c r="F6923">
        <v>276.25</v>
      </c>
    </row>
    <row r="6924" spans="1:6">
      <c r="A6924" s="3">
        <v>43448</v>
      </c>
      <c r="B6924" s="3">
        <v>43448</v>
      </c>
      <c r="C6924">
        <v>370.85</v>
      </c>
      <c r="D6924">
        <v>1.1306</v>
      </c>
      <c r="E6924">
        <v>60.28</v>
      </c>
      <c r="F6924">
        <v>276.05</v>
      </c>
    </row>
    <row r="6925" spans="1:6">
      <c r="A6925" s="3">
        <v>43449</v>
      </c>
      <c r="B6925" s="3">
        <v>43449</v>
      </c>
      <c r="C6925">
        <v>370.85</v>
      </c>
      <c r="D6925">
        <v>1.1306</v>
      </c>
      <c r="E6925">
        <v>60.28</v>
      </c>
      <c r="F6925">
        <v>276.05</v>
      </c>
    </row>
    <row r="6926" spans="1:6">
      <c r="A6926" s="3">
        <v>43450</v>
      </c>
      <c r="B6926" s="3">
        <v>43450</v>
      </c>
      <c r="C6926">
        <v>370.85</v>
      </c>
      <c r="D6926">
        <v>1.1306</v>
      </c>
      <c r="E6926">
        <v>60.28</v>
      </c>
      <c r="F6926">
        <v>276.05</v>
      </c>
    </row>
    <row r="6927" spans="1:6">
      <c r="A6927" s="3">
        <v>43451</v>
      </c>
      <c r="B6927" s="3">
        <v>43451</v>
      </c>
      <c r="C6927">
        <v>370.85</v>
      </c>
      <c r="D6927">
        <v>1.1348</v>
      </c>
      <c r="E6927">
        <v>59.61</v>
      </c>
      <c r="F6927">
        <v>275.3</v>
      </c>
    </row>
    <row r="6928" spans="1:6">
      <c r="A6928" s="3">
        <v>43452</v>
      </c>
      <c r="B6928" s="3">
        <v>43452</v>
      </c>
      <c r="C6928">
        <v>370.85</v>
      </c>
      <c r="D6928">
        <v>1.1361000000000001</v>
      </c>
      <c r="E6928">
        <v>56.26</v>
      </c>
      <c r="F6928">
        <v>267.10000000000002</v>
      </c>
    </row>
    <row r="6929" spans="1:6">
      <c r="A6929" s="3">
        <v>43453</v>
      </c>
      <c r="B6929" s="3">
        <v>43453</v>
      </c>
      <c r="C6929">
        <v>371.38</v>
      </c>
      <c r="D6929">
        <v>1.1375999999999999</v>
      </c>
      <c r="E6929">
        <v>57.24</v>
      </c>
      <c r="F6929">
        <v>272.14999999999998</v>
      </c>
    </row>
    <row r="6930" spans="1:6">
      <c r="A6930" s="3">
        <v>43454</v>
      </c>
      <c r="B6930" s="3">
        <v>43454</v>
      </c>
      <c r="C6930">
        <v>370.46</v>
      </c>
      <c r="D6930">
        <v>1.1446000000000001</v>
      </c>
      <c r="E6930">
        <v>54.35</v>
      </c>
      <c r="F6930">
        <v>270.2</v>
      </c>
    </row>
    <row r="6931" spans="1:6">
      <c r="A6931" s="3">
        <v>43455</v>
      </c>
      <c r="B6931" s="3">
        <v>43455</v>
      </c>
      <c r="C6931">
        <v>370.95</v>
      </c>
      <c r="D6931">
        <v>1.1372</v>
      </c>
      <c r="E6931">
        <v>53.82</v>
      </c>
      <c r="F6931">
        <v>267.85000000000002</v>
      </c>
    </row>
    <row r="6932" spans="1:6">
      <c r="A6932" s="3">
        <v>43456</v>
      </c>
      <c r="B6932" s="3">
        <v>43456</v>
      </c>
      <c r="C6932">
        <v>370.95</v>
      </c>
      <c r="D6932">
        <v>1.1372</v>
      </c>
      <c r="E6932">
        <v>53.82</v>
      </c>
      <c r="F6932">
        <v>267.85000000000002</v>
      </c>
    </row>
    <row r="6933" spans="1:6">
      <c r="A6933" s="3">
        <v>43457</v>
      </c>
      <c r="B6933" s="3">
        <v>43457</v>
      </c>
      <c r="C6933">
        <v>370.95</v>
      </c>
      <c r="D6933">
        <v>1.1372</v>
      </c>
      <c r="E6933">
        <v>53.82</v>
      </c>
      <c r="F6933">
        <v>267.85000000000002</v>
      </c>
    </row>
    <row r="6934" spans="1:6">
      <c r="A6934" s="3">
        <v>43458</v>
      </c>
      <c r="B6934" s="3">
        <v>43458</v>
      </c>
      <c r="C6934">
        <v>371.13</v>
      </c>
      <c r="D6934">
        <v>1.1406000000000001</v>
      </c>
      <c r="E6934">
        <v>50.47</v>
      </c>
      <c r="F6934">
        <v>266.85000000000002</v>
      </c>
    </row>
    <row r="6935" spans="1:6">
      <c r="A6935" s="3">
        <v>43459</v>
      </c>
      <c r="B6935" s="3">
        <v>43459</v>
      </c>
      <c r="C6935">
        <v>372</v>
      </c>
      <c r="D6935">
        <v>1.1392</v>
      </c>
      <c r="E6935">
        <v>50.47</v>
      </c>
      <c r="F6935">
        <v>266.85000000000002</v>
      </c>
    </row>
    <row r="6936" spans="1:6">
      <c r="A6936" s="3">
        <v>43460</v>
      </c>
      <c r="B6936" s="3">
        <v>43460</v>
      </c>
      <c r="C6936">
        <v>375.77</v>
      </c>
      <c r="D6936">
        <v>1.1353</v>
      </c>
      <c r="E6936">
        <v>54.47</v>
      </c>
      <c r="F6936">
        <v>270.85000000000002</v>
      </c>
    </row>
    <row r="6937" spans="1:6">
      <c r="A6937" s="3">
        <v>43461</v>
      </c>
      <c r="B6937" s="3">
        <v>43461</v>
      </c>
      <c r="C6937">
        <v>377.38</v>
      </c>
      <c r="D6937">
        <v>1.143</v>
      </c>
      <c r="E6937">
        <v>52.16</v>
      </c>
      <c r="F6937">
        <v>266.75</v>
      </c>
    </row>
    <row r="6938" spans="1:6">
      <c r="A6938" s="3">
        <v>43462</v>
      </c>
      <c r="B6938" s="3">
        <v>43462</v>
      </c>
      <c r="C6938">
        <v>380.88</v>
      </c>
      <c r="D6938">
        <v>1.1444000000000001</v>
      </c>
      <c r="E6938">
        <v>52.2</v>
      </c>
      <c r="F6938">
        <v>268.14999999999998</v>
      </c>
    </row>
    <row r="6939" spans="1:6">
      <c r="A6939" s="3">
        <v>43463</v>
      </c>
      <c r="B6939" s="3">
        <v>43463</v>
      </c>
      <c r="C6939">
        <v>380.88</v>
      </c>
      <c r="D6939">
        <v>1.1444000000000001</v>
      </c>
      <c r="E6939">
        <v>52.2</v>
      </c>
      <c r="F6939">
        <v>268.14999999999998</v>
      </c>
    </row>
    <row r="6940" spans="1:6">
      <c r="A6940" s="3">
        <v>43464</v>
      </c>
      <c r="B6940" s="3">
        <v>43464</v>
      </c>
      <c r="C6940">
        <v>380.88</v>
      </c>
      <c r="D6940">
        <v>1.1444000000000001</v>
      </c>
      <c r="E6940">
        <v>52.2</v>
      </c>
      <c r="F6940">
        <v>268.14999999999998</v>
      </c>
    </row>
    <row r="6941" spans="1:6">
      <c r="A6941" s="3">
        <v>43465</v>
      </c>
      <c r="B6941" s="3">
        <v>43465</v>
      </c>
      <c r="C6941">
        <v>380.88</v>
      </c>
      <c r="D6941">
        <v>1.1467000000000001</v>
      </c>
      <c r="E6941">
        <v>53.8</v>
      </c>
      <c r="F6941">
        <v>263.10000000000002</v>
      </c>
    </row>
    <row r="6942" spans="1:6">
      <c r="A6942" s="3">
        <v>43466</v>
      </c>
      <c r="B6942" s="3">
        <v>43466</v>
      </c>
      <c r="C6942">
        <v>380.88</v>
      </c>
      <c r="D6942">
        <v>1.1465000000000001</v>
      </c>
      <c r="E6942">
        <v>53.8</v>
      </c>
      <c r="F6942">
        <v>263.10000000000002</v>
      </c>
    </row>
    <row r="6943" spans="1:6">
      <c r="A6943" s="3">
        <v>43467</v>
      </c>
      <c r="B6943" s="3">
        <v>43467</v>
      </c>
      <c r="C6943">
        <v>380.88</v>
      </c>
      <c r="D6943">
        <v>1.1344000000000001</v>
      </c>
      <c r="E6943">
        <v>54.91</v>
      </c>
      <c r="F6943">
        <v>262.3</v>
      </c>
    </row>
    <row r="6944" spans="1:6">
      <c r="A6944" s="3">
        <v>43468</v>
      </c>
      <c r="B6944" s="3">
        <v>43468</v>
      </c>
      <c r="C6944">
        <v>380.96</v>
      </c>
      <c r="D6944">
        <v>1.1394</v>
      </c>
      <c r="E6944">
        <v>55.95</v>
      </c>
      <c r="F6944">
        <v>256.8</v>
      </c>
    </row>
    <row r="6945" spans="1:6">
      <c r="A6945" s="3">
        <v>43469</v>
      </c>
      <c r="B6945" s="3">
        <v>43469</v>
      </c>
      <c r="C6945">
        <v>376.81</v>
      </c>
      <c r="D6945">
        <v>1.1395</v>
      </c>
      <c r="E6945">
        <v>57.06</v>
      </c>
      <c r="F6945">
        <v>264.75</v>
      </c>
    </row>
    <row r="6946" spans="1:6">
      <c r="A6946" s="3">
        <v>43470</v>
      </c>
      <c r="B6946" s="3">
        <v>43470</v>
      </c>
      <c r="C6946">
        <v>376.81</v>
      </c>
      <c r="D6946">
        <v>1.1395</v>
      </c>
      <c r="E6946">
        <v>57.06</v>
      </c>
      <c r="F6946">
        <v>264.75</v>
      </c>
    </row>
    <row r="6947" spans="1:6">
      <c r="A6947" s="3">
        <v>43471</v>
      </c>
      <c r="B6947" s="3">
        <v>43471</v>
      </c>
      <c r="C6947">
        <v>376.81</v>
      </c>
      <c r="D6947">
        <v>1.1395</v>
      </c>
      <c r="E6947">
        <v>57.06</v>
      </c>
      <c r="F6947">
        <v>264.75</v>
      </c>
    </row>
    <row r="6948" spans="1:6">
      <c r="A6948" s="3">
        <v>43472</v>
      </c>
      <c r="B6948" s="3">
        <v>43472</v>
      </c>
      <c r="C6948">
        <v>376.81</v>
      </c>
      <c r="D6948">
        <v>1.1474</v>
      </c>
      <c r="E6948">
        <v>57.33</v>
      </c>
      <c r="F6948">
        <v>263.7</v>
      </c>
    </row>
    <row r="6949" spans="1:6">
      <c r="A6949" s="3">
        <v>43473</v>
      </c>
      <c r="B6949" s="3">
        <v>43473</v>
      </c>
      <c r="C6949">
        <v>375.23</v>
      </c>
      <c r="D6949">
        <v>1.1440999999999999</v>
      </c>
      <c r="E6949">
        <v>58.72</v>
      </c>
      <c r="F6949">
        <v>265.60000000000002</v>
      </c>
    </row>
    <row r="6950" spans="1:6">
      <c r="A6950" s="3">
        <v>43474</v>
      </c>
      <c r="B6950" s="3">
        <v>43474</v>
      </c>
      <c r="C6950">
        <v>375.94</v>
      </c>
      <c r="D6950">
        <v>1.1543000000000001</v>
      </c>
      <c r="E6950">
        <v>61.44</v>
      </c>
      <c r="F6950">
        <v>265.7</v>
      </c>
    </row>
    <row r="6951" spans="1:6">
      <c r="A6951" s="3">
        <v>43475</v>
      </c>
      <c r="B6951" s="3">
        <v>43475</v>
      </c>
      <c r="C6951">
        <v>375.22</v>
      </c>
      <c r="D6951">
        <v>1.1499999999999999</v>
      </c>
      <c r="E6951">
        <v>61.68</v>
      </c>
      <c r="F6951">
        <v>263.75</v>
      </c>
    </row>
    <row r="6952" spans="1:6">
      <c r="A6952" s="3">
        <v>43476</v>
      </c>
      <c r="B6952" s="3">
        <v>43476</v>
      </c>
      <c r="C6952">
        <v>376.5</v>
      </c>
      <c r="D6952">
        <v>1.1469</v>
      </c>
      <c r="E6952">
        <v>60.48</v>
      </c>
      <c r="F6952">
        <v>266.2</v>
      </c>
    </row>
    <row r="6953" spans="1:6">
      <c r="A6953" s="3">
        <v>43477</v>
      </c>
      <c r="B6953" s="3">
        <v>43477</v>
      </c>
      <c r="C6953">
        <v>376.5</v>
      </c>
      <c r="D6953">
        <v>1.1469</v>
      </c>
      <c r="E6953">
        <v>60.48</v>
      </c>
      <c r="F6953">
        <v>266.2</v>
      </c>
    </row>
    <row r="6954" spans="1:6">
      <c r="A6954" s="3">
        <v>43478</v>
      </c>
      <c r="B6954" s="3">
        <v>43478</v>
      </c>
      <c r="C6954">
        <v>376.5</v>
      </c>
      <c r="D6954">
        <v>1.1469</v>
      </c>
      <c r="E6954">
        <v>60.48</v>
      </c>
      <c r="F6954">
        <v>266.2</v>
      </c>
    </row>
    <row r="6955" spans="1:6">
      <c r="A6955" s="3">
        <v>43479</v>
      </c>
      <c r="B6955" s="3">
        <v>43479</v>
      </c>
      <c r="C6955">
        <v>379.3</v>
      </c>
      <c r="D6955">
        <v>1.1469</v>
      </c>
      <c r="E6955">
        <v>58.99</v>
      </c>
      <c r="F6955">
        <v>263.5</v>
      </c>
    </row>
    <row r="6956" spans="1:6">
      <c r="A6956" s="3">
        <v>43480</v>
      </c>
      <c r="B6956" s="3">
        <v>43480</v>
      </c>
      <c r="C6956">
        <v>378.45</v>
      </c>
      <c r="D6956">
        <v>1.1413</v>
      </c>
      <c r="E6956">
        <v>60.64</v>
      </c>
      <c r="F6956">
        <v>263.45</v>
      </c>
    </row>
    <row r="6957" spans="1:6">
      <c r="A6957" s="3">
        <v>43481</v>
      </c>
      <c r="B6957" s="3">
        <v>43481</v>
      </c>
      <c r="C6957">
        <v>377.81</v>
      </c>
      <c r="D6957">
        <v>1.1392</v>
      </c>
      <c r="E6957">
        <v>61.32</v>
      </c>
      <c r="F6957">
        <v>267.35000000000002</v>
      </c>
    </row>
    <row r="6958" spans="1:6">
      <c r="A6958" s="3">
        <v>43482</v>
      </c>
      <c r="B6958" s="3">
        <v>43482</v>
      </c>
      <c r="C6958">
        <v>378.1</v>
      </c>
      <c r="D6958">
        <v>1.1389</v>
      </c>
      <c r="E6958">
        <v>61.18</v>
      </c>
      <c r="F6958">
        <v>268</v>
      </c>
    </row>
    <row r="6959" spans="1:6">
      <c r="A6959" s="3">
        <v>43483</v>
      </c>
      <c r="B6959" s="3">
        <v>43483</v>
      </c>
      <c r="C6959">
        <v>379.52</v>
      </c>
      <c r="D6959">
        <v>1.1363000000000001</v>
      </c>
      <c r="E6959">
        <v>62.7</v>
      </c>
      <c r="F6959">
        <v>271.89999999999998</v>
      </c>
    </row>
    <row r="6960" spans="1:6">
      <c r="A6960" s="3">
        <v>43484</v>
      </c>
      <c r="B6960" s="3">
        <v>43484</v>
      </c>
      <c r="C6960">
        <v>379.52</v>
      </c>
      <c r="D6960">
        <v>1.1363000000000001</v>
      </c>
      <c r="E6960">
        <v>62.7</v>
      </c>
      <c r="F6960">
        <v>271.89999999999998</v>
      </c>
    </row>
    <row r="6961" spans="1:6">
      <c r="A6961" s="3">
        <v>43485</v>
      </c>
      <c r="B6961" s="3">
        <v>43485</v>
      </c>
      <c r="C6961">
        <v>379.52</v>
      </c>
      <c r="D6961">
        <v>1.1363000000000001</v>
      </c>
      <c r="E6961">
        <v>62.7</v>
      </c>
      <c r="F6961">
        <v>271.89999999999998</v>
      </c>
    </row>
    <row r="6962" spans="1:6">
      <c r="A6962" s="3">
        <v>43486</v>
      </c>
      <c r="B6962" s="3">
        <v>43486</v>
      </c>
      <c r="C6962">
        <v>378.76</v>
      </c>
      <c r="D6962">
        <v>1.1365000000000001</v>
      </c>
      <c r="E6962">
        <v>62.74</v>
      </c>
      <c r="F6962">
        <v>271.89999999999998</v>
      </c>
    </row>
    <row r="6963" spans="1:6">
      <c r="A6963" s="3">
        <v>43487</v>
      </c>
      <c r="B6963" s="3">
        <v>43487</v>
      </c>
      <c r="C6963">
        <v>379.35</v>
      </c>
      <c r="D6963">
        <v>1.1359999999999999</v>
      </c>
      <c r="E6963">
        <v>61.5</v>
      </c>
      <c r="F6963">
        <v>265.95</v>
      </c>
    </row>
    <row r="6964" spans="1:6">
      <c r="A6964" s="3">
        <v>43488</v>
      </c>
      <c r="B6964" s="3">
        <v>43488</v>
      </c>
      <c r="C6964">
        <v>378.85</v>
      </c>
      <c r="D6964">
        <v>1.1380999999999999</v>
      </c>
      <c r="E6964">
        <v>61.14</v>
      </c>
      <c r="F6964">
        <v>265.45</v>
      </c>
    </row>
    <row r="6965" spans="1:6">
      <c r="A6965" s="3">
        <v>43489</v>
      </c>
      <c r="B6965" s="3">
        <v>43489</v>
      </c>
      <c r="C6965">
        <v>377.6</v>
      </c>
      <c r="D6965">
        <v>1.1304000000000001</v>
      </c>
      <c r="E6965">
        <v>61.09</v>
      </c>
      <c r="F6965">
        <v>264.45</v>
      </c>
    </row>
    <row r="6966" spans="1:6">
      <c r="A6966" s="3">
        <v>43490</v>
      </c>
      <c r="B6966" s="3">
        <v>43490</v>
      </c>
      <c r="C6966">
        <v>378.9</v>
      </c>
      <c r="D6966">
        <v>1.1406000000000001</v>
      </c>
      <c r="E6966">
        <v>61.64</v>
      </c>
      <c r="F6966">
        <v>272.89999999999998</v>
      </c>
    </row>
    <row r="6967" spans="1:6">
      <c r="A6967" s="3">
        <v>43491</v>
      </c>
      <c r="B6967" s="3">
        <v>43491</v>
      </c>
      <c r="C6967">
        <v>378.9</v>
      </c>
      <c r="D6967">
        <v>1.1406000000000001</v>
      </c>
      <c r="E6967">
        <v>61.64</v>
      </c>
      <c r="F6967">
        <v>272.89999999999998</v>
      </c>
    </row>
    <row r="6968" spans="1:6">
      <c r="A6968" s="3">
        <v>43492</v>
      </c>
      <c r="B6968" s="3">
        <v>43492</v>
      </c>
      <c r="C6968">
        <v>378.9</v>
      </c>
      <c r="D6968">
        <v>1.1406000000000001</v>
      </c>
      <c r="E6968">
        <v>61.64</v>
      </c>
      <c r="F6968">
        <v>272.89999999999998</v>
      </c>
    </row>
    <row r="6969" spans="1:6">
      <c r="A6969" s="3">
        <v>43493</v>
      </c>
      <c r="B6969" s="3">
        <v>43493</v>
      </c>
      <c r="C6969">
        <v>379.57</v>
      </c>
      <c r="D6969">
        <v>1.1428</v>
      </c>
      <c r="E6969">
        <v>59.93</v>
      </c>
      <c r="F6969">
        <v>268</v>
      </c>
    </row>
    <row r="6970" spans="1:6">
      <c r="A6970" s="3">
        <v>43494</v>
      </c>
      <c r="B6970" s="3">
        <v>43494</v>
      </c>
      <c r="C6970">
        <v>379.85</v>
      </c>
      <c r="D6970">
        <v>1.1433</v>
      </c>
      <c r="E6970">
        <v>61.32</v>
      </c>
      <c r="F6970">
        <v>272.5</v>
      </c>
    </row>
    <row r="6971" spans="1:6">
      <c r="A6971" s="3">
        <v>43495</v>
      </c>
      <c r="B6971" s="3">
        <v>43495</v>
      </c>
      <c r="C6971">
        <v>381.08</v>
      </c>
      <c r="D6971">
        <v>1.1479999999999999</v>
      </c>
      <c r="E6971">
        <v>61.65</v>
      </c>
      <c r="F6971">
        <v>276.75</v>
      </c>
    </row>
    <row r="6972" spans="1:6">
      <c r="A6972" s="3">
        <v>43496</v>
      </c>
      <c r="B6972" s="3">
        <v>43496</v>
      </c>
      <c r="C6972">
        <v>380.72</v>
      </c>
      <c r="D6972">
        <v>1.1448</v>
      </c>
      <c r="E6972">
        <v>61.89</v>
      </c>
      <c r="F6972">
        <v>278.45</v>
      </c>
    </row>
    <row r="6973" spans="1:6">
      <c r="A6973" s="3">
        <v>43497</v>
      </c>
      <c r="B6973" s="3">
        <v>43497</v>
      </c>
      <c r="C6973">
        <v>382.68</v>
      </c>
      <c r="D6973">
        <v>1.1456</v>
      </c>
      <c r="E6973">
        <v>62.75</v>
      </c>
      <c r="F6973">
        <v>277.3</v>
      </c>
    </row>
    <row r="6974" spans="1:6">
      <c r="A6974" s="3">
        <v>43498</v>
      </c>
      <c r="B6974" s="3">
        <v>43498</v>
      </c>
      <c r="C6974">
        <v>382.68</v>
      </c>
      <c r="D6974">
        <v>1.1456</v>
      </c>
      <c r="E6974">
        <v>62.75</v>
      </c>
      <c r="F6974">
        <v>277.3</v>
      </c>
    </row>
    <row r="6975" spans="1:6">
      <c r="A6975" s="3">
        <v>43499</v>
      </c>
      <c r="B6975" s="3">
        <v>43499</v>
      </c>
      <c r="C6975">
        <v>382.68</v>
      </c>
      <c r="D6975">
        <v>1.1456</v>
      </c>
      <c r="E6975">
        <v>62.75</v>
      </c>
      <c r="F6975">
        <v>277.3</v>
      </c>
    </row>
    <row r="6976" spans="1:6">
      <c r="A6976" s="3">
        <v>43500</v>
      </c>
      <c r="B6976" s="3">
        <v>43500</v>
      </c>
      <c r="C6976">
        <v>381.81</v>
      </c>
      <c r="D6976">
        <v>1.1437999999999999</v>
      </c>
      <c r="E6976">
        <v>62.51</v>
      </c>
      <c r="F6976">
        <v>279.45</v>
      </c>
    </row>
    <row r="6977" spans="1:6">
      <c r="A6977" s="3">
        <v>43501</v>
      </c>
      <c r="B6977" s="3">
        <v>43501</v>
      </c>
      <c r="C6977">
        <v>377.54</v>
      </c>
      <c r="D6977">
        <v>1.1406000000000001</v>
      </c>
      <c r="E6977">
        <v>61.98</v>
      </c>
      <c r="F6977">
        <v>281.7</v>
      </c>
    </row>
    <row r="6978" spans="1:6">
      <c r="A6978" s="3">
        <v>43502</v>
      </c>
      <c r="B6978" s="3">
        <v>43502</v>
      </c>
      <c r="C6978">
        <v>376.8</v>
      </c>
      <c r="D6978">
        <v>1.1362000000000001</v>
      </c>
      <c r="E6978">
        <v>62.69</v>
      </c>
      <c r="F6978">
        <v>283.64999999999998</v>
      </c>
    </row>
    <row r="6979" spans="1:6">
      <c r="A6979" s="3">
        <v>43503</v>
      </c>
      <c r="B6979" s="3">
        <v>43503</v>
      </c>
      <c r="C6979">
        <v>379.04</v>
      </c>
      <c r="D6979">
        <v>1.1341000000000001</v>
      </c>
      <c r="E6979">
        <v>61.63</v>
      </c>
      <c r="F6979">
        <v>282.85000000000002</v>
      </c>
    </row>
    <row r="6980" spans="1:6">
      <c r="A6980" s="3">
        <v>43504</v>
      </c>
      <c r="B6980" s="3">
        <v>43504</v>
      </c>
      <c r="C6980">
        <v>377.82</v>
      </c>
      <c r="D6980">
        <v>1.1323000000000001</v>
      </c>
      <c r="E6980">
        <v>62.1</v>
      </c>
      <c r="F6980">
        <v>281.05</v>
      </c>
    </row>
    <row r="6981" spans="1:6">
      <c r="A6981" s="3">
        <v>43505</v>
      </c>
      <c r="B6981" s="3">
        <v>43505</v>
      </c>
      <c r="C6981">
        <v>377.82</v>
      </c>
      <c r="D6981">
        <v>1.1323000000000001</v>
      </c>
      <c r="E6981">
        <v>62.1</v>
      </c>
      <c r="F6981">
        <v>281.05</v>
      </c>
    </row>
    <row r="6982" spans="1:6">
      <c r="A6982" s="3">
        <v>43506</v>
      </c>
      <c r="B6982" s="3">
        <v>43506</v>
      </c>
      <c r="C6982">
        <v>377.82</v>
      </c>
      <c r="D6982">
        <v>1.1323000000000001</v>
      </c>
      <c r="E6982">
        <v>62.1</v>
      </c>
      <c r="F6982">
        <v>281.05</v>
      </c>
    </row>
    <row r="6983" spans="1:6">
      <c r="A6983" s="3">
        <v>43507</v>
      </c>
      <c r="B6983" s="3">
        <v>43507</v>
      </c>
      <c r="C6983">
        <v>375.91</v>
      </c>
      <c r="D6983">
        <v>1.1275999999999999</v>
      </c>
      <c r="E6983">
        <v>61.51</v>
      </c>
      <c r="F6983">
        <v>279</v>
      </c>
    </row>
    <row r="6984" spans="1:6">
      <c r="A6984" s="3">
        <v>43508</v>
      </c>
      <c r="B6984" s="3">
        <v>43508</v>
      </c>
      <c r="C6984">
        <v>374.69</v>
      </c>
      <c r="D6984">
        <v>1.1326000000000001</v>
      </c>
      <c r="E6984">
        <v>62.42</v>
      </c>
      <c r="F6984">
        <v>277.2</v>
      </c>
    </row>
    <row r="6985" spans="1:6">
      <c r="A6985" s="3">
        <v>43509</v>
      </c>
      <c r="B6985" s="3">
        <v>43509</v>
      </c>
      <c r="C6985">
        <v>374.82</v>
      </c>
      <c r="D6985">
        <v>1.1261000000000001</v>
      </c>
      <c r="E6985">
        <v>63.61</v>
      </c>
      <c r="F6985">
        <v>277.3</v>
      </c>
    </row>
    <row r="6986" spans="1:6">
      <c r="A6986" s="3">
        <v>43510</v>
      </c>
      <c r="B6986" s="3">
        <v>43510</v>
      </c>
      <c r="C6986">
        <v>377.46</v>
      </c>
      <c r="D6986">
        <v>1.1294999999999999</v>
      </c>
      <c r="E6986">
        <v>64.569999999999993</v>
      </c>
      <c r="F6986">
        <v>277.39999999999998</v>
      </c>
    </row>
    <row r="6987" spans="1:6">
      <c r="A6987" s="3">
        <v>43511</v>
      </c>
      <c r="B6987" s="3">
        <v>43511</v>
      </c>
      <c r="C6987">
        <v>377.5</v>
      </c>
      <c r="D6987">
        <v>1.1295999999999999</v>
      </c>
      <c r="E6987">
        <v>66.25</v>
      </c>
      <c r="F6987">
        <v>279.85000000000002</v>
      </c>
    </row>
    <row r="6988" spans="1:6">
      <c r="A6988" s="3">
        <v>43512</v>
      </c>
      <c r="B6988" s="3">
        <v>43512</v>
      </c>
      <c r="C6988">
        <v>377.5</v>
      </c>
      <c r="D6988">
        <v>1.1295999999999999</v>
      </c>
      <c r="E6988">
        <v>66.25</v>
      </c>
      <c r="F6988">
        <v>279.85000000000002</v>
      </c>
    </row>
    <row r="6989" spans="1:6">
      <c r="A6989" s="3">
        <v>43513</v>
      </c>
      <c r="B6989" s="3">
        <v>43513</v>
      </c>
      <c r="C6989">
        <v>377.5</v>
      </c>
      <c r="D6989">
        <v>1.1295999999999999</v>
      </c>
      <c r="E6989">
        <v>66.25</v>
      </c>
      <c r="F6989">
        <v>279.85000000000002</v>
      </c>
    </row>
    <row r="6990" spans="1:6">
      <c r="A6990" s="3">
        <v>43514</v>
      </c>
      <c r="B6990" s="3">
        <v>43514</v>
      </c>
      <c r="C6990">
        <v>376.59</v>
      </c>
      <c r="D6990">
        <v>1.1311</v>
      </c>
      <c r="E6990">
        <v>66.5</v>
      </c>
      <c r="F6990">
        <v>279.85000000000002</v>
      </c>
    </row>
    <row r="6991" spans="1:6">
      <c r="A6991" s="3">
        <v>43515</v>
      </c>
      <c r="B6991" s="3">
        <v>43515</v>
      </c>
      <c r="C6991">
        <v>377.66</v>
      </c>
      <c r="D6991">
        <v>1.1341000000000001</v>
      </c>
      <c r="E6991">
        <v>66.45</v>
      </c>
      <c r="F6991">
        <v>287.45</v>
      </c>
    </row>
    <row r="6992" spans="1:6">
      <c r="A6992" s="3">
        <v>43516</v>
      </c>
      <c r="B6992" s="3">
        <v>43516</v>
      </c>
      <c r="C6992">
        <v>376.66</v>
      </c>
      <c r="D6992">
        <v>1.1337999999999999</v>
      </c>
      <c r="E6992">
        <v>67.08</v>
      </c>
      <c r="F6992">
        <v>292</v>
      </c>
    </row>
    <row r="6993" spans="1:6">
      <c r="A6993" s="3">
        <v>43517</v>
      </c>
      <c r="B6993" s="3">
        <v>43517</v>
      </c>
      <c r="C6993">
        <v>376.84</v>
      </c>
      <c r="D6993">
        <v>1.1335999999999999</v>
      </c>
      <c r="E6993">
        <v>67.069999999999993</v>
      </c>
      <c r="F6993">
        <v>289.7</v>
      </c>
    </row>
    <row r="6994" spans="1:6">
      <c r="A6994" s="3">
        <v>43518</v>
      </c>
      <c r="B6994" s="3">
        <v>43518</v>
      </c>
      <c r="C6994">
        <v>375.76</v>
      </c>
      <c r="D6994">
        <v>1.1335</v>
      </c>
      <c r="E6994">
        <v>67.12</v>
      </c>
      <c r="F6994">
        <v>295.14999999999998</v>
      </c>
    </row>
    <row r="6995" spans="1:6">
      <c r="A6995" s="3">
        <v>43519</v>
      </c>
      <c r="B6995" s="3">
        <v>43519</v>
      </c>
      <c r="C6995">
        <v>375.76</v>
      </c>
      <c r="D6995">
        <v>1.1335</v>
      </c>
      <c r="E6995">
        <v>67.12</v>
      </c>
      <c r="F6995">
        <v>295.14999999999998</v>
      </c>
    </row>
    <row r="6996" spans="1:6">
      <c r="A6996" s="3">
        <v>43520</v>
      </c>
      <c r="B6996" s="3">
        <v>43520</v>
      </c>
      <c r="C6996">
        <v>375.76</v>
      </c>
      <c r="D6996">
        <v>1.1335</v>
      </c>
      <c r="E6996">
        <v>67.12</v>
      </c>
      <c r="F6996">
        <v>295.14999999999998</v>
      </c>
    </row>
    <row r="6997" spans="1:6">
      <c r="A6997" s="3">
        <v>43521</v>
      </c>
      <c r="B6997" s="3">
        <v>43521</v>
      </c>
      <c r="C6997">
        <v>376.17</v>
      </c>
      <c r="D6997">
        <v>1.1357999999999999</v>
      </c>
      <c r="E6997">
        <v>64.760000000000005</v>
      </c>
      <c r="F6997">
        <v>294.5</v>
      </c>
    </row>
    <row r="6998" spans="1:6">
      <c r="A6998" s="3">
        <v>43522</v>
      </c>
      <c r="B6998" s="3">
        <v>43522</v>
      </c>
      <c r="C6998">
        <v>377.79</v>
      </c>
      <c r="D6998">
        <v>1.1389</v>
      </c>
      <c r="E6998">
        <v>65.209999999999994</v>
      </c>
      <c r="F6998">
        <v>294.5</v>
      </c>
    </row>
    <row r="6999" spans="1:6">
      <c r="A6999" s="3">
        <v>43523</v>
      </c>
      <c r="B6999" s="3">
        <v>43523</v>
      </c>
      <c r="C6999">
        <v>376.59</v>
      </c>
      <c r="D6999">
        <v>1.137</v>
      </c>
      <c r="E6999">
        <v>66.39</v>
      </c>
      <c r="F6999">
        <v>295.89999999999998</v>
      </c>
    </row>
    <row r="7000" spans="1:6">
      <c r="A7000" s="3">
        <v>43524</v>
      </c>
      <c r="B7000" s="3">
        <v>43524</v>
      </c>
      <c r="C7000">
        <v>374.28</v>
      </c>
      <c r="D7000">
        <v>1.1371</v>
      </c>
      <c r="E7000">
        <v>66.03</v>
      </c>
      <c r="F7000">
        <v>295</v>
      </c>
    </row>
    <row r="7001" spans="1:6">
      <c r="A7001" s="3">
        <v>43525</v>
      </c>
      <c r="B7001" s="3">
        <v>43525</v>
      </c>
      <c r="C7001">
        <v>376.38</v>
      </c>
      <c r="D7001">
        <v>1.1365000000000001</v>
      </c>
      <c r="E7001">
        <v>65.069999999999993</v>
      </c>
      <c r="F7001">
        <v>293.35000000000002</v>
      </c>
    </row>
    <row r="7002" spans="1:6">
      <c r="A7002" s="3">
        <v>43526</v>
      </c>
      <c r="B7002" s="3">
        <v>43526</v>
      </c>
      <c r="C7002">
        <v>376.38</v>
      </c>
      <c r="D7002">
        <v>1.1365000000000001</v>
      </c>
      <c r="E7002">
        <v>65.069999999999993</v>
      </c>
      <c r="F7002">
        <v>293.35000000000002</v>
      </c>
    </row>
    <row r="7003" spans="1:6">
      <c r="A7003" s="3">
        <v>43527</v>
      </c>
      <c r="B7003" s="3">
        <v>43527</v>
      </c>
      <c r="C7003">
        <v>376.38</v>
      </c>
      <c r="D7003">
        <v>1.1365000000000001</v>
      </c>
      <c r="E7003">
        <v>65.069999999999993</v>
      </c>
      <c r="F7003">
        <v>293.35000000000002</v>
      </c>
    </row>
    <row r="7004" spans="1:6">
      <c r="A7004" s="3">
        <v>43528</v>
      </c>
      <c r="B7004" s="3">
        <v>43528</v>
      </c>
      <c r="C7004">
        <v>376.31</v>
      </c>
      <c r="D7004">
        <v>1.1339999999999999</v>
      </c>
      <c r="E7004">
        <v>65.67</v>
      </c>
      <c r="F7004">
        <v>291.10000000000002</v>
      </c>
    </row>
    <row r="7005" spans="1:6">
      <c r="A7005" s="3">
        <v>43529</v>
      </c>
      <c r="B7005" s="3">
        <v>43529</v>
      </c>
      <c r="C7005">
        <v>378.15</v>
      </c>
      <c r="D7005">
        <v>1.1308</v>
      </c>
      <c r="E7005">
        <v>65.86</v>
      </c>
      <c r="F7005">
        <v>293.60000000000002</v>
      </c>
    </row>
    <row r="7006" spans="1:6">
      <c r="A7006" s="3">
        <v>43530</v>
      </c>
      <c r="B7006" s="3">
        <v>43530</v>
      </c>
      <c r="C7006">
        <v>378.94</v>
      </c>
      <c r="D7006">
        <v>1.1307</v>
      </c>
      <c r="E7006">
        <v>65.989999999999995</v>
      </c>
      <c r="F7006">
        <v>291.85000000000002</v>
      </c>
    </row>
    <row r="7007" spans="1:6">
      <c r="A7007" s="3">
        <v>43531</v>
      </c>
      <c r="B7007" s="3">
        <v>43531</v>
      </c>
      <c r="C7007">
        <v>378.63</v>
      </c>
      <c r="D7007">
        <v>1.1193</v>
      </c>
      <c r="E7007">
        <v>66.3</v>
      </c>
      <c r="F7007">
        <v>291.14999999999998</v>
      </c>
    </row>
    <row r="7008" spans="1:6">
      <c r="A7008" s="3">
        <v>43532</v>
      </c>
      <c r="B7008" s="3">
        <v>43532</v>
      </c>
      <c r="C7008">
        <v>379.63</v>
      </c>
      <c r="D7008">
        <v>1.1234999999999999</v>
      </c>
      <c r="E7008">
        <v>65.739999999999995</v>
      </c>
      <c r="F7008">
        <v>289.39999999999998</v>
      </c>
    </row>
    <row r="7009" spans="1:6">
      <c r="A7009" s="3">
        <v>43533</v>
      </c>
      <c r="B7009" s="3">
        <v>43533</v>
      </c>
      <c r="C7009">
        <v>379.63</v>
      </c>
      <c r="D7009">
        <v>1.1234999999999999</v>
      </c>
      <c r="E7009">
        <v>65.739999999999995</v>
      </c>
      <c r="F7009">
        <v>289.39999999999998</v>
      </c>
    </row>
    <row r="7010" spans="1:6">
      <c r="A7010" s="3">
        <v>43534</v>
      </c>
      <c r="B7010" s="3">
        <v>43534</v>
      </c>
      <c r="C7010">
        <v>379.63</v>
      </c>
      <c r="D7010">
        <v>1.1234999999999999</v>
      </c>
      <c r="E7010">
        <v>65.739999999999995</v>
      </c>
      <c r="F7010">
        <v>289.39999999999998</v>
      </c>
    </row>
    <row r="7011" spans="1:6">
      <c r="A7011" s="3">
        <v>43535</v>
      </c>
      <c r="B7011" s="3">
        <v>43535</v>
      </c>
      <c r="C7011">
        <v>379.03</v>
      </c>
      <c r="D7011">
        <v>1.1245000000000001</v>
      </c>
      <c r="E7011">
        <v>66.58</v>
      </c>
      <c r="F7011">
        <v>290</v>
      </c>
    </row>
    <row r="7012" spans="1:6">
      <c r="A7012" s="3">
        <v>43536</v>
      </c>
      <c r="B7012" s="3">
        <v>43536</v>
      </c>
      <c r="C7012">
        <v>378.1</v>
      </c>
      <c r="D7012">
        <v>1.1288</v>
      </c>
      <c r="E7012">
        <v>66.67</v>
      </c>
      <c r="F7012">
        <v>292.75</v>
      </c>
    </row>
    <row r="7013" spans="1:6">
      <c r="A7013" s="3">
        <v>43537</v>
      </c>
      <c r="B7013" s="3">
        <v>43537</v>
      </c>
      <c r="C7013">
        <v>377.86</v>
      </c>
      <c r="D7013">
        <v>1.1327</v>
      </c>
      <c r="E7013">
        <v>67.55</v>
      </c>
      <c r="F7013">
        <v>293.35000000000002</v>
      </c>
    </row>
    <row r="7014" spans="1:6">
      <c r="A7014" s="3">
        <v>43538</v>
      </c>
      <c r="B7014" s="3">
        <v>43538</v>
      </c>
      <c r="C7014">
        <v>377.85</v>
      </c>
      <c r="D7014">
        <v>1.1304000000000001</v>
      </c>
      <c r="E7014">
        <v>67.23</v>
      </c>
      <c r="F7014">
        <v>288.85000000000002</v>
      </c>
    </row>
    <row r="7015" spans="1:6">
      <c r="A7015" s="3">
        <v>43539</v>
      </c>
      <c r="B7015" s="3">
        <v>43539</v>
      </c>
      <c r="C7015">
        <v>379.79</v>
      </c>
      <c r="D7015">
        <v>1.1326000000000001</v>
      </c>
      <c r="E7015">
        <v>67.16</v>
      </c>
      <c r="F7015">
        <v>290.35000000000002</v>
      </c>
    </row>
    <row r="7016" spans="1:6">
      <c r="A7016" s="3">
        <v>43540</v>
      </c>
      <c r="B7016" s="3">
        <v>43540</v>
      </c>
      <c r="C7016">
        <v>379.79</v>
      </c>
      <c r="D7016">
        <v>1.1326000000000001</v>
      </c>
      <c r="E7016">
        <v>67.16</v>
      </c>
      <c r="F7016">
        <v>290.35000000000002</v>
      </c>
    </row>
    <row r="7017" spans="1:6">
      <c r="A7017" s="3">
        <v>43541</v>
      </c>
      <c r="B7017" s="3">
        <v>43541</v>
      </c>
      <c r="C7017">
        <v>379.79</v>
      </c>
      <c r="D7017">
        <v>1.1326000000000001</v>
      </c>
      <c r="E7017">
        <v>67.16</v>
      </c>
      <c r="F7017">
        <v>290.35000000000002</v>
      </c>
    </row>
    <row r="7018" spans="1:6">
      <c r="A7018" s="3">
        <v>43542</v>
      </c>
      <c r="B7018" s="3">
        <v>43542</v>
      </c>
      <c r="C7018">
        <v>376.01</v>
      </c>
      <c r="D7018">
        <v>1.1336999999999999</v>
      </c>
      <c r="E7018">
        <v>67.540000000000006</v>
      </c>
      <c r="F7018">
        <v>290.35000000000002</v>
      </c>
    </row>
    <row r="7019" spans="1:6">
      <c r="A7019" s="3">
        <v>43543</v>
      </c>
      <c r="B7019" s="3">
        <v>43543</v>
      </c>
      <c r="C7019">
        <v>376.38</v>
      </c>
      <c r="D7019">
        <v>1.1352</v>
      </c>
      <c r="E7019">
        <v>67.61</v>
      </c>
      <c r="F7019">
        <v>291.95</v>
      </c>
    </row>
    <row r="7020" spans="1:6">
      <c r="A7020" s="3">
        <v>43544</v>
      </c>
      <c r="B7020" s="3">
        <v>43544</v>
      </c>
      <c r="C7020">
        <v>378.32</v>
      </c>
      <c r="D7020">
        <v>1.1413</v>
      </c>
      <c r="E7020">
        <v>68.5</v>
      </c>
      <c r="F7020">
        <v>291.55</v>
      </c>
    </row>
    <row r="7021" spans="1:6">
      <c r="A7021" s="3">
        <v>43545</v>
      </c>
      <c r="B7021" s="3">
        <v>43545</v>
      </c>
      <c r="C7021">
        <v>377.96</v>
      </c>
      <c r="D7021">
        <v>1.1374</v>
      </c>
      <c r="E7021">
        <v>67.86</v>
      </c>
      <c r="F7021">
        <v>290</v>
      </c>
    </row>
    <row r="7022" spans="1:6">
      <c r="A7022" s="3">
        <v>43546</v>
      </c>
      <c r="B7022" s="3">
        <v>43546</v>
      </c>
      <c r="C7022">
        <v>378.77</v>
      </c>
      <c r="D7022">
        <v>1.1302000000000001</v>
      </c>
      <c r="E7022">
        <v>67.03</v>
      </c>
      <c r="F7022">
        <v>283.60000000000002</v>
      </c>
    </row>
    <row r="7023" spans="1:6">
      <c r="A7023" s="3">
        <v>43547</v>
      </c>
      <c r="B7023" s="3">
        <v>43547</v>
      </c>
      <c r="C7023">
        <v>378.77</v>
      </c>
      <c r="D7023">
        <v>1.1302000000000001</v>
      </c>
      <c r="E7023">
        <v>67.03</v>
      </c>
      <c r="F7023">
        <v>283.60000000000002</v>
      </c>
    </row>
    <row r="7024" spans="1:6">
      <c r="A7024" s="3">
        <v>43548</v>
      </c>
      <c r="B7024" s="3">
        <v>43548</v>
      </c>
      <c r="C7024">
        <v>378.77</v>
      </c>
      <c r="D7024">
        <v>1.1302000000000001</v>
      </c>
      <c r="E7024">
        <v>67.03</v>
      </c>
      <c r="F7024">
        <v>283.60000000000002</v>
      </c>
    </row>
    <row r="7025" spans="1:6">
      <c r="A7025" s="3">
        <v>43549</v>
      </c>
      <c r="B7025" s="3">
        <v>43549</v>
      </c>
      <c r="C7025">
        <v>378.86</v>
      </c>
      <c r="D7025">
        <v>1.1312</v>
      </c>
      <c r="E7025">
        <v>67.209999999999994</v>
      </c>
      <c r="F7025">
        <v>284.95</v>
      </c>
    </row>
    <row r="7026" spans="1:6">
      <c r="A7026" s="3">
        <v>43550</v>
      </c>
      <c r="B7026" s="3">
        <v>43550</v>
      </c>
      <c r="C7026">
        <v>378.14</v>
      </c>
      <c r="D7026">
        <v>1.1266</v>
      </c>
      <c r="E7026">
        <v>67.97</v>
      </c>
      <c r="F7026">
        <v>285.05</v>
      </c>
    </row>
    <row r="7027" spans="1:6">
      <c r="A7027" s="3">
        <v>43551</v>
      </c>
      <c r="B7027" s="3">
        <v>43551</v>
      </c>
      <c r="C7027">
        <v>379.26</v>
      </c>
      <c r="D7027">
        <v>1.1244000000000001</v>
      </c>
      <c r="E7027">
        <v>67.83</v>
      </c>
      <c r="F7027">
        <v>285.8</v>
      </c>
    </row>
    <row r="7028" spans="1:6">
      <c r="A7028" s="3">
        <v>43552</v>
      </c>
      <c r="B7028" s="3">
        <v>43552</v>
      </c>
      <c r="C7028">
        <v>381.07</v>
      </c>
      <c r="D7028">
        <v>1.1221000000000001</v>
      </c>
      <c r="E7028">
        <v>67.819999999999993</v>
      </c>
      <c r="F7028">
        <v>287.25</v>
      </c>
    </row>
    <row r="7029" spans="1:6">
      <c r="A7029" s="3">
        <v>43553</v>
      </c>
      <c r="B7029" s="3">
        <v>43553</v>
      </c>
      <c r="C7029">
        <v>379.66</v>
      </c>
      <c r="D7029">
        <v>1.1217999999999999</v>
      </c>
      <c r="E7029">
        <v>68.39</v>
      </c>
      <c r="F7029">
        <v>293.60000000000002</v>
      </c>
    </row>
    <row r="7030" spans="1:6">
      <c r="A7030" s="3">
        <v>43554</v>
      </c>
      <c r="B7030" s="3">
        <v>43554</v>
      </c>
      <c r="C7030">
        <v>379.66</v>
      </c>
      <c r="D7030">
        <v>1.1217999999999999</v>
      </c>
      <c r="E7030">
        <v>68.39</v>
      </c>
      <c r="F7030">
        <v>293.60000000000002</v>
      </c>
    </row>
    <row r="7031" spans="1:6">
      <c r="A7031" s="3">
        <v>43555</v>
      </c>
      <c r="B7031" s="3">
        <v>43555</v>
      </c>
      <c r="C7031">
        <v>379.66</v>
      </c>
      <c r="D7031">
        <v>1.1217999999999999</v>
      </c>
      <c r="E7031">
        <v>68.39</v>
      </c>
      <c r="F7031">
        <v>293.60000000000002</v>
      </c>
    </row>
    <row r="7032" spans="1:6">
      <c r="A7032" s="3">
        <v>43556</v>
      </c>
      <c r="B7032" s="3">
        <v>43556</v>
      </c>
      <c r="C7032">
        <v>379.93</v>
      </c>
      <c r="D7032">
        <v>1.1213</v>
      </c>
      <c r="E7032">
        <v>69.010000000000005</v>
      </c>
      <c r="F7032">
        <v>292.45</v>
      </c>
    </row>
    <row r="7033" spans="1:6">
      <c r="A7033" s="3">
        <v>43557</v>
      </c>
      <c r="B7033" s="3">
        <v>43557</v>
      </c>
      <c r="C7033">
        <v>379.83</v>
      </c>
      <c r="D7033">
        <v>1.1204000000000001</v>
      </c>
      <c r="E7033">
        <v>69.37</v>
      </c>
      <c r="F7033">
        <v>290.55</v>
      </c>
    </row>
    <row r="7034" spans="1:6">
      <c r="A7034" s="3">
        <v>43558</v>
      </c>
      <c r="B7034" s="3">
        <v>43558</v>
      </c>
      <c r="C7034">
        <v>379.36</v>
      </c>
      <c r="D7034">
        <v>1.1233</v>
      </c>
      <c r="E7034">
        <v>69.31</v>
      </c>
      <c r="F7034">
        <v>294.85000000000002</v>
      </c>
    </row>
    <row r="7035" spans="1:6">
      <c r="A7035" s="3">
        <v>43559</v>
      </c>
      <c r="B7035" s="3">
        <v>43559</v>
      </c>
      <c r="C7035">
        <v>378.64</v>
      </c>
      <c r="D7035">
        <v>1.1221000000000001</v>
      </c>
      <c r="E7035">
        <v>69.400000000000006</v>
      </c>
      <c r="F7035">
        <v>291</v>
      </c>
    </row>
    <row r="7036" spans="1:6">
      <c r="A7036" s="3">
        <v>43560</v>
      </c>
      <c r="B7036" s="3">
        <v>43560</v>
      </c>
      <c r="C7036">
        <v>380.05</v>
      </c>
      <c r="D7036">
        <v>1.1215999999999999</v>
      </c>
      <c r="E7036">
        <v>70.34</v>
      </c>
      <c r="F7036">
        <v>289.45</v>
      </c>
    </row>
    <row r="7037" spans="1:6">
      <c r="A7037" s="3">
        <v>43561</v>
      </c>
      <c r="B7037" s="3">
        <v>43561</v>
      </c>
      <c r="C7037">
        <v>380.05</v>
      </c>
      <c r="D7037">
        <v>1.1215999999999999</v>
      </c>
      <c r="E7037">
        <v>70.34</v>
      </c>
      <c r="F7037">
        <v>289.45</v>
      </c>
    </row>
    <row r="7038" spans="1:6">
      <c r="A7038" s="3">
        <v>43562</v>
      </c>
      <c r="B7038" s="3">
        <v>43562</v>
      </c>
      <c r="C7038">
        <v>380.05</v>
      </c>
      <c r="D7038">
        <v>1.1215999999999999</v>
      </c>
      <c r="E7038">
        <v>70.34</v>
      </c>
      <c r="F7038">
        <v>289.45</v>
      </c>
    </row>
    <row r="7039" spans="1:6">
      <c r="A7039" s="3">
        <v>43563</v>
      </c>
      <c r="B7039" s="3">
        <v>43563</v>
      </c>
      <c r="C7039">
        <v>380.76</v>
      </c>
      <c r="D7039">
        <v>1.1263000000000001</v>
      </c>
      <c r="E7039">
        <v>71.099999999999994</v>
      </c>
      <c r="F7039">
        <v>293.2</v>
      </c>
    </row>
    <row r="7040" spans="1:6">
      <c r="A7040" s="3">
        <v>43564</v>
      </c>
      <c r="B7040" s="3">
        <v>43564</v>
      </c>
      <c r="C7040">
        <v>380.85</v>
      </c>
      <c r="D7040">
        <v>1.1263000000000001</v>
      </c>
      <c r="E7040">
        <v>70.61</v>
      </c>
      <c r="F7040">
        <v>293.39999999999998</v>
      </c>
    </row>
    <row r="7041" spans="1:6">
      <c r="A7041" s="3">
        <v>43565</v>
      </c>
      <c r="B7041" s="3">
        <v>43565</v>
      </c>
      <c r="C7041">
        <v>379.64</v>
      </c>
      <c r="D7041">
        <v>1.1274</v>
      </c>
      <c r="E7041">
        <v>71.73</v>
      </c>
      <c r="F7041">
        <v>292.55</v>
      </c>
    </row>
    <row r="7042" spans="1:6">
      <c r="A7042" s="3">
        <v>43566</v>
      </c>
      <c r="B7042" s="3">
        <v>43566</v>
      </c>
      <c r="C7042">
        <v>378.67</v>
      </c>
      <c r="D7042">
        <v>1.1253</v>
      </c>
      <c r="E7042">
        <v>70.83</v>
      </c>
      <c r="F7042">
        <v>288.7</v>
      </c>
    </row>
    <row r="7043" spans="1:6">
      <c r="A7043" s="3">
        <v>43567</v>
      </c>
      <c r="B7043" s="3">
        <v>43567</v>
      </c>
      <c r="C7043">
        <v>379.25</v>
      </c>
      <c r="D7043">
        <v>1.1298999999999999</v>
      </c>
      <c r="E7043">
        <v>71.55</v>
      </c>
      <c r="F7043">
        <v>294.60000000000002</v>
      </c>
    </row>
    <row r="7044" spans="1:6">
      <c r="A7044" s="3">
        <v>43568</v>
      </c>
      <c r="B7044" s="3">
        <v>43568</v>
      </c>
      <c r="C7044">
        <v>379.25</v>
      </c>
      <c r="D7044">
        <v>1.1298999999999999</v>
      </c>
      <c r="E7044">
        <v>71.55</v>
      </c>
      <c r="F7044">
        <v>294.60000000000002</v>
      </c>
    </row>
    <row r="7045" spans="1:6">
      <c r="A7045" s="3">
        <v>43569</v>
      </c>
      <c r="B7045" s="3">
        <v>43569</v>
      </c>
      <c r="C7045">
        <v>379.25</v>
      </c>
      <c r="D7045">
        <v>1.1298999999999999</v>
      </c>
      <c r="E7045">
        <v>71.55</v>
      </c>
      <c r="F7045">
        <v>294.60000000000002</v>
      </c>
    </row>
    <row r="7046" spans="1:6">
      <c r="A7046" s="3">
        <v>43570</v>
      </c>
      <c r="B7046" s="3">
        <v>43570</v>
      </c>
      <c r="C7046">
        <v>379.4</v>
      </c>
      <c r="D7046">
        <v>1.1304000000000001</v>
      </c>
      <c r="E7046">
        <v>71.180000000000007</v>
      </c>
      <c r="F7046">
        <v>293.5</v>
      </c>
    </row>
    <row r="7047" spans="1:6">
      <c r="A7047" s="3">
        <v>43571</v>
      </c>
      <c r="B7047" s="3">
        <v>43571</v>
      </c>
      <c r="C7047">
        <v>380.45</v>
      </c>
      <c r="D7047">
        <v>1.1281000000000001</v>
      </c>
      <c r="E7047">
        <v>71.72</v>
      </c>
      <c r="F7047">
        <v>293.05</v>
      </c>
    </row>
    <row r="7048" spans="1:6">
      <c r="A7048" s="3">
        <v>43572</v>
      </c>
      <c r="B7048" s="3">
        <v>43572</v>
      </c>
      <c r="C7048">
        <v>380.05</v>
      </c>
      <c r="D7048">
        <v>1.1295999999999999</v>
      </c>
      <c r="E7048">
        <v>71.62</v>
      </c>
      <c r="F7048">
        <v>296.75</v>
      </c>
    </row>
    <row r="7049" spans="1:6">
      <c r="A7049" s="3">
        <v>43573</v>
      </c>
      <c r="B7049" s="3">
        <v>43573</v>
      </c>
      <c r="C7049">
        <v>379.48</v>
      </c>
      <c r="D7049">
        <v>1.123</v>
      </c>
      <c r="E7049">
        <v>71.97</v>
      </c>
      <c r="F7049">
        <v>292</v>
      </c>
    </row>
    <row r="7050" spans="1:6">
      <c r="A7050" s="3">
        <v>43574</v>
      </c>
      <c r="B7050" s="3">
        <v>43574</v>
      </c>
      <c r="C7050">
        <v>378.54</v>
      </c>
      <c r="D7050">
        <v>1.1245000000000001</v>
      </c>
      <c r="E7050">
        <v>71.97</v>
      </c>
      <c r="F7050">
        <v>292</v>
      </c>
    </row>
    <row r="7051" spans="1:6">
      <c r="A7051" s="3">
        <v>43575</v>
      </c>
      <c r="B7051" s="3">
        <v>43575</v>
      </c>
      <c r="C7051">
        <v>378.54</v>
      </c>
      <c r="D7051">
        <v>1.1245000000000001</v>
      </c>
      <c r="E7051">
        <v>71.97</v>
      </c>
      <c r="F7051">
        <v>292</v>
      </c>
    </row>
    <row r="7052" spans="1:6">
      <c r="A7052" s="3">
        <v>43576</v>
      </c>
      <c r="B7052" s="3">
        <v>43576</v>
      </c>
      <c r="C7052">
        <v>378.54</v>
      </c>
      <c r="D7052">
        <v>1.1245000000000001</v>
      </c>
      <c r="E7052">
        <v>71.97</v>
      </c>
      <c r="F7052">
        <v>292</v>
      </c>
    </row>
    <row r="7053" spans="1:6">
      <c r="A7053" s="3">
        <v>43577</v>
      </c>
      <c r="B7053" s="3">
        <v>43577</v>
      </c>
      <c r="C7053">
        <v>378.04</v>
      </c>
      <c r="D7053">
        <v>1.1256999999999999</v>
      </c>
      <c r="E7053">
        <v>74.040000000000006</v>
      </c>
      <c r="F7053">
        <v>290.14999999999998</v>
      </c>
    </row>
    <row r="7054" spans="1:6">
      <c r="A7054" s="3">
        <v>43578</v>
      </c>
      <c r="B7054" s="3">
        <v>43578</v>
      </c>
      <c r="C7054">
        <v>378.86</v>
      </c>
      <c r="D7054">
        <v>1.1227</v>
      </c>
      <c r="E7054">
        <v>74.510000000000005</v>
      </c>
      <c r="F7054">
        <v>289.35000000000002</v>
      </c>
    </row>
    <row r="7055" spans="1:6">
      <c r="A7055" s="3">
        <v>43579</v>
      </c>
      <c r="B7055" s="3">
        <v>43579</v>
      </c>
      <c r="C7055">
        <v>379.03</v>
      </c>
      <c r="D7055">
        <v>1.1154999999999999</v>
      </c>
      <c r="E7055">
        <v>74.569999999999993</v>
      </c>
      <c r="F7055">
        <v>291</v>
      </c>
    </row>
    <row r="7056" spans="1:6">
      <c r="A7056" s="3">
        <v>43580</v>
      </c>
      <c r="B7056" s="3">
        <v>43580</v>
      </c>
      <c r="C7056">
        <v>380.05</v>
      </c>
      <c r="D7056">
        <v>1.1132</v>
      </c>
      <c r="E7056">
        <v>74.349999999999994</v>
      </c>
      <c r="F7056">
        <v>286.14999999999998</v>
      </c>
    </row>
    <row r="7057" spans="1:6">
      <c r="A7057" s="3">
        <v>43581</v>
      </c>
      <c r="B7057" s="3">
        <v>43581</v>
      </c>
      <c r="C7057">
        <v>382.13</v>
      </c>
      <c r="D7057">
        <v>1.1151</v>
      </c>
      <c r="E7057">
        <v>72.150000000000006</v>
      </c>
      <c r="F7057">
        <v>288.64999999999998</v>
      </c>
    </row>
    <row r="7058" spans="1:6">
      <c r="A7058" s="3">
        <v>43582</v>
      </c>
      <c r="B7058" s="3">
        <v>43582</v>
      </c>
      <c r="C7058">
        <v>382.13</v>
      </c>
      <c r="D7058">
        <v>1.1151</v>
      </c>
      <c r="E7058">
        <v>72.150000000000006</v>
      </c>
      <c r="F7058">
        <v>288.64999999999998</v>
      </c>
    </row>
    <row r="7059" spans="1:6">
      <c r="A7059" s="3">
        <v>43583</v>
      </c>
      <c r="B7059" s="3">
        <v>43583</v>
      </c>
      <c r="C7059">
        <v>382.13</v>
      </c>
      <c r="D7059">
        <v>1.1151</v>
      </c>
      <c r="E7059">
        <v>72.150000000000006</v>
      </c>
      <c r="F7059">
        <v>288.64999999999998</v>
      </c>
    </row>
    <row r="7060" spans="1:6">
      <c r="A7060" s="3">
        <v>43584</v>
      </c>
      <c r="B7060" s="3">
        <v>43584</v>
      </c>
      <c r="C7060">
        <v>381.72</v>
      </c>
      <c r="D7060">
        <v>1.1186</v>
      </c>
      <c r="E7060">
        <v>72.040000000000006</v>
      </c>
      <c r="F7060">
        <v>289.5</v>
      </c>
    </row>
    <row r="7061" spans="1:6">
      <c r="A7061" s="3">
        <v>43585</v>
      </c>
      <c r="B7061" s="3">
        <v>43585</v>
      </c>
      <c r="C7061">
        <v>380.76</v>
      </c>
      <c r="D7061">
        <v>1.1214999999999999</v>
      </c>
      <c r="E7061">
        <v>72.8</v>
      </c>
      <c r="F7061">
        <v>290.14999999999998</v>
      </c>
    </row>
    <row r="7062" spans="1:6">
      <c r="A7062" s="3">
        <v>43586</v>
      </c>
      <c r="B7062" s="3">
        <v>43586</v>
      </c>
      <c r="C7062">
        <v>381.15</v>
      </c>
      <c r="D7062">
        <v>1.1195999999999999</v>
      </c>
      <c r="E7062">
        <v>72.180000000000007</v>
      </c>
      <c r="F7062">
        <v>280.3</v>
      </c>
    </row>
    <row r="7063" spans="1:6">
      <c r="A7063" s="3">
        <v>43587</v>
      </c>
      <c r="B7063" s="3">
        <v>43587</v>
      </c>
      <c r="C7063">
        <v>381.42</v>
      </c>
      <c r="D7063">
        <v>1.1172</v>
      </c>
      <c r="E7063">
        <v>70.75</v>
      </c>
      <c r="F7063">
        <v>278.39999999999998</v>
      </c>
    </row>
    <row r="7064" spans="1:6">
      <c r="A7064" s="3">
        <v>43588</v>
      </c>
      <c r="B7064" s="3">
        <v>43588</v>
      </c>
      <c r="C7064">
        <v>381.65</v>
      </c>
      <c r="D7064">
        <v>1.1197999999999999</v>
      </c>
      <c r="E7064">
        <v>70.849999999999994</v>
      </c>
      <c r="F7064">
        <v>282.5</v>
      </c>
    </row>
    <row r="7065" spans="1:6">
      <c r="A7065" s="3">
        <v>43589</v>
      </c>
      <c r="B7065" s="3">
        <v>43589</v>
      </c>
      <c r="C7065">
        <v>381.65</v>
      </c>
      <c r="D7065">
        <v>1.1197999999999999</v>
      </c>
      <c r="E7065">
        <v>70.849999999999994</v>
      </c>
      <c r="F7065">
        <v>282.5</v>
      </c>
    </row>
    <row r="7066" spans="1:6">
      <c r="A7066" s="3">
        <v>43590</v>
      </c>
      <c r="B7066" s="3">
        <v>43590</v>
      </c>
      <c r="C7066">
        <v>381.65</v>
      </c>
      <c r="D7066">
        <v>1.1197999999999999</v>
      </c>
      <c r="E7066">
        <v>70.849999999999994</v>
      </c>
      <c r="F7066">
        <v>282.5</v>
      </c>
    </row>
    <row r="7067" spans="1:6">
      <c r="A7067" s="3">
        <v>43591</v>
      </c>
      <c r="B7067" s="3">
        <v>43591</v>
      </c>
      <c r="C7067">
        <v>380.97</v>
      </c>
      <c r="D7067">
        <v>1.1198999999999999</v>
      </c>
      <c r="E7067">
        <v>71.239999999999995</v>
      </c>
      <c r="F7067">
        <v>283.7</v>
      </c>
    </row>
    <row r="7068" spans="1:6">
      <c r="A7068" s="3">
        <v>43592</v>
      </c>
      <c r="B7068" s="3">
        <v>43592</v>
      </c>
      <c r="C7068">
        <v>380.89</v>
      </c>
      <c r="D7068">
        <v>1.1191</v>
      </c>
      <c r="E7068">
        <v>69.88</v>
      </c>
      <c r="F7068">
        <v>279.39999999999998</v>
      </c>
    </row>
    <row r="7069" spans="1:6">
      <c r="A7069" s="3">
        <v>43593</v>
      </c>
      <c r="B7069" s="3">
        <v>43593</v>
      </c>
      <c r="C7069">
        <v>380</v>
      </c>
      <c r="D7069">
        <v>1.1192</v>
      </c>
      <c r="E7069">
        <v>70.37</v>
      </c>
      <c r="F7069">
        <v>278.55</v>
      </c>
    </row>
    <row r="7070" spans="1:6">
      <c r="A7070" s="3">
        <v>43594</v>
      </c>
      <c r="B7070" s="3">
        <v>43594</v>
      </c>
      <c r="C7070">
        <v>380.63</v>
      </c>
      <c r="D7070">
        <v>1.1214999999999999</v>
      </c>
      <c r="E7070">
        <v>70.39</v>
      </c>
      <c r="F7070">
        <v>278.35000000000002</v>
      </c>
    </row>
    <row r="7071" spans="1:6">
      <c r="A7071" s="3">
        <v>43595</v>
      </c>
      <c r="B7071" s="3">
        <v>43595</v>
      </c>
      <c r="C7071">
        <v>379.93</v>
      </c>
      <c r="D7071">
        <v>1.1233</v>
      </c>
      <c r="E7071">
        <v>70.62</v>
      </c>
      <c r="F7071">
        <v>278.5</v>
      </c>
    </row>
    <row r="7072" spans="1:6">
      <c r="A7072" s="3">
        <v>43596</v>
      </c>
      <c r="B7072" s="3">
        <v>43596</v>
      </c>
      <c r="C7072">
        <v>379.93</v>
      </c>
      <c r="D7072">
        <v>1.1233</v>
      </c>
      <c r="E7072">
        <v>70.62</v>
      </c>
      <c r="F7072">
        <v>278.5</v>
      </c>
    </row>
    <row r="7073" spans="1:6">
      <c r="A7073" s="3">
        <v>43597</v>
      </c>
      <c r="B7073" s="3">
        <v>43597</v>
      </c>
      <c r="C7073">
        <v>379.93</v>
      </c>
      <c r="D7073">
        <v>1.1233</v>
      </c>
      <c r="E7073">
        <v>70.62</v>
      </c>
      <c r="F7073">
        <v>278.5</v>
      </c>
    </row>
    <row r="7074" spans="1:6">
      <c r="A7074" s="3">
        <v>43598</v>
      </c>
      <c r="B7074" s="3">
        <v>43598</v>
      </c>
      <c r="C7074">
        <v>379.39</v>
      </c>
      <c r="D7074">
        <v>1.1222000000000001</v>
      </c>
      <c r="E7074">
        <v>70.23</v>
      </c>
      <c r="F7074">
        <v>272.95</v>
      </c>
    </row>
    <row r="7075" spans="1:6">
      <c r="A7075" s="3">
        <v>43599</v>
      </c>
      <c r="B7075" s="3">
        <v>43599</v>
      </c>
      <c r="C7075">
        <v>380.56</v>
      </c>
      <c r="D7075">
        <v>1.1204000000000001</v>
      </c>
      <c r="E7075">
        <v>71.239999999999995</v>
      </c>
      <c r="F7075">
        <v>273.45</v>
      </c>
    </row>
    <row r="7076" spans="1:6">
      <c r="A7076" s="3">
        <v>43600</v>
      </c>
      <c r="B7076" s="3">
        <v>43600</v>
      </c>
      <c r="C7076">
        <v>379.44</v>
      </c>
      <c r="D7076">
        <v>1.1201000000000001</v>
      </c>
      <c r="E7076">
        <v>71.77</v>
      </c>
      <c r="F7076">
        <v>275.35000000000002</v>
      </c>
    </row>
    <row r="7077" spans="1:6">
      <c r="A7077" s="3">
        <v>43601</v>
      </c>
      <c r="B7077" s="3">
        <v>43601</v>
      </c>
      <c r="C7077">
        <v>378.55</v>
      </c>
      <c r="D7077">
        <v>1.1173999999999999</v>
      </c>
      <c r="E7077">
        <v>72.62</v>
      </c>
      <c r="F7077">
        <v>275.85000000000002</v>
      </c>
    </row>
    <row r="7078" spans="1:6">
      <c r="A7078" s="3">
        <v>43602</v>
      </c>
      <c r="B7078" s="3">
        <v>43602</v>
      </c>
      <c r="C7078">
        <v>379.71</v>
      </c>
      <c r="D7078">
        <v>1.1157999999999999</v>
      </c>
      <c r="E7078">
        <v>72.209999999999994</v>
      </c>
      <c r="F7078">
        <v>274.8</v>
      </c>
    </row>
    <row r="7079" spans="1:6">
      <c r="A7079" s="3">
        <v>43603</v>
      </c>
      <c r="B7079" s="3">
        <v>43603</v>
      </c>
      <c r="C7079">
        <v>379.71</v>
      </c>
      <c r="D7079">
        <v>1.1157999999999999</v>
      </c>
      <c r="E7079">
        <v>72.209999999999994</v>
      </c>
      <c r="F7079">
        <v>274.8</v>
      </c>
    </row>
    <row r="7080" spans="1:6">
      <c r="A7080" s="3">
        <v>43604</v>
      </c>
      <c r="B7080" s="3">
        <v>43604</v>
      </c>
      <c r="C7080">
        <v>379.71</v>
      </c>
      <c r="D7080">
        <v>1.1157999999999999</v>
      </c>
      <c r="E7080">
        <v>72.209999999999994</v>
      </c>
      <c r="F7080">
        <v>274.8</v>
      </c>
    </row>
    <row r="7081" spans="1:6">
      <c r="A7081" s="3">
        <v>43605</v>
      </c>
      <c r="B7081" s="3">
        <v>43605</v>
      </c>
      <c r="C7081">
        <v>379.09</v>
      </c>
      <c r="D7081">
        <v>1.1166</v>
      </c>
      <c r="E7081">
        <v>71.97</v>
      </c>
      <c r="F7081">
        <v>273.60000000000002</v>
      </c>
    </row>
    <row r="7082" spans="1:6">
      <c r="A7082" s="3">
        <v>43606</v>
      </c>
      <c r="B7082" s="3">
        <v>43606</v>
      </c>
      <c r="C7082">
        <v>379.56</v>
      </c>
      <c r="D7082">
        <v>1.1161000000000001</v>
      </c>
      <c r="E7082">
        <v>72.180000000000007</v>
      </c>
      <c r="F7082">
        <v>272.35000000000002</v>
      </c>
    </row>
    <row r="7083" spans="1:6">
      <c r="A7083" s="3">
        <v>43607</v>
      </c>
      <c r="B7083" s="3">
        <v>43607</v>
      </c>
      <c r="C7083">
        <v>379.19</v>
      </c>
      <c r="D7083">
        <v>1.115</v>
      </c>
      <c r="E7083">
        <v>70.989999999999995</v>
      </c>
      <c r="F7083">
        <v>268.60000000000002</v>
      </c>
    </row>
    <row r="7084" spans="1:6">
      <c r="A7084" s="3">
        <v>43608</v>
      </c>
      <c r="B7084" s="3">
        <v>43608</v>
      </c>
      <c r="C7084">
        <v>379.38</v>
      </c>
      <c r="D7084">
        <v>1.1181000000000001</v>
      </c>
      <c r="E7084">
        <v>67.760000000000005</v>
      </c>
      <c r="F7084">
        <v>268.64999999999998</v>
      </c>
    </row>
    <row r="7085" spans="1:6">
      <c r="A7085" s="3">
        <v>43609</v>
      </c>
      <c r="B7085" s="3">
        <v>43609</v>
      </c>
      <c r="C7085">
        <v>380.46</v>
      </c>
      <c r="D7085">
        <v>1.1203000000000001</v>
      </c>
      <c r="E7085">
        <v>68.69</v>
      </c>
      <c r="F7085">
        <v>270.64999999999998</v>
      </c>
    </row>
    <row r="7086" spans="1:6">
      <c r="A7086" s="3">
        <v>43610</v>
      </c>
      <c r="B7086" s="3">
        <v>43610</v>
      </c>
      <c r="C7086">
        <v>380.46</v>
      </c>
      <c r="D7086">
        <v>1.1203000000000001</v>
      </c>
      <c r="E7086">
        <v>68.69</v>
      </c>
      <c r="F7086">
        <v>270.64999999999998</v>
      </c>
    </row>
    <row r="7087" spans="1:6">
      <c r="A7087" s="3">
        <v>43611</v>
      </c>
      <c r="B7087" s="3">
        <v>43611</v>
      </c>
      <c r="C7087">
        <v>380.46</v>
      </c>
      <c r="D7087">
        <v>1.1203000000000001</v>
      </c>
      <c r="E7087">
        <v>68.69</v>
      </c>
      <c r="F7087">
        <v>270.64999999999998</v>
      </c>
    </row>
    <row r="7088" spans="1:6">
      <c r="A7088" s="3">
        <v>43612</v>
      </c>
      <c r="B7088" s="3">
        <v>43612</v>
      </c>
      <c r="C7088">
        <v>379.85</v>
      </c>
      <c r="D7088">
        <v>1.1194</v>
      </c>
      <c r="E7088">
        <v>70.11</v>
      </c>
      <c r="F7088">
        <v>270.64999999999998</v>
      </c>
    </row>
    <row r="7089" spans="1:6">
      <c r="A7089" s="3">
        <v>43613</v>
      </c>
      <c r="B7089" s="3">
        <v>43613</v>
      </c>
      <c r="C7089">
        <v>381.31</v>
      </c>
      <c r="D7089">
        <v>1.1160000000000001</v>
      </c>
      <c r="E7089">
        <v>70.11</v>
      </c>
      <c r="F7089">
        <v>270.35000000000002</v>
      </c>
    </row>
    <row r="7090" spans="1:6">
      <c r="A7090" s="3">
        <v>43614</v>
      </c>
      <c r="B7090" s="3">
        <v>43614</v>
      </c>
      <c r="C7090">
        <v>381.65</v>
      </c>
      <c r="D7090">
        <v>1.1131</v>
      </c>
      <c r="E7090">
        <v>69.45</v>
      </c>
      <c r="F7090">
        <v>267.25</v>
      </c>
    </row>
    <row r="7091" spans="1:6">
      <c r="A7091" s="3">
        <v>43615</v>
      </c>
      <c r="B7091" s="3">
        <v>43615</v>
      </c>
      <c r="C7091">
        <v>382.55</v>
      </c>
      <c r="D7091">
        <v>1.1129</v>
      </c>
      <c r="E7091">
        <v>66.87</v>
      </c>
      <c r="F7091">
        <v>265.39999999999998</v>
      </c>
    </row>
    <row r="7092" spans="1:6">
      <c r="A7092" s="3">
        <v>43616</v>
      </c>
      <c r="B7092" s="3">
        <v>43616</v>
      </c>
      <c r="C7092">
        <v>383.25</v>
      </c>
      <c r="D7092">
        <v>1.1169</v>
      </c>
      <c r="E7092">
        <v>64.489999999999995</v>
      </c>
      <c r="F7092">
        <v>264</v>
      </c>
    </row>
    <row r="7093" spans="1:6">
      <c r="A7093" s="3">
        <v>43617</v>
      </c>
      <c r="B7093" s="3">
        <v>43617</v>
      </c>
      <c r="C7093">
        <v>383.25</v>
      </c>
      <c r="D7093">
        <v>1.1169</v>
      </c>
      <c r="E7093">
        <v>64.489999999999995</v>
      </c>
      <c r="F7093">
        <v>264</v>
      </c>
    </row>
    <row r="7094" spans="1:6">
      <c r="A7094" s="3">
        <v>43618</v>
      </c>
      <c r="B7094" s="3">
        <v>43618</v>
      </c>
      <c r="C7094">
        <v>383.25</v>
      </c>
      <c r="D7094">
        <v>1.1169</v>
      </c>
      <c r="E7094">
        <v>64.489999999999995</v>
      </c>
      <c r="F7094">
        <v>264</v>
      </c>
    </row>
    <row r="7095" spans="1:6">
      <c r="A7095" s="3">
        <v>43619</v>
      </c>
      <c r="B7095" s="3">
        <v>43619</v>
      </c>
      <c r="C7095">
        <v>384.12</v>
      </c>
      <c r="D7095">
        <v>1.1241000000000001</v>
      </c>
      <c r="E7095">
        <v>61.28</v>
      </c>
      <c r="F7095">
        <v>265</v>
      </c>
    </row>
    <row r="7096" spans="1:6">
      <c r="A7096" s="3">
        <v>43620</v>
      </c>
      <c r="B7096" s="3">
        <v>43620</v>
      </c>
      <c r="C7096">
        <v>384.56</v>
      </c>
      <c r="D7096">
        <v>1.1252</v>
      </c>
      <c r="E7096">
        <v>61.97</v>
      </c>
      <c r="F7096">
        <v>266.89999999999998</v>
      </c>
    </row>
    <row r="7097" spans="1:6">
      <c r="A7097" s="3">
        <v>43621</v>
      </c>
      <c r="B7097" s="3">
        <v>43621</v>
      </c>
      <c r="C7097">
        <v>384.94</v>
      </c>
      <c r="D7097">
        <v>1.1221000000000001</v>
      </c>
      <c r="E7097">
        <v>60.63</v>
      </c>
      <c r="F7097">
        <v>262.3</v>
      </c>
    </row>
    <row r="7098" spans="1:6">
      <c r="A7098" s="3">
        <v>43622</v>
      </c>
      <c r="B7098" s="3">
        <v>43622</v>
      </c>
      <c r="C7098">
        <v>384.93</v>
      </c>
      <c r="D7098">
        <v>1.1275999999999999</v>
      </c>
      <c r="E7098">
        <v>61.67</v>
      </c>
      <c r="F7098">
        <v>265.05</v>
      </c>
    </row>
    <row r="7099" spans="1:6">
      <c r="A7099" s="3">
        <v>43623</v>
      </c>
      <c r="B7099" s="3">
        <v>43623</v>
      </c>
      <c r="C7099">
        <v>384.01</v>
      </c>
      <c r="D7099">
        <v>1.1334</v>
      </c>
      <c r="E7099">
        <v>63.29</v>
      </c>
      <c r="F7099">
        <v>262.75</v>
      </c>
    </row>
    <row r="7100" spans="1:6">
      <c r="A7100" s="3">
        <v>43624</v>
      </c>
      <c r="B7100" s="3">
        <v>43624</v>
      </c>
      <c r="C7100">
        <v>384.01</v>
      </c>
      <c r="D7100">
        <v>1.1334</v>
      </c>
      <c r="E7100">
        <v>63.29</v>
      </c>
      <c r="F7100">
        <v>262.75</v>
      </c>
    </row>
    <row r="7101" spans="1:6">
      <c r="A7101" s="3">
        <v>43625</v>
      </c>
      <c r="B7101" s="3">
        <v>43625</v>
      </c>
      <c r="C7101">
        <v>384.01</v>
      </c>
      <c r="D7101">
        <v>1.1334</v>
      </c>
      <c r="E7101">
        <v>63.29</v>
      </c>
      <c r="F7101">
        <v>262.75</v>
      </c>
    </row>
    <row r="7102" spans="1:6">
      <c r="A7102" s="3">
        <v>43626</v>
      </c>
      <c r="B7102" s="3">
        <v>43626</v>
      </c>
      <c r="C7102">
        <v>383.26</v>
      </c>
      <c r="D7102">
        <v>1.1312</v>
      </c>
      <c r="E7102">
        <v>62.29</v>
      </c>
      <c r="F7102">
        <v>266.14999999999998</v>
      </c>
    </row>
    <row r="7103" spans="1:6">
      <c r="A7103" s="3">
        <v>43627</v>
      </c>
      <c r="B7103" s="3">
        <v>43627</v>
      </c>
      <c r="C7103">
        <v>383.71</v>
      </c>
      <c r="D7103">
        <v>1.1326000000000001</v>
      </c>
      <c r="E7103">
        <v>62.29</v>
      </c>
      <c r="F7103">
        <v>267.14999999999998</v>
      </c>
    </row>
    <row r="7104" spans="1:6">
      <c r="A7104" s="3">
        <v>43628</v>
      </c>
      <c r="B7104" s="3">
        <v>43628</v>
      </c>
      <c r="C7104">
        <v>384.14</v>
      </c>
      <c r="D7104">
        <v>1.1287</v>
      </c>
      <c r="E7104">
        <v>59.97</v>
      </c>
      <c r="F7104">
        <v>265.39999999999998</v>
      </c>
    </row>
    <row r="7105" spans="1:6">
      <c r="A7105" s="3">
        <v>43629</v>
      </c>
      <c r="B7105" s="3">
        <v>43629</v>
      </c>
      <c r="C7105">
        <v>384.78</v>
      </c>
      <c r="D7105">
        <v>1.1275999999999999</v>
      </c>
      <c r="E7105">
        <v>61.31</v>
      </c>
      <c r="F7105">
        <v>265.64999999999998</v>
      </c>
    </row>
    <row r="7106" spans="1:6">
      <c r="A7106" s="3">
        <v>43630</v>
      </c>
      <c r="B7106" s="3">
        <v>43630</v>
      </c>
      <c r="C7106">
        <v>383.85</v>
      </c>
      <c r="D7106">
        <v>1.1208</v>
      </c>
      <c r="E7106">
        <v>62.01</v>
      </c>
      <c r="F7106">
        <v>262.95</v>
      </c>
    </row>
    <row r="7107" spans="1:6">
      <c r="A7107" s="3">
        <v>43631</v>
      </c>
      <c r="B7107" s="3">
        <v>43631</v>
      </c>
      <c r="C7107">
        <v>383.85</v>
      </c>
      <c r="D7107">
        <v>1.1208</v>
      </c>
      <c r="E7107">
        <v>62.01</v>
      </c>
      <c r="F7107">
        <v>262.95</v>
      </c>
    </row>
    <row r="7108" spans="1:6">
      <c r="A7108" s="3">
        <v>43632</v>
      </c>
      <c r="B7108" s="3">
        <v>43632</v>
      </c>
      <c r="C7108">
        <v>383.85</v>
      </c>
      <c r="D7108">
        <v>1.1208</v>
      </c>
      <c r="E7108">
        <v>62.01</v>
      </c>
      <c r="F7108">
        <v>262.95</v>
      </c>
    </row>
    <row r="7109" spans="1:6">
      <c r="A7109" s="3">
        <v>43633</v>
      </c>
      <c r="B7109" s="3">
        <v>43633</v>
      </c>
      <c r="C7109">
        <v>384.19</v>
      </c>
      <c r="D7109">
        <v>1.1217999999999999</v>
      </c>
      <c r="E7109">
        <v>60.94</v>
      </c>
      <c r="F7109">
        <v>264.64999999999998</v>
      </c>
    </row>
    <row r="7110" spans="1:6">
      <c r="A7110" s="3">
        <v>43634</v>
      </c>
      <c r="B7110" s="3">
        <v>43634</v>
      </c>
      <c r="C7110">
        <v>383.91</v>
      </c>
      <c r="D7110">
        <v>1.1194</v>
      </c>
      <c r="E7110">
        <v>62.14</v>
      </c>
      <c r="F7110">
        <v>270.3</v>
      </c>
    </row>
    <row r="7111" spans="1:6">
      <c r="A7111" s="3">
        <v>43635</v>
      </c>
      <c r="B7111" s="3">
        <v>43635</v>
      </c>
      <c r="C7111">
        <v>382.34</v>
      </c>
      <c r="D7111">
        <v>1.1226</v>
      </c>
      <c r="E7111">
        <v>61.82</v>
      </c>
      <c r="F7111">
        <v>268.05</v>
      </c>
    </row>
    <row r="7112" spans="1:6">
      <c r="A7112" s="3">
        <v>43636</v>
      </c>
      <c r="B7112" s="3">
        <v>43636</v>
      </c>
      <c r="C7112">
        <v>380.41</v>
      </c>
      <c r="D7112">
        <v>1.1293</v>
      </c>
      <c r="E7112">
        <v>64.45</v>
      </c>
      <c r="F7112">
        <v>271.2</v>
      </c>
    </row>
    <row r="7113" spans="1:6">
      <c r="A7113" s="3">
        <v>43637</v>
      </c>
      <c r="B7113" s="3">
        <v>43637</v>
      </c>
      <c r="C7113">
        <v>378.81</v>
      </c>
      <c r="D7113">
        <v>1.1369</v>
      </c>
      <c r="E7113">
        <v>65.2</v>
      </c>
      <c r="F7113">
        <v>270.45</v>
      </c>
    </row>
    <row r="7114" spans="1:6">
      <c r="A7114" s="3">
        <v>43638</v>
      </c>
      <c r="B7114" s="3">
        <v>43638</v>
      </c>
      <c r="C7114">
        <v>378.81</v>
      </c>
      <c r="D7114">
        <v>1.1369</v>
      </c>
      <c r="E7114">
        <v>65.2</v>
      </c>
      <c r="F7114">
        <v>270.45</v>
      </c>
    </row>
    <row r="7115" spans="1:6">
      <c r="A7115" s="3">
        <v>43639</v>
      </c>
      <c r="B7115" s="3">
        <v>43639</v>
      </c>
      <c r="C7115">
        <v>378.81</v>
      </c>
      <c r="D7115">
        <v>1.1369</v>
      </c>
      <c r="E7115">
        <v>65.2</v>
      </c>
      <c r="F7115">
        <v>270.45</v>
      </c>
    </row>
    <row r="7116" spans="1:6">
      <c r="A7116" s="3">
        <v>43640</v>
      </c>
      <c r="B7116" s="3">
        <v>43640</v>
      </c>
      <c r="C7116">
        <v>378.83</v>
      </c>
      <c r="D7116">
        <v>1.1398999999999999</v>
      </c>
      <c r="E7116">
        <v>64.86</v>
      </c>
      <c r="F7116">
        <v>270.55</v>
      </c>
    </row>
    <row r="7117" spans="1:6">
      <c r="A7117" s="3">
        <v>43641</v>
      </c>
      <c r="B7117" s="3">
        <v>43641</v>
      </c>
      <c r="C7117">
        <v>379.04</v>
      </c>
      <c r="D7117">
        <v>1.1367</v>
      </c>
      <c r="E7117">
        <v>65.05</v>
      </c>
      <c r="F7117">
        <v>273.55</v>
      </c>
    </row>
    <row r="7118" spans="1:6">
      <c r="A7118" s="3">
        <v>43642</v>
      </c>
      <c r="B7118" s="3">
        <v>43642</v>
      </c>
      <c r="C7118">
        <v>379.82</v>
      </c>
      <c r="D7118">
        <v>1.1369</v>
      </c>
      <c r="E7118">
        <v>66.489999999999995</v>
      </c>
      <c r="F7118">
        <v>271.35000000000002</v>
      </c>
    </row>
    <row r="7119" spans="1:6">
      <c r="A7119" s="3">
        <v>43643</v>
      </c>
      <c r="B7119" s="3">
        <v>43643</v>
      </c>
      <c r="C7119">
        <v>380.47</v>
      </c>
      <c r="D7119">
        <v>1.1369</v>
      </c>
      <c r="E7119">
        <v>66.55</v>
      </c>
      <c r="F7119">
        <v>271.25</v>
      </c>
    </row>
    <row r="7120" spans="1:6">
      <c r="A7120" s="3">
        <v>43644</v>
      </c>
      <c r="B7120" s="3">
        <v>43644</v>
      </c>
      <c r="C7120">
        <v>380.62</v>
      </c>
      <c r="D7120">
        <v>1.1373</v>
      </c>
      <c r="E7120">
        <v>66.55</v>
      </c>
      <c r="F7120">
        <v>270.55</v>
      </c>
    </row>
    <row r="7121" spans="1:6">
      <c r="A7121" s="3">
        <v>43645</v>
      </c>
      <c r="B7121" s="3">
        <v>43645</v>
      </c>
      <c r="C7121">
        <v>380.62</v>
      </c>
      <c r="D7121">
        <v>1.1373</v>
      </c>
      <c r="E7121">
        <v>66.55</v>
      </c>
      <c r="F7121">
        <v>270.55</v>
      </c>
    </row>
    <row r="7122" spans="1:6">
      <c r="A7122" s="3">
        <v>43646</v>
      </c>
      <c r="B7122" s="3">
        <v>43646</v>
      </c>
      <c r="C7122">
        <v>380.62</v>
      </c>
      <c r="D7122">
        <v>1.1373</v>
      </c>
      <c r="E7122">
        <v>66.55</v>
      </c>
      <c r="F7122">
        <v>270.55</v>
      </c>
    </row>
    <row r="7123" spans="1:6">
      <c r="A7123" s="3">
        <v>43647</v>
      </c>
      <c r="B7123" s="3">
        <v>43647</v>
      </c>
      <c r="C7123">
        <v>381.86</v>
      </c>
      <c r="D7123">
        <v>1.1286</v>
      </c>
      <c r="E7123">
        <v>65.06</v>
      </c>
      <c r="F7123">
        <v>267.95</v>
      </c>
    </row>
    <row r="7124" spans="1:6">
      <c r="A7124" s="3">
        <v>43648</v>
      </c>
      <c r="B7124" s="3">
        <v>43648</v>
      </c>
      <c r="C7124">
        <v>382.35</v>
      </c>
      <c r="D7124">
        <v>1.1285000000000001</v>
      </c>
      <c r="E7124">
        <v>62.4</v>
      </c>
      <c r="F7124">
        <v>265.75</v>
      </c>
    </row>
    <row r="7125" spans="1:6">
      <c r="A7125" s="3">
        <v>43649</v>
      </c>
      <c r="B7125" s="3">
        <v>43649</v>
      </c>
      <c r="C7125">
        <v>384.97</v>
      </c>
      <c r="D7125">
        <v>1.1277999999999999</v>
      </c>
      <c r="E7125">
        <v>63.82</v>
      </c>
      <c r="F7125">
        <v>267.95</v>
      </c>
    </row>
    <row r="7126" spans="1:6">
      <c r="A7126" s="3">
        <v>43650</v>
      </c>
      <c r="B7126" s="3">
        <v>43650</v>
      </c>
      <c r="C7126">
        <v>383.4</v>
      </c>
      <c r="D7126">
        <v>1.1285000000000001</v>
      </c>
      <c r="E7126">
        <v>63.3</v>
      </c>
      <c r="F7126">
        <v>267.95</v>
      </c>
    </row>
    <row r="7127" spans="1:6">
      <c r="A7127" s="3">
        <v>43651</v>
      </c>
      <c r="B7127" s="3">
        <v>43651</v>
      </c>
      <c r="C7127">
        <v>384.31</v>
      </c>
      <c r="D7127">
        <v>1.1225000000000001</v>
      </c>
      <c r="E7127">
        <v>64.23</v>
      </c>
      <c r="F7127">
        <v>265.85000000000002</v>
      </c>
    </row>
    <row r="7128" spans="1:6">
      <c r="A7128" s="3">
        <v>43652</v>
      </c>
      <c r="B7128" s="3">
        <v>43652</v>
      </c>
      <c r="C7128">
        <v>384.31</v>
      </c>
      <c r="D7128">
        <v>1.1225000000000001</v>
      </c>
      <c r="E7128">
        <v>64.23</v>
      </c>
      <c r="F7128">
        <v>265.85000000000002</v>
      </c>
    </row>
    <row r="7129" spans="1:6">
      <c r="A7129" s="3">
        <v>43653</v>
      </c>
      <c r="B7129" s="3">
        <v>43653</v>
      </c>
      <c r="C7129">
        <v>384.31</v>
      </c>
      <c r="D7129">
        <v>1.1225000000000001</v>
      </c>
      <c r="E7129">
        <v>64.23</v>
      </c>
      <c r="F7129">
        <v>265.85000000000002</v>
      </c>
    </row>
    <row r="7130" spans="1:6">
      <c r="A7130" s="3">
        <v>43654</v>
      </c>
      <c r="B7130" s="3">
        <v>43654</v>
      </c>
      <c r="C7130">
        <v>384.31</v>
      </c>
      <c r="D7130">
        <v>1.1214</v>
      </c>
      <c r="E7130">
        <v>64.11</v>
      </c>
      <c r="F7130">
        <v>265.60000000000002</v>
      </c>
    </row>
    <row r="7131" spans="1:6">
      <c r="A7131" s="3">
        <v>43655</v>
      </c>
      <c r="B7131" s="3">
        <v>43655</v>
      </c>
      <c r="C7131">
        <v>384.36</v>
      </c>
      <c r="D7131">
        <v>1.1208</v>
      </c>
      <c r="E7131">
        <v>64.16</v>
      </c>
      <c r="F7131">
        <v>262.45</v>
      </c>
    </row>
    <row r="7132" spans="1:6">
      <c r="A7132" s="3">
        <v>43656</v>
      </c>
      <c r="B7132" s="3">
        <v>43656</v>
      </c>
      <c r="C7132">
        <v>385.11</v>
      </c>
      <c r="D7132">
        <v>1.1251</v>
      </c>
      <c r="E7132">
        <v>67.010000000000005</v>
      </c>
      <c r="F7132">
        <v>269.3</v>
      </c>
    </row>
    <row r="7133" spans="1:6">
      <c r="A7133" s="3">
        <v>43657</v>
      </c>
      <c r="B7133" s="3">
        <v>43657</v>
      </c>
      <c r="C7133">
        <v>383.96</v>
      </c>
      <c r="D7133">
        <v>1.1254</v>
      </c>
      <c r="E7133">
        <v>66.52</v>
      </c>
      <c r="F7133">
        <v>268.25</v>
      </c>
    </row>
    <row r="7134" spans="1:6">
      <c r="A7134" s="3">
        <v>43658</v>
      </c>
      <c r="B7134" s="3">
        <v>43658</v>
      </c>
      <c r="C7134">
        <v>383.7</v>
      </c>
      <c r="D7134">
        <v>1.127</v>
      </c>
      <c r="E7134">
        <v>66.72</v>
      </c>
      <c r="F7134">
        <v>269.14999999999998</v>
      </c>
    </row>
    <row r="7135" spans="1:6">
      <c r="A7135" s="3">
        <v>43659</v>
      </c>
      <c r="B7135" s="3">
        <v>43659</v>
      </c>
      <c r="C7135">
        <v>383.7</v>
      </c>
      <c r="D7135">
        <v>1.127</v>
      </c>
      <c r="E7135">
        <v>66.72</v>
      </c>
      <c r="F7135">
        <v>269.14999999999998</v>
      </c>
    </row>
    <row r="7136" spans="1:6">
      <c r="A7136" s="3">
        <v>43660</v>
      </c>
      <c r="B7136" s="3">
        <v>43660</v>
      </c>
      <c r="C7136">
        <v>383.7</v>
      </c>
      <c r="D7136">
        <v>1.127</v>
      </c>
      <c r="E7136">
        <v>66.72</v>
      </c>
      <c r="F7136">
        <v>269.14999999999998</v>
      </c>
    </row>
    <row r="7137" spans="1:6">
      <c r="A7137" s="3">
        <v>43661</v>
      </c>
      <c r="B7137" s="3">
        <v>43661</v>
      </c>
      <c r="C7137">
        <v>383.61</v>
      </c>
      <c r="D7137">
        <v>1.1257999999999999</v>
      </c>
      <c r="E7137">
        <v>66.48</v>
      </c>
      <c r="F7137">
        <v>270.75</v>
      </c>
    </row>
    <row r="7138" spans="1:6">
      <c r="A7138" s="3">
        <v>43662</v>
      </c>
      <c r="B7138" s="3">
        <v>43662</v>
      </c>
      <c r="C7138">
        <v>383.46</v>
      </c>
      <c r="D7138">
        <v>1.1211</v>
      </c>
      <c r="E7138">
        <v>64.349999999999994</v>
      </c>
      <c r="F7138">
        <v>269.35000000000002</v>
      </c>
    </row>
    <row r="7139" spans="1:6">
      <c r="A7139" s="3">
        <v>43663</v>
      </c>
      <c r="B7139" s="3">
        <v>43663</v>
      </c>
      <c r="C7139">
        <v>383.71</v>
      </c>
      <c r="D7139">
        <v>1.1224000000000001</v>
      </c>
      <c r="E7139">
        <v>63.66</v>
      </c>
      <c r="F7139">
        <v>271</v>
      </c>
    </row>
    <row r="7140" spans="1:6">
      <c r="A7140" s="3">
        <v>43664</v>
      </c>
      <c r="B7140" s="3">
        <v>43664</v>
      </c>
      <c r="C7140">
        <v>384.49</v>
      </c>
      <c r="D7140">
        <v>1.1276999999999999</v>
      </c>
      <c r="E7140">
        <v>61.93</v>
      </c>
      <c r="F7140">
        <v>270.39999999999998</v>
      </c>
    </row>
    <row r="7141" spans="1:6">
      <c r="A7141" s="3">
        <v>43665</v>
      </c>
      <c r="B7141" s="3">
        <v>43665</v>
      </c>
      <c r="C7141">
        <v>384.9</v>
      </c>
      <c r="D7141">
        <v>1.1221000000000001</v>
      </c>
      <c r="E7141">
        <v>62.47</v>
      </c>
      <c r="F7141">
        <v>274.45</v>
      </c>
    </row>
    <row r="7142" spans="1:6">
      <c r="A7142" s="3">
        <v>43666</v>
      </c>
      <c r="B7142" s="3">
        <v>43666</v>
      </c>
      <c r="C7142">
        <v>384.9</v>
      </c>
      <c r="D7142">
        <v>1.1221000000000001</v>
      </c>
      <c r="E7142">
        <v>62.47</v>
      </c>
      <c r="F7142">
        <v>274.45</v>
      </c>
    </row>
    <row r="7143" spans="1:6">
      <c r="A7143" s="3">
        <v>43667</v>
      </c>
      <c r="B7143" s="3">
        <v>43667</v>
      </c>
      <c r="C7143">
        <v>384.9</v>
      </c>
      <c r="D7143">
        <v>1.1221000000000001</v>
      </c>
      <c r="E7143">
        <v>62.47</v>
      </c>
      <c r="F7143">
        <v>274.45</v>
      </c>
    </row>
    <row r="7144" spans="1:6">
      <c r="A7144" s="3">
        <v>43668</v>
      </c>
      <c r="B7144" s="3">
        <v>43668</v>
      </c>
      <c r="C7144">
        <v>384.01</v>
      </c>
      <c r="D7144">
        <v>1.1209</v>
      </c>
      <c r="E7144">
        <v>63.26</v>
      </c>
      <c r="F7144">
        <v>271.45</v>
      </c>
    </row>
    <row r="7145" spans="1:6">
      <c r="A7145" s="3">
        <v>43669</v>
      </c>
      <c r="B7145" s="3">
        <v>43669</v>
      </c>
      <c r="C7145">
        <v>384.74</v>
      </c>
      <c r="D7145">
        <v>1.1152</v>
      </c>
      <c r="E7145">
        <v>63.83</v>
      </c>
      <c r="F7145">
        <v>269.39999999999998</v>
      </c>
    </row>
    <row r="7146" spans="1:6">
      <c r="A7146" s="3">
        <v>43670</v>
      </c>
      <c r="B7146" s="3">
        <v>43670</v>
      </c>
      <c r="C7146">
        <v>384.43</v>
      </c>
      <c r="D7146">
        <v>1.1140000000000001</v>
      </c>
      <c r="E7146">
        <v>63.18</v>
      </c>
      <c r="F7146">
        <v>270.39999999999998</v>
      </c>
    </row>
    <row r="7147" spans="1:6">
      <c r="A7147" s="3">
        <v>43671</v>
      </c>
      <c r="B7147" s="3">
        <v>43671</v>
      </c>
      <c r="C7147">
        <v>384.65</v>
      </c>
      <c r="D7147">
        <v>1.1147</v>
      </c>
      <c r="E7147">
        <v>63.39</v>
      </c>
      <c r="F7147">
        <v>269.55</v>
      </c>
    </row>
    <row r="7148" spans="1:6">
      <c r="A7148" s="3">
        <v>43672</v>
      </c>
      <c r="B7148" s="3">
        <v>43672</v>
      </c>
      <c r="C7148">
        <v>384.91</v>
      </c>
      <c r="D7148">
        <v>1.1128</v>
      </c>
      <c r="E7148">
        <v>63.46</v>
      </c>
      <c r="F7148">
        <v>267.64999999999998</v>
      </c>
    </row>
    <row r="7149" spans="1:6">
      <c r="A7149" s="3">
        <v>43673</v>
      </c>
      <c r="B7149" s="3">
        <v>43673</v>
      </c>
      <c r="C7149">
        <v>384.91</v>
      </c>
      <c r="D7149">
        <v>1.1128</v>
      </c>
      <c r="E7149">
        <v>63.46</v>
      </c>
      <c r="F7149">
        <v>267.64999999999998</v>
      </c>
    </row>
    <row r="7150" spans="1:6">
      <c r="A7150" s="3">
        <v>43674</v>
      </c>
      <c r="B7150" s="3">
        <v>43674</v>
      </c>
      <c r="C7150">
        <v>384.91</v>
      </c>
      <c r="D7150">
        <v>1.1128</v>
      </c>
      <c r="E7150">
        <v>63.46</v>
      </c>
      <c r="F7150">
        <v>267.64999999999998</v>
      </c>
    </row>
    <row r="7151" spans="1:6">
      <c r="A7151" s="3">
        <v>43675</v>
      </c>
      <c r="B7151" s="3">
        <v>43675</v>
      </c>
      <c r="C7151">
        <v>384.99</v>
      </c>
      <c r="D7151">
        <v>1.1145</v>
      </c>
      <c r="E7151">
        <v>63.71</v>
      </c>
      <c r="F7151">
        <v>270.95</v>
      </c>
    </row>
    <row r="7152" spans="1:6">
      <c r="A7152" s="3">
        <v>43676</v>
      </c>
      <c r="B7152" s="3">
        <v>43676</v>
      </c>
      <c r="C7152">
        <v>384.57</v>
      </c>
      <c r="D7152">
        <v>1.1154999999999999</v>
      </c>
      <c r="E7152">
        <v>64.72</v>
      </c>
      <c r="F7152">
        <v>267.85000000000002</v>
      </c>
    </row>
    <row r="7153" spans="1:6">
      <c r="A7153" s="3">
        <v>43677</v>
      </c>
      <c r="B7153" s="3">
        <v>43677</v>
      </c>
      <c r="C7153">
        <v>384.3</v>
      </c>
      <c r="D7153">
        <v>1.1075999999999999</v>
      </c>
      <c r="E7153">
        <v>65.17</v>
      </c>
      <c r="F7153">
        <v>266.60000000000002</v>
      </c>
    </row>
    <row r="7154" spans="1:6">
      <c r="A7154" s="3">
        <v>43678</v>
      </c>
      <c r="B7154" s="3">
        <v>43678</v>
      </c>
      <c r="C7154">
        <v>385.04</v>
      </c>
      <c r="D7154">
        <v>1.1085</v>
      </c>
      <c r="E7154">
        <v>60.5</v>
      </c>
      <c r="F7154">
        <v>266.55</v>
      </c>
    </row>
    <row r="7155" spans="1:6">
      <c r="A7155" s="3">
        <v>43679</v>
      </c>
      <c r="B7155" s="3">
        <v>43679</v>
      </c>
      <c r="C7155">
        <v>386.03</v>
      </c>
      <c r="D7155">
        <v>1.1108</v>
      </c>
      <c r="E7155">
        <v>61.89</v>
      </c>
      <c r="F7155">
        <v>257.14999999999998</v>
      </c>
    </row>
    <row r="7156" spans="1:6">
      <c r="A7156" s="3">
        <v>43680</v>
      </c>
      <c r="B7156" s="3">
        <v>43680</v>
      </c>
      <c r="C7156">
        <v>386.03</v>
      </c>
      <c r="D7156">
        <v>1.1108</v>
      </c>
      <c r="E7156">
        <v>61.89</v>
      </c>
      <c r="F7156">
        <v>257.14999999999998</v>
      </c>
    </row>
    <row r="7157" spans="1:6">
      <c r="A7157" s="3">
        <v>43681</v>
      </c>
      <c r="B7157" s="3">
        <v>43681</v>
      </c>
      <c r="C7157">
        <v>386.03</v>
      </c>
      <c r="D7157">
        <v>1.1108</v>
      </c>
      <c r="E7157">
        <v>61.89</v>
      </c>
      <c r="F7157">
        <v>257.14999999999998</v>
      </c>
    </row>
    <row r="7158" spans="1:6">
      <c r="A7158" s="3">
        <v>43682</v>
      </c>
      <c r="B7158" s="3">
        <v>43682</v>
      </c>
      <c r="C7158">
        <v>386.39</v>
      </c>
      <c r="D7158">
        <v>1.1203000000000001</v>
      </c>
      <c r="E7158">
        <v>59.81</v>
      </c>
      <c r="F7158">
        <v>254.4</v>
      </c>
    </row>
    <row r="7159" spans="1:6">
      <c r="A7159" s="3">
        <v>43683</v>
      </c>
      <c r="B7159" s="3">
        <v>43683</v>
      </c>
      <c r="C7159">
        <v>387.16</v>
      </c>
      <c r="D7159">
        <v>1.1198999999999999</v>
      </c>
      <c r="E7159">
        <v>58.94</v>
      </c>
      <c r="F7159">
        <v>255.75</v>
      </c>
    </row>
    <row r="7160" spans="1:6">
      <c r="A7160" s="3">
        <v>43684</v>
      </c>
      <c r="B7160" s="3">
        <v>43684</v>
      </c>
      <c r="C7160">
        <v>387.62</v>
      </c>
      <c r="D7160">
        <v>1.1198999999999999</v>
      </c>
      <c r="E7160">
        <v>56.23</v>
      </c>
      <c r="F7160">
        <v>257.10000000000002</v>
      </c>
    </row>
    <row r="7161" spans="1:6">
      <c r="A7161" s="3">
        <v>43685</v>
      </c>
      <c r="B7161" s="3">
        <v>43685</v>
      </c>
      <c r="C7161">
        <v>387.79</v>
      </c>
      <c r="D7161">
        <v>1.1180000000000001</v>
      </c>
      <c r="E7161">
        <v>57.38</v>
      </c>
      <c r="F7161">
        <v>260.75</v>
      </c>
    </row>
    <row r="7162" spans="1:6">
      <c r="A7162" s="3">
        <v>43686</v>
      </c>
      <c r="B7162" s="3">
        <v>43686</v>
      </c>
      <c r="C7162">
        <v>387.73</v>
      </c>
      <c r="D7162">
        <v>1.1200000000000001</v>
      </c>
      <c r="E7162">
        <v>58.53</v>
      </c>
      <c r="F7162">
        <v>258.89999999999998</v>
      </c>
    </row>
    <row r="7163" spans="1:6">
      <c r="A7163" s="3">
        <v>43687</v>
      </c>
      <c r="B7163" s="3">
        <v>43687</v>
      </c>
      <c r="C7163">
        <v>387.73</v>
      </c>
      <c r="D7163">
        <v>1.1200000000000001</v>
      </c>
      <c r="E7163">
        <v>58.53</v>
      </c>
      <c r="F7163">
        <v>258.89999999999998</v>
      </c>
    </row>
    <row r="7164" spans="1:6">
      <c r="A7164" s="3">
        <v>43688</v>
      </c>
      <c r="B7164" s="3">
        <v>43688</v>
      </c>
      <c r="C7164">
        <v>387.73</v>
      </c>
      <c r="D7164">
        <v>1.1200000000000001</v>
      </c>
      <c r="E7164">
        <v>58.53</v>
      </c>
      <c r="F7164">
        <v>258.89999999999998</v>
      </c>
    </row>
    <row r="7165" spans="1:6">
      <c r="A7165" s="3">
        <v>43689</v>
      </c>
      <c r="B7165" s="3">
        <v>43689</v>
      </c>
      <c r="C7165">
        <v>388.49</v>
      </c>
      <c r="D7165">
        <v>1.1214</v>
      </c>
      <c r="E7165">
        <v>58.57</v>
      </c>
      <c r="F7165">
        <v>258.5</v>
      </c>
    </row>
    <row r="7166" spans="1:6">
      <c r="A7166" s="3">
        <v>43690</v>
      </c>
      <c r="B7166" s="3">
        <v>43690</v>
      </c>
      <c r="C7166">
        <v>387.47</v>
      </c>
      <c r="D7166">
        <v>1.1171</v>
      </c>
      <c r="E7166">
        <v>61.3</v>
      </c>
      <c r="F7166">
        <v>263</v>
      </c>
    </row>
    <row r="7167" spans="1:6">
      <c r="A7167" s="3">
        <v>43691</v>
      </c>
      <c r="B7167" s="3">
        <v>43691</v>
      </c>
      <c r="C7167">
        <v>385.95</v>
      </c>
      <c r="D7167">
        <v>1.1138999999999999</v>
      </c>
      <c r="E7167">
        <v>59.48</v>
      </c>
      <c r="F7167">
        <v>259.2</v>
      </c>
    </row>
    <row r="7168" spans="1:6">
      <c r="A7168" s="3">
        <v>43692</v>
      </c>
      <c r="B7168" s="3">
        <v>43692</v>
      </c>
      <c r="C7168">
        <v>387.38</v>
      </c>
      <c r="D7168">
        <v>1.1107</v>
      </c>
      <c r="E7168">
        <v>58.23</v>
      </c>
      <c r="F7168">
        <v>259.5</v>
      </c>
    </row>
    <row r="7169" spans="1:6">
      <c r="A7169" s="3">
        <v>43693</v>
      </c>
      <c r="B7169" s="3">
        <v>43693</v>
      </c>
      <c r="C7169">
        <v>386.82</v>
      </c>
      <c r="D7169">
        <v>1.109</v>
      </c>
      <c r="E7169">
        <v>58.64</v>
      </c>
      <c r="F7169">
        <v>259.5</v>
      </c>
    </row>
    <row r="7170" spans="1:6">
      <c r="A7170" s="3">
        <v>43694</v>
      </c>
      <c r="B7170" s="3">
        <v>43694</v>
      </c>
      <c r="C7170">
        <v>386.82</v>
      </c>
      <c r="D7170">
        <v>1.109</v>
      </c>
      <c r="E7170">
        <v>58.64</v>
      </c>
      <c r="F7170">
        <v>259.5</v>
      </c>
    </row>
    <row r="7171" spans="1:6">
      <c r="A7171" s="3">
        <v>43695</v>
      </c>
      <c r="B7171" s="3">
        <v>43695</v>
      </c>
      <c r="C7171">
        <v>386.82</v>
      </c>
      <c r="D7171">
        <v>1.109</v>
      </c>
      <c r="E7171">
        <v>58.64</v>
      </c>
      <c r="F7171">
        <v>259.5</v>
      </c>
    </row>
    <row r="7172" spans="1:6">
      <c r="A7172" s="3">
        <v>43696</v>
      </c>
      <c r="B7172" s="3">
        <v>43696</v>
      </c>
      <c r="C7172">
        <v>387.02</v>
      </c>
      <c r="D7172">
        <v>1.1077999999999999</v>
      </c>
      <c r="E7172">
        <v>59.74</v>
      </c>
      <c r="F7172">
        <v>260.14999999999998</v>
      </c>
    </row>
    <row r="7173" spans="1:6">
      <c r="A7173" s="3">
        <v>43697</v>
      </c>
      <c r="B7173" s="3">
        <v>43697</v>
      </c>
      <c r="C7173">
        <v>386.58</v>
      </c>
      <c r="D7173">
        <v>1.1100000000000001</v>
      </c>
      <c r="E7173">
        <v>60.03</v>
      </c>
      <c r="F7173">
        <v>257.8</v>
      </c>
    </row>
    <row r="7174" spans="1:6">
      <c r="A7174" s="3">
        <v>43698</v>
      </c>
      <c r="B7174" s="3">
        <v>43698</v>
      </c>
      <c r="C7174">
        <v>385.92</v>
      </c>
      <c r="D7174">
        <v>1.1085</v>
      </c>
      <c r="E7174">
        <v>60.3</v>
      </c>
      <c r="F7174">
        <v>258.55</v>
      </c>
    </row>
    <row r="7175" spans="1:6">
      <c r="A7175" s="3">
        <v>43699</v>
      </c>
      <c r="B7175" s="3">
        <v>43699</v>
      </c>
      <c r="C7175">
        <v>386.2</v>
      </c>
      <c r="D7175">
        <v>1.1080000000000001</v>
      </c>
      <c r="E7175">
        <v>59.92</v>
      </c>
      <c r="F7175">
        <v>255.75</v>
      </c>
    </row>
    <row r="7176" spans="1:6">
      <c r="A7176" s="3">
        <v>43700</v>
      </c>
      <c r="B7176" s="3">
        <v>43700</v>
      </c>
      <c r="C7176">
        <v>386.12</v>
      </c>
      <c r="D7176">
        <v>1.1144000000000001</v>
      </c>
      <c r="E7176">
        <v>59.34</v>
      </c>
      <c r="F7176">
        <v>253</v>
      </c>
    </row>
    <row r="7177" spans="1:6">
      <c r="A7177" s="3">
        <v>43701</v>
      </c>
      <c r="B7177" s="3">
        <v>43701</v>
      </c>
      <c r="C7177">
        <v>386.12</v>
      </c>
      <c r="D7177">
        <v>1.1144000000000001</v>
      </c>
      <c r="E7177">
        <v>59.34</v>
      </c>
      <c r="F7177">
        <v>253</v>
      </c>
    </row>
    <row r="7178" spans="1:6">
      <c r="A7178" s="3">
        <v>43702</v>
      </c>
      <c r="B7178" s="3">
        <v>43702</v>
      </c>
      <c r="C7178">
        <v>386.12</v>
      </c>
      <c r="D7178">
        <v>1.1144000000000001</v>
      </c>
      <c r="E7178">
        <v>59.34</v>
      </c>
      <c r="F7178">
        <v>253</v>
      </c>
    </row>
    <row r="7179" spans="1:6">
      <c r="A7179" s="3">
        <v>43703</v>
      </c>
      <c r="B7179" s="3">
        <v>43703</v>
      </c>
      <c r="C7179">
        <v>386.6</v>
      </c>
      <c r="D7179">
        <v>1.1102000000000001</v>
      </c>
      <c r="E7179">
        <v>58.7</v>
      </c>
      <c r="F7179">
        <v>254.35</v>
      </c>
    </row>
    <row r="7180" spans="1:6">
      <c r="A7180" s="3">
        <v>43704</v>
      </c>
      <c r="B7180" s="3">
        <v>43704</v>
      </c>
      <c r="C7180">
        <v>388.18</v>
      </c>
      <c r="D7180">
        <v>1.109</v>
      </c>
      <c r="E7180">
        <v>59.51</v>
      </c>
      <c r="F7180">
        <v>254.75</v>
      </c>
    </row>
    <row r="7181" spans="1:6">
      <c r="A7181" s="3">
        <v>43705</v>
      </c>
      <c r="B7181" s="3">
        <v>43705</v>
      </c>
      <c r="C7181">
        <v>388.22</v>
      </c>
      <c r="D7181">
        <v>1.1077999999999999</v>
      </c>
      <c r="E7181">
        <v>60.49</v>
      </c>
      <c r="F7181">
        <v>255.4</v>
      </c>
    </row>
    <row r="7182" spans="1:6">
      <c r="A7182" s="3">
        <v>43706</v>
      </c>
      <c r="B7182" s="3">
        <v>43706</v>
      </c>
      <c r="C7182">
        <v>387.15</v>
      </c>
      <c r="D7182">
        <v>1.1056999999999999</v>
      </c>
      <c r="E7182">
        <v>61.08</v>
      </c>
      <c r="F7182">
        <v>255.95</v>
      </c>
    </row>
    <row r="7183" spans="1:6">
      <c r="A7183" s="3">
        <v>43707</v>
      </c>
      <c r="B7183" s="3">
        <v>43707</v>
      </c>
      <c r="C7183">
        <v>387.15</v>
      </c>
      <c r="D7183">
        <v>1.0982000000000001</v>
      </c>
      <c r="E7183">
        <v>60.43</v>
      </c>
      <c r="F7183">
        <v>253.3</v>
      </c>
    </row>
    <row r="7184" spans="1:6">
      <c r="A7184" s="3">
        <v>43708</v>
      </c>
      <c r="B7184" s="3">
        <v>43708</v>
      </c>
      <c r="C7184">
        <v>387.15</v>
      </c>
      <c r="D7184">
        <v>1.0982000000000001</v>
      </c>
      <c r="E7184">
        <v>60.43</v>
      </c>
      <c r="F7184">
        <v>253.3</v>
      </c>
    </row>
    <row r="7185" spans="1:6">
      <c r="A7185" s="3">
        <v>43709</v>
      </c>
      <c r="B7185" s="3">
        <v>43709</v>
      </c>
      <c r="C7185">
        <v>387.15</v>
      </c>
      <c r="D7185">
        <v>1.0982000000000001</v>
      </c>
      <c r="E7185">
        <v>60.43</v>
      </c>
      <c r="F7185">
        <v>253.3</v>
      </c>
    </row>
    <row r="7186" spans="1:6">
      <c r="A7186" s="3">
        <v>43710</v>
      </c>
      <c r="B7186" s="3">
        <v>43710</v>
      </c>
      <c r="C7186">
        <v>388.15</v>
      </c>
      <c r="D7186">
        <v>1.097</v>
      </c>
      <c r="E7186">
        <v>58.66</v>
      </c>
      <c r="F7186">
        <v>253.3</v>
      </c>
    </row>
    <row r="7187" spans="1:6">
      <c r="A7187" s="3">
        <v>43711</v>
      </c>
      <c r="B7187" s="3">
        <v>43711</v>
      </c>
      <c r="C7187">
        <v>388.52</v>
      </c>
      <c r="D7187">
        <v>1.0973999999999999</v>
      </c>
      <c r="E7187">
        <v>58.26</v>
      </c>
      <c r="F7187">
        <v>251.25</v>
      </c>
    </row>
    <row r="7188" spans="1:6">
      <c r="A7188" s="3">
        <v>43712</v>
      </c>
      <c r="B7188" s="3">
        <v>43712</v>
      </c>
      <c r="C7188">
        <v>388.57</v>
      </c>
      <c r="D7188">
        <v>1.1034999999999999</v>
      </c>
      <c r="E7188">
        <v>60.7</v>
      </c>
      <c r="F7188">
        <v>257.89999999999998</v>
      </c>
    </row>
    <row r="7189" spans="1:6">
      <c r="A7189" s="3">
        <v>43713</v>
      </c>
      <c r="B7189" s="3">
        <v>43713</v>
      </c>
      <c r="C7189">
        <v>388.03</v>
      </c>
      <c r="D7189">
        <v>1.1034999999999999</v>
      </c>
      <c r="E7189">
        <v>60.95</v>
      </c>
      <c r="F7189">
        <v>262.45</v>
      </c>
    </row>
    <row r="7190" spans="1:6">
      <c r="A7190" s="3">
        <v>43714</v>
      </c>
      <c r="B7190" s="3">
        <v>43714</v>
      </c>
      <c r="C7190">
        <v>387.73</v>
      </c>
      <c r="D7190">
        <v>1.1029</v>
      </c>
      <c r="E7190">
        <v>61.54</v>
      </c>
      <c r="F7190">
        <v>261.55</v>
      </c>
    </row>
    <row r="7191" spans="1:6">
      <c r="A7191" s="3">
        <v>43715</v>
      </c>
      <c r="B7191" s="3">
        <v>43715</v>
      </c>
      <c r="C7191">
        <v>387.73</v>
      </c>
      <c r="D7191">
        <v>1.1029</v>
      </c>
      <c r="E7191">
        <v>61.54</v>
      </c>
      <c r="F7191">
        <v>261.55</v>
      </c>
    </row>
    <row r="7192" spans="1:6">
      <c r="A7192" s="3">
        <v>43716</v>
      </c>
      <c r="B7192" s="3">
        <v>43716</v>
      </c>
      <c r="C7192">
        <v>387.73</v>
      </c>
      <c r="D7192">
        <v>1.1029</v>
      </c>
      <c r="E7192">
        <v>61.54</v>
      </c>
      <c r="F7192">
        <v>261.55</v>
      </c>
    </row>
    <row r="7193" spans="1:6">
      <c r="A7193" s="3">
        <v>43717</v>
      </c>
      <c r="B7193" s="3">
        <v>43717</v>
      </c>
      <c r="C7193">
        <v>386.23</v>
      </c>
      <c r="D7193">
        <v>1.1048</v>
      </c>
      <c r="E7193">
        <v>62.59</v>
      </c>
      <c r="F7193">
        <v>261.05</v>
      </c>
    </row>
    <row r="7194" spans="1:6">
      <c r="A7194" s="3">
        <v>43718</v>
      </c>
      <c r="B7194" s="3">
        <v>43718</v>
      </c>
      <c r="C7194">
        <v>385.98</v>
      </c>
      <c r="D7194">
        <v>1.1043000000000001</v>
      </c>
      <c r="E7194">
        <v>62.38</v>
      </c>
      <c r="F7194">
        <v>261.05</v>
      </c>
    </row>
    <row r="7195" spans="1:6">
      <c r="A7195" s="3">
        <v>43719</v>
      </c>
      <c r="B7195" s="3">
        <v>43719</v>
      </c>
      <c r="C7195">
        <v>386.45</v>
      </c>
      <c r="D7195">
        <v>1.101</v>
      </c>
      <c r="E7195">
        <v>60.81</v>
      </c>
      <c r="F7195">
        <v>259.75</v>
      </c>
    </row>
    <row r="7196" spans="1:6">
      <c r="A7196" s="3">
        <v>43720</v>
      </c>
      <c r="B7196" s="3">
        <v>43720</v>
      </c>
      <c r="C7196">
        <v>386.94</v>
      </c>
      <c r="D7196">
        <v>1.1065</v>
      </c>
      <c r="E7196">
        <v>60.38</v>
      </c>
      <c r="F7196">
        <v>262.35000000000002</v>
      </c>
    </row>
    <row r="7197" spans="1:6">
      <c r="A7197" s="3">
        <v>43721</v>
      </c>
      <c r="B7197" s="3">
        <v>43721</v>
      </c>
      <c r="C7197">
        <v>386.6</v>
      </c>
      <c r="D7197">
        <v>1.1073</v>
      </c>
      <c r="E7197">
        <v>60.22</v>
      </c>
      <c r="F7197">
        <v>268.10000000000002</v>
      </c>
    </row>
    <row r="7198" spans="1:6">
      <c r="A7198" s="3">
        <v>43722</v>
      </c>
      <c r="B7198" s="3">
        <v>43722</v>
      </c>
      <c r="C7198">
        <v>386.6</v>
      </c>
      <c r="D7198">
        <v>1.1073</v>
      </c>
      <c r="E7198">
        <v>60.22</v>
      </c>
      <c r="F7198">
        <v>268.10000000000002</v>
      </c>
    </row>
    <row r="7199" spans="1:6">
      <c r="A7199" s="3">
        <v>43723</v>
      </c>
      <c r="B7199" s="3">
        <v>43723</v>
      </c>
      <c r="C7199">
        <v>386.6</v>
      </c>
      <c r="D7199">
        <v>1.1073</v>
      </c>
      <c r="E7199">
        <v>60.22</v>
      </c>
      <c r="F7199">
        <v>268.10000000000002</v>
      </c>
    </row>
    <row r="7200" spans="1:6">
      <c r="A7200" s="3">
        <v>43724</v>
      </c>
      <c r="B7200" s="3">
        <v>43724</v>
      </c>
      <c r="C7200">
        <v>385.91</v>
      </c>
      <c r="D7200">
        <v>1.1001000000000001</v>
      </c>
      <c r="E7200">
        <v>69.02</v>
      </c>
      <c r="F7200">
        <v>262.10000000000002</v>
      </c>
    </row>
    <row r="7201" spans="1:6">
      <c r="A7201" s="3">
        <v>43725</v>
      </c>
      <c r="B7201" s="3">
        <v>43725</v>
      </c>
      <c r="C7201">
        <v>385.33</v>
      </c>
      <c r="D7201">
        <v>1.1073</v>
      </c>
      <c r="E7201">
        <v>64.55</v>
      </c>
      <c r="F7201">
        <v>260.95</v>
      </c>
    </row>
    <row r="7202" spans="1:6">
      <c r="A7202" s="3">
        <v>43726</v>
      </c>
      <c r="B7202" s="3">
        <v>43726</v>
      </c>
      <c r="C7202">
        <v>387.11</v>
      </c>
      <c r="D7202">
        <v>1.103</v>
      </c>
      <c r="E7202">
        <v>63.6</v>
      </c>
      <c r="F7202">
        <v>259.55</v>
      </c>
    </row>
    <row r="7203" spans="1:6">
      <c r="A7203" s="3">
        <v>43727</v>
      </c>
      <c r="B7203" s="3">
        <v>43727</v>
      </c>
      <c r="C7203">
        <v>386.93</v>
      </c>
      <c r="D7203">
        <v>1.1041000000000001</v>
      </c>
      <c r="E7203">
        <v>64.400000000000006</v>
      </c>
      <c r="F7203">
        <v>259.10000000000002</v>
      </c>
    </row>
    <row r="7204" spans="1:6">
      <c r="A7204" s="3">
        <v>43728</v>
      </c>
      <c r="B7204" s="3">
        <v>43728</v>
      </c>
      <c r="C7204">
        <v>386.47</v>
      </c>
      <c r="D7204">
        <v>1.1016999999999999</v>
      </c>
      <c r="E7204">
        <v>64.28</v>
      </c>
      <c r="F7204">
        <v>259</v>
      </c>
    </row>
    <row r="7205" spans="1:6">
      <c r="A7205" s="3">
        <v>43729</v>
      </c>
      <c r="B7205" s="3">
        <v>43729</v>
      </c>
      <c r="C7205">
        <v>386.47</v>
      </c>
      <c r="D7205">
        <v>1.1016999999999999</v>
      </c>
      <c r="E7205">
        <v>64.28</v>
      </c>
      <c r="F7205">
        <v>259</v>
      </c>
    </row>
    <row r="7206" spans="1:6">
      <c r="A7206" s="3">
        <v>43730</v>
      </c>
      <c r="B7206" s="3">
        <v>43730</v>
      </c>
      <c r="C7206">
        <v>386.47</v>
      </c>
      <c r="D7206">
        <v>1.1016999999999999</v>
      </c>
      <c r="E7206">
        <v>64.28</v>
      </c>
      <c r="F7206">
        <v>259</v>
      </c>
    </row>
    <row r="7207" spans="1:6">
      <c r="A7207" s="3">
        <v>43731</v>
      </c>
      <c r="B7207" s="3">
        <v>43731</v>
      </c>
      <c r="C7207">
        <v>386.35</v>
      </c>
      <c r="D7207">
        <v>1.0992999999999999</v>
      </c>
      <c r="E7207">
        <v>64.77</v>
      </c>
      <c r="F7207">
        <v>259.45</v>
      </c>
    </row>
    <row r="7208" spans="1:6">
      <c r="A7208" s="3">
        <v>43732</v>
      </c>
      <c r="B7208" s="3">
        <v>43732</v>
      </c>
      <c r="C7208">
        <v>386.82</v>
      </c>
      <c r="D7208">
        <v>1.1020000000000001</v>
      </c>
      <c r="E7208">
        <v>63.1</v>
      </c>
      <c r="F7208">
        <v>258.95</v>
      </c>
    </row>
    <row r="7209" spans="1:6">
      <c r="A7209" s="3">
        <v>43733</v>
      </c>
      <c r="B7209" s="3">
        <v>43733</v>
      </c>
      <c r="C7209">
        <v>387.92</v>
      </c>
      <c r="D7209">
        <v>1.0943000000000001</v>
      </c>
      <c r="E7209">
        <v>62.39</v>
      </c>
      <c r="F7209">
        <v>259.5</v>
      </c>
    </row>
    <row r="7210" spans="1:6">
      <c r="A7210" s="3">
        <v>43734</v>
      </c>
      <c r="B7210" s="3">
        <v>43734</v>
      </c>
      <c r="C7210">
        <v>387.29</v>
      </c>
      <c r="D7210">
        <v>1.0921000000000001</v>
      </c>
      <c r="E7210">
        <v>62.74</v>
      </c>
      <c r="F7210">
        <v>256</v>
      </c>
    </row>
    <row r="7211" spans="1:6">
      <c r="A7211" s="3">
        <v>43735</v>
      </c>
      <c r="B7211" s="3">
        <v>43735</v>
      </c>
      <c r="C7211">
        <v>387.81</v>
      </c>
      <c r="D7211">
        <v>1.0940000000000001</v>
      </c>
      <c r="E7211">
        <v>61.91</v>
      </c>
      <c r="F7211">
        <v>259.75</v>
      </c>
    </row>
    <row r="7212" spans="1:6">
      <c r="A7212" s="3">
        <v>43736</v>
      </c>
      <c r="B7212" s="3">
        <v>43736</v>
      </c>
      <c r="C7212">
        <v>387.81</v>
      </c>
      <c r="D7212">
        <v>1.0940000000000001</v>
      </c>
      <c r="E7212">
        <v>61.91</v>
      </c>
      <c r="F7212">
        <v>259.75</v>
      </c>
    </row>
    <row r="7213" spans="1:6">
      <c r="A7213" s="3">
        <v>43737</v>
      </c>
      <c r="B7213" s="3">
        <v>43737</v>
      </c>
      <c r="C7213">
        <v>387.81</v>
      </c>
      <c r="D7213">
        <v>1.0940000000000001</v>
      </c>
      <c r="E7213">
        <v>61.91</v>
      </c>
      <c r="F7213">
        <v>259.75</v>
      </c>
    </row>
    <row r="7214" spans="1:6">
      <c r="A7214" s="3">
        <v>43738</v>
      </c>
      <c r="B7214" s="3">
        <v>43738</v>
      </c>
      <c r="C7214">
        <v>388.24</v>
      </c>
      <c r="D7214">
        <v>1.0899000000000001</v>
      </c>
      <c r="E7214">
        <v>60.78</v>
      </c>
      <c r="F7214">
        <v>257.85000000000002</v>
      </c>
    </row>
    <row r="7215" spans="1:6">
      <c r="A7215" s="3">
        <v>43739</v>
      </c>
      <c r="B7215" s="3">
        <v>43739</v>
      </c>
      <c r="C7215">
        <v>388.67</v>
      </c>
      <c r="D7215">
        <v>1.0932999999999999</v>
      </c>
      <c r="E7215">
        <v>58.89</v>
      </c>
      <c r="F7215">
        <v>256.05</v>
      </c>
    </row>
    <row r="7216" spans="1:6">
      <c r="A7216" s="3">
        <v>43740</v>
      </c>
      <c r="B7216" s="3">
        <v>43740</v>
      </c>
      <c r="C7216">
        <v>388.42</v>
      </c>
      <c r="D7216">
        <v>1.0959000000000001</v>
      </c>
      <c r="E7216">
        <v>57.69</v>
      </c>
      <c r="F7216">
        <v>257.05</v>
      </c>
    </row>
    <row r="7217" spans="1:6">
      <c r="A7217" s="3">
        <v>43741</v>
      </c>
      <c r="B7217" s="3">
        <v>43741</v>
      </c>
      <c r="C7217">
        <v>389.02</v>
      </c>
      <c r="D7217">
        <v>1.0965</v>
      </c>
      <c r="E7217">
        <v>57.71</v>
      </c>
      <c r="F7217">
        <v>255.35</v>
      </c>
    </row>
    <row r="7218" spans="1:6">
      <c r="A7218" s="3">
        <v>43742</v>
      </c>
      <c r="B7218" s="3">
        <v>43742</v>
      </c>
      <c r="C7218">
        <v>389.02</v>
      </c>
      <c r="D7218">
        <v>1.0979000000000001</v>
      </c>
      <c r="E7218">
        <v>58.37</v>
      </c>
      <c r="F7218">
        <v>256.25</v>
      </c>
    </row>
    <row r="7219" spans="1:6">
      <c r="A7219" s="3">
        <v>43743</v>
      </c>
      <c r="B7219" s="3">
        <v>43743</v>
      </c>
      <c r="C7219">
        <v>389.02</v>
      </c>
      <c r="D7219">
        <v>1.0979000000000001</v>
      </c>
      <c r="E7219">
        <v>58.37</v>
      </c>
      <c r="F7219">
        <v>256.25</v>
      </c>
    </row>
    <row r="7220" spans="1:6">
      <c r="A7220" s="3">
        <v>43744</v>
      </c>
      <c r="B7220" s="3">
        <v>43744</v>
      </c>
      <c r="C7220">
        <v>389.02</v>
      </c>
      <c r="D7220">
        <v>1.0979000000000001</v>
      </c>
      <c r="E7220">
        <v>58.37</v>
      </c>
      <c r="F7220">
        <v>256.25</v>
      </c>
    </row>
    <row r="7221" spans="1:6">
      <c r="A7221" s="3">
        <v>43745</v>
      </c>
      <c r="B7221" s="3">
        <v>43745</v>
      </c>
      <c r="C7221">
        <v>389.08</v>
      </c>
      <c r="D7221">
        <v>1.0971</v>
      </c>
      <c r="E7221">
        <v>58.35</v>
      </c>
      <c r="F7221">
        <v>257.7</v>
      </c>
    </row>
    <row r="7222" spans="1:6">
      <c r="A7222" s="3">
        <v>43746</v>
      </c>
      <c r="B7222" s="3">
        <v>43746</v>
      </c>
      <c r="C7222">
        <v>389.83</v>
      </c>
      <c r="D7222">
        <v>1.0956999999999999</v>
      </c>
      <c r="E7222">
        <v>58.24</v>
      </c>
      <c r="F7222">
        <v>256.85000000000002</v>
      </c>
    </row>
    <row r="7223" spans="1:6">
      <c r="A7223" s="3">
        <v>43747</v>
      </c>
      <c r="B7223" s="3">
        <v>43747</v>
      </c>
      <c r="C7223">
        <v>389.55</v>
      </c>
      <c r="D7223">
        <v>1.0971</v>
      </c>
      <c r="E7223">
        <v>58.32</v>
      </c>
      <c r="F7223">
        <v>256.8</v>
      </c>
    </row>
    <row r="7224" spans="1:6">
      <c r="A7224" s="3">
        <v>43748</v>
      </c>
      <c r="B7224" s="3">
        <v>43748</v>
      </c>
      <c r="C7224">
        <v>390.18</v>
      </c>
      <c r="D7224">
        <v>1.1005</v>
      </c>
      <c r="E7224">
        <v>59.1</v>
      </c>
      <c r="F7224">
        <v>261.35000000000002</v>
      </c>
    </row>
    <row r="7225" spans="1:6">
      <c r="A7225" s="3">
        <v>43749</v>
      </c>
      <c r="B7225" s="3">
        <v>43749</v>
      </c>
      <c r="C7225">
        <v>389.43</v>
      </c>
      <c r="D7225">
        <v>1.1042000000000001</v>
      </c>
      <c r="E7225">
        <v>60.51</v>
      </c>
      <c r="F7225">
        <v>262.8</v>
      </c>
    </row>
    <row r="7226" spans="1:6">
      <c r="A7226" s="3">
        <v>43750</v>
      </c>
      <c r="B7226" s="3">
        <v>43750</v>
      </c>
      <c r="C7226">
        <v>389.43</v>
      </c>
      <c r="D7226">
        <v>1.1042000000000001</v>
      </c>
      <c r="E7226">
        <v>60.51</v>
      </c>
      <c r="F7226">
        <v>262.8</v>
      </c>
    </row>
    <row r="7227" spans="1:6">
      <c r="A7227" s="3">
        <v>43751</v>
      </c>
      <c r="B7227" s="3">
        <v>43751</v>
      </c>
      <c r="C7227">
        <v>389.43</v>
      </c>
      <c r="D7227">
        <v>1.1042000000000001</v>
      </c>
      <c r="E7227">
        <v>60.51</v>
      </c>
      <c r="F7227">
        <v>262.8</v>
      </c>
    </row>
    <row r="7228" spans="1:6">
      <c r="A7228" s="3">
        <v>43752</v>
      </c>
      <c r="B7228" s="3">
        <v>43752</v>
      </c>
      <c r="C7228">
        <v>389.58</v>
      </c>
      <c r="D7228">
        <v>1.1027</v>
      </c>
      <c r="E7228">
        <v>59.35</v>
      </c>
      <c r="F7228">
        <v>263.39999999999998</v>
      </c>
    </row>
    <row r="7229" spans="1:6">
      <c r="A7229" s="3">
        <v>43753</v>
      </c>
      <c r="B7229" s="3">
        <v>43753</v>
      </c>
      <c r="C7229">
        <v>389.71</v>
      </c>
      <c r="D7229">
        <v>1.1032999999999999</v>
      </c>
      <c r="E7229">
        <v>58.74</v>
      </c>
      <c r="F7229">
        <v>261.39999999999998</v>
      </c>
    </row>
    <row r="7230" spans="1:6">
      <c r="A7230" s="3">
        <v>43754</v>
      </c>
      <c r="B7230" s="3">
        <v>43754</v>
      </c>
      <c r="C7230">
        <v>389.97</v>
      </c>
      <c r="D7230">
        <v>1.1072</v>
      </c>
      <c r="E7230">
        <v>59.42</v>
      </c>
      <c r="F7230">
        <v>258.95</v>
      </c>
    </row>
    <row r="7231" spans="1:6">
      <c r="A7231" s="3">
        <v>43755</v>
      </c>
      <c r="B7231" s="3">
        <v>43755</v>
      </c>
      <c r="C7231">
        <v>390.23</v>
      </c>
      <c r="D7231">
        <v>1.1125</v>
      </c>
      <c r="E7231">
        <v>59.91</v>
      </c>
      <c r="F7231">
        <v>259.75</v>
      </c>
    </row>
    <row r="7232" spans="1:6">
      <c r="A7232" s="3">
        <v>43756</v>
      </c>
      <c r="B7232" s="3">
        <v>43756</v>
      </c>
      <c r="C7232">
        <v>390.19</v>
      </c>
      <c r="D7232">
        <v>1.1167</v>
      </c>
      <c r="E7232">
        <v>59.42</v>
      </c>
      <c r="F7232">
        <v>263.60000000000002</v>
      </c>
    </row>
    <row r="7233" spans="1:6">
      <c r="A7233" s="3">
        <v>43757</v>
      </c>
      <c r="B7233" s="3">
        <v>43757</v>
      </c>
      <c r="C7233">
        <v>390.19</v>
      </c>
      <c r="D7233">
        <v>1.1167</v>
      </c>
      <c r="E7233">
        <v>59.42</v>
      </c>
      <c r="F7233">
        <v>263.60000000000002</v>
      </c>
    </row>
    <row r="7234" spans="1:6">
      <c r="A7234" s="3">
        <v>43758</v>
      </c>
      <c r="B7234" s="3">
        <v>43758</v>
      </c>
      <c r="C7234">
        <v>390.19</v>
      </c>
      <c r="D7234">
        <v>1.1167</v>
      </c>
      <c r="E7234">
        <v>59.42</v>
      </c>
      <c r="F7234">
        <v>263.60000000000002</v>
      </c>
    </row>
    <row r="7235" spans="1:6">
      <c r="A7235" s="3">
        <v>43759</v>
      </c>
      <c r="B7235" s="3">
        <v>43759</v>
      </c>
      <c r="C7235">
        <v>389.82</v>
      </c>
      <c r="D7235">
        <v>1.115</v>
      </c>
      <c r="E7235">
        <v>58.96</v>
      </c>
      <c r="F7235">
        <v>264.64999999999998</v>
      </c>
    </row>
    <row r="7236" spans="1:6">
      <c r="A7236" s="3">
        <v>43760</v>
      </c>
      <c r="B7236" s="3">
        <v>43760</v>
      </c>
      <c r="C7236">
        <v>389.96</v>
      </c>
      <c r="D7236">
        <v>1.1125</v>
      </c>
      <c r="E7236">
        <v>59.7</v>
      </c>
      <c r="F7236">
        <v>263.3</v>
      </c>
    </row>
    <row r="7237" spans="1:6">
      <c r="A7237" s="3">
        <v>43761</v>
      </c>
      <c r="B7237" s="3">
        <v>43761</v>
      </c>
      <c r="C7237">
        <v>389</v>
      </c>
      <c r="D7237">
        <v>1.113</v>
      </c>
      <c r="E7237">
        <v>61.17</v>
      </c>
      <c r="F7237">
        <v>267.14999999999998</v>
      </c>
    </row>
    <row r="7238" spans="1:6">
      <c r="A7238" s="3">
        <v>43762</v>
      </c>
      <c r="B7238" s="3">
        <v>43762</v>
      </c>
      <c r="C7238">
        <v>388.86</v>
      </c>
      <c r="D7238">
        <v>1.1104000000000001</v>
      </c>
      <c r="E7238">
        <v>61.67</v>
      </c>
      <c r="F7238">
        <v>266.8</v>
      </c>
    </row>
    <row r="7239" spans="1:6">
      <c r="A7239" s="3">
        <v>43763</v>
      </c>
      <c r="B7239" s="3">
        <v>43763</v>
      </c>
      <c r="C7239">
        <v>388.64</v>
      </c>
      <c r="D7239">
        <v>1.1080000000000001</v>
      </c>
      <c r="E7239">
        <v>62.02</v>
      </c>
      <c r="F7239">
        <v>267.55</v>
      </c>
    </row>
    <row r="7240" spans="1:6">
      <c r="A7240" s="3">
        <v>43764</v>
      </c>
      <c r="B7240" s="3">
        <v>43764</v>
      </c>
      <c r="C7240">
        <v>388.64</v>
      </c>
      <c r="D7240">
        <v>1.1080000000000001</v>
      </c>
      <c r="E7240">
        <v>62.02</v>
      </c>
      <c r="F7240">
        <v>267.55</v>
      </c>
    </row>
    <row r="7241" spans="1:6">
      <c r="A7241" s="3">
        <v>43765</v>
      </c>
      <c r="B7241" s="3">
        <v>43765</v>
      </c>
      <c r="C7241">
        <v>388.64</v>
      </c>
      <c r="D7241">
        <v>1.1080000000000001</v>
      </c>
      <c r="E7241">
        <v>62.02</v>
      </c>
      <c r="F7241">
        <v>267.55</v>
      </c>
    </row>
    <row r="7242" spans="1:6">
      <c r="A7242" s="3">
        <v>43766</v>
      </c>
      <c r="B7242" s="3">
        <v>43766</v>
      </c>
      <c r="C7242">
        <v>388.16</v>
      </c>
      <c r="D7242">
        <v>1.1100000000000001</v>
      </c>
      <c r="E7242">
        <v>61.57</v>
      </c>
      <c r="F7242">
        <v>268.3</v>
      </c>
    </row>
    <row r="7243" spans="1:6">
      <c r="A7243" s="3">
        <v>43767</v>
      </c>
      <c r="B7243" s="3">
        <v>43767</v>
      </c>
      <c r="C7243">
        <v>388.49</v>
      </c>
      <c r="D7243">
        <v>1.1112</v>
      </c>
      <c r="E7243">
        <v>61.59</v>
      </c>
      <c r="F7243">
        <v>269.14999999999998</v>
      </c>
    </row>
    <row r="7244" spans="1:6">
      <c r="A7244" s="3">
        <v>43768</v>
      </c>
      <c r="B7244" s="3">
        <v>43768</v>
      </c>
      <c r="C7244">
        <v>388.43</v>
      </c>
      <c r="D7244">
        <v>1.1151</v>
      </c>
      <c r="E7244">
        <v>60.61</v>
      </c>
      <c r="F7244">
        <v>268.60000000000002</v>
      </c>
    </row>
    <row r="7245" spans="1:6">
      <c r="A7245" s="3">
        <v>43769</v>
      </c>
      <c r="B7245" s="3">
        <v>43769</v>
      </c>
      <c r="C7245">
        <v>388.66</v>
      </c>
      <c r="D7245">
        <v>1.1152</v>
      </c>
      <c r="E7245">
        <v>60.23</v>
      </c>
      <c r="F7245">
        <v>263.8</v>
      </c>
    </row>
    <row r="7246" spans="1:6">
      <c r="A7246" s="3">
        <v>43770</v>
      </c>
      <c r="B7246" s="3">
        <v>43770</v>
      </c>
      <c r="C7246">
        <v>389.67</v>
      </c>
      <c r="D7246">
        <v>1.1166</v>
      </c>
      <c r="E7246">
        <v>61.69</v>
      </c>
      <c r="F7246">
        <v>265.3</v>
      </c>
    </row>
    <row r="7247" spans="1:6">
      <c r="A7247" s="3">
        <v>43771</v>
      </c>
      <c r="B7247" s="3">
        <v>43771</v>
      </c>
      <c r="C7247">
        <v>389.67</v>
      </c>
      <c r="D7247">
        <v>1.1166</v>
      </c>
      <c r="E7247">
        <v>61.69</v>
      </c>
      <c r="F7247">
        <v>265.3</v>
      </c>
    </row>
    <row r="7248" spans="1:6">
      <c r="A7248" s="3">
        <v>43772</v>
      </c>
      <c r="B7248" s="3">
        <v>43772</v>
      </c>
      <c r="C7248">
        <v>389.67</v>
      </c>
      <c r="D7248">
        <v>1.1166</v>
      </c>
      <c r="E7248">
        <v>61.69</v>
      </c>
      <c r="F7248">
        <v>265.3</v>
      </c>
    </row>
    <row r="7249" spans="1:6">
      <c r="A7249" s="3">
        <v>43773</v>
      </c>
      <c r="B7249" s="3">
        <v>43773</v>
      </c>
      <c r="C7249">
        <v>388.13</v>
      </c>
      <c r="D7249">
        <v>1.1128</v>
      </c>
      <c r="E7249">
        <v>62.13</v>
      </c>
      <c r="F7249">
        <v>267.10000000000002</v>
      </c>
    </row>
    <row r="7250" spans="1:6">
      <c r="A7250" s="3">
        <v>43774</v>
      </c>
      <c r="B7250" s="3">
        <v>43774</v>
      </c>
      <c r="C7250">
        <v>388.47</v>
      </c>
      <c r="D7250">
        <v>1.1074999999999999</v>
      </c>
      <c r="E7250">
        <v>62.96</v>
      </c>
      <c r="F7250">
        <v>270.05</v>
      </c>
    </row>
    <row r="7251" spans="1:6">
      <c r="A7251" s="3">
        <v>43775</v>
      </c>
      <c r="B7251" s="3">
        <v>43775</v>
      </c>
      <c r="C7251">
        <v>389.06</v>
      </c>
      <c r="D7251">
        <v>1.1066</v>
      </c>
      <c r="E7251">
        <v>61.74</v>
      </c>
      <c r="F7251">
        <v>266.5</v>
      </c>
    </row>
    <row r="7252" spans="1:6">
      <c r="A7252" s="3">
        <v>43776</v>
      </c>
      <c r="B7252" s="3">
        <v>43776</v>
      </c>
      <c r="C7252">
        <v>388.61</v>
      </c>
      <c r="D7252">
        <v>1.105</v>
      </c>
      <c r="E7252">
        <v>62.29</v>
      </c>
      <c r="F7252">
        <v>272.75</v>
      </c>
    </row>
    <row r="7253" spans="1:6">
      <c r="A7253" s="3">
        <v>43777</v>
      </c>
      <c r="B7253" s="3">
        <v>43777</v>
      </c>
      <c r="C7253">
        <v>388.6</v>
      </c>
      <c r="D7253">
        <v>1.1017999999999999</v>
      </c>
      <c r="E7253">
        <v>62.51</v>
      </c>
      <c r="F7253">
        <v>268.2</v>
      </c>
    </row>
    <row r="7254" spans="1:6">
      <c r="A7254" s="3">
        <v>43778</v>
      </c>
      <c r="B7254" s="3">
        <v>43778</v>
      </c>
      <c r="C7254">
        <v>388.6</v>
      </c>
      <c r="D7254">
        <v>1.1017999999999999</v>
      </c>
      <c r="E7254">
        <v>62.51</v>
      </c>
      <c r="F7254">
        <v>268.2</v>
      </c>
    </row>
    <row r="7255" spans="1:6">
      <c r="A7255" s="3">
        <v>43779</v>
      </c>
      <c r="B7255" s="3">
        <v>43779</v>
      </c>
      <c r="C7255">
        <v>388.6</v>
      </c>
      <c r="D7255">
        <v>1.1017999999999999</v>
      </c>
      <c r="E7255">
        <v>62.51</v>
      </c>
      <c r="F7255">
        <v>268.2</v>
      </c>
    </row>
    <row r="7256" spans="1:6">
      <c r="A7256" s="3">
        <v>43780</v>
      </c>
      <c r="B7256" s="3">
        <v>43780</v>
      </c>
      <c r="C7256">
        <v>389</v>
      </c>
      <c r="D7256">
        <v>1.1032999999999999</v>
      </c>
      <c r="E7256">
        <v>62.18</v>
      </c>
      <c r="F7256">
        <v>266.39999999999998</v>
      </c>
    </row>
    <row r="7257" spans="1:6">
      <c r="A7257" s="3">
        <v>43781</v>
      </c>
      <c r="B7257" s="3">
        <v>43781</v>
      </c>
      <c r="C7257">
        <v>388.94</v>
      </c>
      <c r="D7257">
        <v>1.1009</v>
      </c>
      <c r="E7257">
        <v>62.06</v>
      </c>
      <c r="F7257">
        <v>264.55</v>
      </c>
    </row>
    <row r="7258" spans="1:6">
      <c r="A7258" s="3">
        <v>43782</v>
      </c>
      <c r="B7258" s="3">
        <v>43782</v>
      </c>
      <c r="C7258">
        <v>389.42</v>
      </c>
      <c r="D7258">
        <v>1.1007</v>
      </c>
      <c r="E7258">
        <v>62.37</v>
      </c>
      <c r="F7258">
        <v>263.95</v>
      </c>
    </row>
    <row r="7259" spans="1:6">
      <c r="A7259" s="3">
        <v>43783</v>
      </c>
      <c r="B7259" s="3">
        <v>43783</v>
      </c>
      <c r="C7259">
        <v>388.53</v>
      </c>
      <c r="D7259">
        <v>1.1022000000000001</v>
      </c>
      <c r="E7259">
        <v>62.28</v>
      </c>
      <c r="F7259">
        <v>262.14999999999998</v>
      </c>
    </row>
    <row r="7260" spans="1:6">
      <c r="A7260" s="3">
        <v>43784</v>
      </c>
      <c r="B7260" s="3">
        <v>43784</v>
      </c>
      <c r="C7260">
        <v>388.03</v>
      </c>
      <c r="D7260">
        <v>1.1051</v>
      </c>
      <c r="E7260">
        <v>63.3</v>
      </c>
      <c r="F7260">
        <v>263.8</v>
      </c>
    </row>
    <row r="7261" spans="1:6">
      <c r="A7261" s="3">
        <v>43785</v>
      </c>
      <c r="B7261" s="3">
        <v>43785</v>
      </c>
      <c r="C7261">
        <v>388.03</v>
      </c>
      <c r="D7261">
        <v>1.1051</v>
      </c>
      <c r="E7261">
        <v>63.3</v>
      </c>
      <c r="F7261">
        <v>263.8</v>
      </c>
    </row>
    <row r="7262" spans="1:6">
      <c r="A7262" s="3">
        <v>43786</v>
      </c>
      <c r="B7262" s="3">
        <v>43786</v>
      </c>
      <c r="C7262">
        <v>388.03</v>
      </c>
      <c r="D7262">
        <v>1.1051</v>
      </c>
      <c r="E7262">
        <v>63.3</v>
      </c>
      <c r="F7262">
        <v>263.8</v>
      </c>
    </row>
    <row r="7263" spans="1:6">
      <c r="A7263" s="3">
        <v>43787</v>
      </c>
      <c r="B7263" s="3">
        <v>43787</v>
      </c>
      <c r="C7263">
        <v>387.42</v>
      </c>
      <c r="D7263">
        <v>1.1072</v>
      </c>
      <c r="E7263">
        <v>62.44</v>
      </c>
      <c r="F7263">
        <v>262</v>
      </c>
    </row>
    <row r="7264" spans="1:6">
      <c r="A7264" s="3">
        <v>43788</v>
      </c>
      <c r="B7264" s="3">
        <v>43788</v>
      </c>
      <c r="C7264">
        <v>387.2</v>
      </c>
      <c r="D7264">
        <v>1.1077999999999999</v>
      </c>
      <c r="E7264">
        <v>60.91</v>
      </c>
      <c r="F7264">
        <v>265.64999999999998</v>
      </c>
    </row>
    <row r="7265" spans="1:6">
      <c r="A7265" s="3">
        <v>43789</v>
      </c>
      <c r="B7265" s="3">
        <v>43789</v>
      </c>
      <c r="C7265">
        <v>387.18</v>
      </c>
      <c r="D7265">
        <v>1.1073</v>
      </c>
      <c r="E7265">
        <v>62.4</v>
      </c>
      <c r="F7265">
        <v>264.95</v>
      </c>
    </row>
    <row r="7266" spans="1:6">
      <c r="A7266" s="3">
        <v>43790</v>
      </c>
      <c r="B7266" s="3">
        <v>43790</v>
      </c>
      <c r="C7266">
        <v>385.87</v>
      </c>
      <c r="D7266">
        <v>1.1059000000000001</v>
      </c>
      <c r="E7266">
        <v>63.97</v>
      </c>
      <c r="F7266">
        <v>262.35000000000002</v>
      </c>
    </row>
    <row r="7267" spans="1:6">
      <c r="A7267" s="3">
        <v>43791</v>
      </c>
      <c r="B7267" s="3">
        <v>43791</v>
      </c>
      <c r="C7267">
        <v>385.74</v>
      </c>
      <c r="D7267">
        <v>1.1021000000000001</v>
      </c>
      <c r="E7267">
        <v>63.39</v>
      </c>
      <c r="F7267">
        <v>264.8</v>
      </c>
    </row>
    <row r="7268" spans="1:6">
      <c r="A7268" s="3">
        <v>43792</v>
      </c>
      <c r="B7268" s="3">
        <v>43792</v>
      </c>
      <c r="C7268">
        <v>385.74</v>
      </c>
      <c r="D7268">
        <v>1.1021000000000001</v>
      </c>
      <c r="E7268">
        <v>63.39</v>
      </c>
      <c r="F7268">
        <v>264.8</v>
      </c>
    </row>
    <row r="7269" spans="1:6">
      <c r="A7269" s="3">
        <v>43793</v>
      </c>
      <c r="B7269" s="3">
        <v>43793</v>
      </c>
      <c r="C7269">
        <v>385.74</v>
      </c>
      <c r="D7269">
        <v>1.1021000000000001</v>
      </c>
      <c r="E7269">
        <v>63.39</v>
      </c>
      <c r="F7269">
        <v>264.8</v>
      </c>
    </row>
    <row r="7270" spans="1:6">
      <c r="A7270" s="3">
        <v>43794</v>
      </c>
      <c r="B7270" s="3">
        <v>43794</v>
      </c>
      <c r="C7270">
        <v>386.36</v>
      </c>
      <c r="D7270">
        <v>1.1013999999999999</v>
      </c>
      <c r="E7270">
        <v>63.65</v>
      </c>
      <c r="F7270">
        <v>264.75</v>
      </c>
    </row>
    <row r="7271" spans="1:6">
      <c r="A7271" s="3">
        <v>43795</v>
      </c>
      <c r="B7271" s="3">
        <v>43795</v>
      </c>
      <c r="C7271">
        <v>386.09</v>
      </c>
      <c r="D7271">
        <v>1.1021000000000001</v>
      </c>
      <c r="E7271">
        <v>64.27</v>
      </c>
      <c r="F7271">
        <v>267.75</v>
      </c>
    </row>
    <row r="7272" spans="1:6">
      <c r="A7272" s="3">
        <v>43796</v>
      </c>
      <c r="B7272" s="3">
        <v>43796</v>
      </c>
      <c r="C7272">
        <v>386.39</v>
      </c>
      <c r="D7272">
        <v>1.0999000000000001</v>
      </c>
      <c r="E7272">
        <v>64.06</v>
      </c>
      <c r="F7272">
        <v>267.45</v>
      </c>
    </row>
    <row r="7273" spans="1:6">
      <c r="A7273" s="3">
        <v>43797</v>
      </c>
      <c r="B7273" s="3">
        <v>43797</v>
      </c>
      <c r="C7273">
        <v>386.16</v>
      </c>
      <c r="D7273">
        <v>1.1009</v>
      </c>
      <c r="E7273">
        <v>63.87</v>
      </c>
      <c r="F7273">
        <v>267.45</v>
      </c>
    </row>
    <row r="7274" spans="1:6">
      <c r="A7274" s="3">
        <v>43798</v>
      </c>
      <c r="B7274" s="3">
        <v>43798</v>
      </c>
      <c r="C7274">
        <v>386.43</v>
      </c>
      <c r="D7274">
        <v>1.1017999999999999</v>
      </c>
      <c r="E7274">
        <v>62.43</v>
      </c>
      <c r="F7274">
        <v>264.2</v>
      </c>
    </row>
    <row r="7275" spans="1:6">
      <c r="A7275" s="3">
        <v>43799</v>
      </c>
      <c r="B7275" s="3">
        <v>43799</v>
      </c>
      <c r="C7275">
        <v>386.43</v>
      </c>
      <c r="D7275">
        <v>1.1017999999999999</v>
      </c>
      <c r="E7275">
        <v>62.43</v>
      </c>
      <c r="F7275">
        <v>264.2</v>
      </c>
    </row>
    <row r="7276" spans="1:6">
      <c r="A7276" s="3">
        <v>43800</v>
      </c>
      <c r="B7276" s="3">
        <v>43800</v>
      </c>
      <c r="C7276">
        <v>386.43</v>
      </c>
      <c r="D7276">
        <v>1.1017999999999999</v>
      </c>
      <c r="E7276">
        <v>62.43</v>
      </c>
      <c r="F7276">
        <v>264.2</v>
      </c>
    </row>
    <row r="7277" spans="1:6">
      <c r="A7277" s="3">
        <v>43801</v>
      </c>
      <c r="B7277" s="3">
        <v>43801</v>
      </c>
      <c r="C7277">
        <v>386.43</v>
      </c>
      <c r="D7277">
        <v>1.1079000000000001</v>
      </c>
      <c r="E7277">
        <v>60.92</v>
      </c>
      <c r="F7277">
        <v>263.25</v>
      </c>
    </row>
    <row r="7278" spans="1:6">
      <c r="A7278" s="3">
        <v>43802</v>
      </c>
      <c r="B7278" s="3">
        <v>43802</v>
      </c>
      <c r="C7278">
        <v>387.51</v>
      </c>
      <c r="D7278">
        <v>1.1082000000000001</v>
      </c>
      <c r="E7278">
        <v>60.82</v>
      </c>
      <c r="F7278">
        <v>260.8</v>
      </c>
    </row>
    <row r="7279" spans="1:6">
      <c r="A7279" s="3">
        <v>43803</v>
      </c>
      <c r="B7279" s="3">
        <v>43803</v>
      </c>
      <c r="C7279">
        <v>386.76</v>
      </c>
      <c r="D7279">
        <v>1.1077999999999999</v>
      </c>
      <c r="E7279">
        <v>63</v>
      </c>
      <c r="F7279">
        <v>264.39999999999998</v>
      </c>
    </row>
    <row r="7280" spans="1:6">
      <c r="A7280" s="3">
        <v>43804</v>
      </c>
      <c r="B7280" s="3">
        <v>43804</v>
      </c>
      <c r="C7280">
        <v>384.91</v>
      </c>
      <c r="D7280">
        <v>1.1104000000000001</v>
      </c>
      <c r="E7280">
        <v>63.39</v>
      </c>
      <c r="F7280">
        <v>264.85000000000002</v>
      </c>
    </row>
    <row r="7281" spans="1:6">
      <c r="A7281" s="3">
        <v>43805</v>
      </c>
      <c r="B7281" s="3">
        <v>43805</v>
      </c>
      <c r="C7281">
        <v>385.86</v>
      </c>
      <c r="D7281">
        <v>1.1060000000000001</v>
      </c>
      <c r="E7281">
        <v>64.39</v>
      </c>
      <c r="F7281">
        <v>271.10000000000002</v>
      </c>
    </row>
    <row r="7282" spans="1:6">
      <c r="A7282" s="3">
        <v>43806</v>
      </c>
      <c r="B7282" s="3">
        <v>43806</v>
      </c>
      <c r="C7282">
        <v>385.86</v>
      </c>
      <c r="D7282">
        <v>1.1060000000000001</v>
      </c>
      <c r="E7282">
        <v>64.39</v>
      </c>
      <c r="F7282">
        <v>271.10000000000002</v>
      </c>
    </row>
    <row r="7283" spans="1:6">
      <c r="A7283" s="3">
        <v>43807</v>
      </c>
      <c r="B7283" s="3">
        <v>43807</v>
      </c>
      <c r="C7283">
        <v>385.86</v>
      </c>
      <c r="D7283">
        <v>1.1060000000000001</v>
      </c>
      <c r="E7283">
        <v>64.39</v>
      </c>
      <c r="F7283">
        <v>271.10000000000002</v>
      </c>
    </row>
    <row r="7284" spans="1:6">
      <c r="A7284" s="3">
        <v>43808</v>
      </c>
      <c r="B7284" s="3">
        <v>43808</v>
      </c>
      <c r="C7284">
        <v>385.84</v>
      </c>
      <c r="D7284">
        <v>1.1064000000000001</v>
      </c>
      <c r="E7284">
        <v>64.25</v>
      </c>
      <c r="F7284">
        <v>274.64999999999998</v>
      </c>
    </row>
    <row r="7285" spans="1:6">
      <c r="A7285" s="3">
        <v>43809</v>
      </c>
      <c r="B7285" s="3">
        <v>43809</v>
      </c>
      <c r="C7285">
        <v>386.5</v>
      </c>
      <c r="D7285">
        <v>1.1092</v>
      </c>
      <c r="E7285">
        <v>64.34</v>
      </c>
      <c r="F7285">
        <v>275.55</v>
      </c>
    </row>
    <row r="7286" spans="1:6">
      <c r="A7286" s="3">
        <v>43810</v>
      </c>
      <c r="B7286" s="3">
        <v>43810</v>
      </c>
      <c r="C7286">
        <v>385.92</v>
      </c>
      <c r="D7286">
        <v>1.113</v>
      </c>
      <c r="E7286">
        <v>63.72</v>
      </c>
      <c r="F7286">
        <v>278.25</v>
      </c>
    </row>
    <row r="7287" spans="1:6">
      <c r="A7287" s="3">
        <v>43811</v>
      </c>
      <c r="B7287" s="3">
        <v>43811</v>
      </c>
      <c r="C7287">
        <v>384.58</v>
      </c>
      <c r="D7287">
        <v>1.113</v>
      </c>
      <c r="E7287">
        <v>64.2</v>
      </c>
      <c r="F7287">
        <v>278.95</v>
      </c>
    </row>
    <row r="7288" spans="1:6">
      <c r="A7288" s="3">
        <v>43812</v>
      </c>
      <c r="B7288" s="3">
        <v>43812</v>
      </c>
      <c r="C7288">
        <v>384.45</v>
      </c>
      <c r="D7288">
        <v>1.1121000000000001</v>
      </c>
      <c r="E7288">
        <v>65.22</v>
      </c>
      <c r="F7288">
        <v>278.05</v>
      </c>
    </row>
    <row r="7289" spans="1:6">
      <c r="A7289" s="3">
        <v>43813</v>
      </c>
      <c r="B7289" s="3">
        <v>43813</v>
      </c>
      <c r="C7289">
        <v>384.45</v>
      </c>
      <c r="D7289">
        <v>1.1121000000000001</v>
      </c>
      <c r="E7289">
        <v>65.22</v>
      </c>
      <c r="F7289">
        <v>278.05</v>
      </c>
    </row>
    <row r="7290" spans="1:6">
      <c r="A7290" s="3">
        <v>43814</v>
      </c>
      <c r="B7290" s="3">
        <v>43814</v>
      </c>
      <c r="C7290">
        <v>384.45</v>
      </c>
      <c r="D7290">
        <v>1.1121000000000001</v>
      </c>
      <c r="E7290">
        <v>65.22</v>
      </c>
      <c r="F7290">
        <v>278.05</v>
      </c>
    </row>
    <row r="7291" spans="1:6">
      <c r="A7291" s="3">
        <v>43815</v>
      </c>
      <c r="B7291" s="3">
        <v>43815</v>
      </c>
      <c r="C7291">
        <v>384.61</v>
      </c>
      <c r="D7291">
        <v>1.1144000000000001</v>
      </c>
      <c r="E7291">
        <v>65.34</v>
      </c>
      <c r="F7291">
        <v>282.05</v>
      </c>
    </row>
    <row r="7292" spans="1:6">
      <c r="A7292" s="3">
        <v>43816</v>
      </c>
      <c r="B7292" s="3">
        <v>43816</v>
      </c>
      <c r="C7292">
        <v>384.55</v>
      </c>
      <c r="D7292">
        <v>1.115</v>
      </c>
      <c r="E7292">
        <v>66.099999999999994</v>
      </c>
      <c r="F7292">
        <v>281.95</v>
      </c>
    </row>
    <row r="7293" spans="1:6">
      <c r="A7293" s="3">
        <v>43817</v>
      </c>
      <c r="B7293" s="3">
        <v>43817</v>
      </c>
      <c r="C7293">
        <v>384.49</v>
      </c>
      <c r="D7293">
        <v>1.1113999999999999</v>
      </c>
      <c r="E7293">
        <v>66.17</v>
      </c>
      <c r="F7293">
        <v>281.7</v>
      </c>
    </row>
    <row r="7294" spans="1:6">
      <c r="A7294" s="3">
        <v>43818</v>
      </c>
      <c r="B7294" s="3">
        <v>43818</v>
      </c>
      <c r="C7294">
        <v>383.55</v>
      </c>
      <c r="D7294">
        <v>1.1122000000000001</v>
      </c>
      <c r="E7294">
        <v>66.540000000000006</v>
      </c>
      <c r="F7294">
        <v>283.14999999999998</v>
      </c>
    </row>
    <row r="7295" spans="1:6">
      <c r="A7295" s="3">
        <v>43819</v>
      </c>
      <c r="B7295" s="3">
        <v>43819</v>
      </c>
      <c r="C7295">
        <v>383.1</v>
      </c>
      <c r="D7295">
        <v>1.1079000000000001</v>
      </c>
      <c r="E7295">
        <v>66.14</v>
      </c>
      <c r="F7295">
        <v>281.10000000000002</v>
      </c>
    </row>
    <row r="7296" spans="1:6">
      <c r="A7296" s="3">
        <v>43820</v>
      </c>
      <c r="B7296" s="3">
        <v>43820</v>
      </c>
      <c r="C7296">
        <v>383.1</v>
      </c>
      <c r="D7296">
        <v>1.1079000000000001</v>
      </c>
      <c r="E7296">
        <v>66.14</v>
      </c>
      <c r="F7296">
        <v>281.10000000000002</v>
      </c>
    </row>
    <row r="7297" spans="1:6">
      <c r="A7297" s="3">
        <v>43821</v>
      </c>
      <c r="B7297" s="3">
        <v>43821</v>
      </c>
      <c r="C7297">
        <v>383.1</v>
      </c>
      <c r="D7297">
        <v>1.1079000000000001</v>
      </c>
      <c r="E7297">
        <v>66.14</v>
      </c>
      <c r="F7297">
        <v>281.10000000000002</v>
      </c>
    </row>
    <row r="7298" spans="1:6">
      <c r="A7298" s="3">
        <v>43822</v>
      </c>
      <c r="B7298" s="3">
        <v>43822</v>
      </c>
      <c r="C7298">
        <v>382.64</v>
      </c>
      <c r="D7298">
        <v>1.1089</v>
      </c>
      <c r="E7298">
        <v>66.39</v>
      </c>
      <c r="F7298">
        <v>281.7</v>
      </c>
    </row>
    <row r="7299" spans="1:6">
      <c r="A7299" s="3">
        <v>43823</v>
      </c>
      <c r="B7299" s="3">
        <v>43823</v>
      </c>
      <c r="C7299">
        <v>380.6</v>
      </c>
      <c r="D7299">
        <v>1.1089</v>
      </c>
      <c r="E7299">
        <v>67.2</v>
      </c>
      <c r="F7299">
        <v>283.85000000000002</v>
      </c>
    </row>
    <row r="7300" spans="1:6">
      <c r="A7300" s="3">
        <v>43824</v>
      </c>
      <c r="B7300" s="3">
        <v>43824</v>
      </c>
      <c r="C7300">
        <v>378.9</v>
      </c>
      <c r="D7300">
        <v>1.1093</v>
      </c>
      <c r="E7300">
        <v>67.2</v>
      </c>
      <c r="F7300">
        <v>283.85000000000002</v>
      </c>
    </row>
    <row r="7301" spans="1:6">
      <c r="A7301" s="3">
        <v>43825</v>
      </c>
      <c r="B7301" s="3">
        <v>43825</v>
      </c>
      <c r="C7301">
        <v>379.55</v>
      </c>
      <c r="D7301">
        <v>1.1097999999999999</v>
      </c>
      <c r="E7301">
        <v>67.92</v>
      </c>
      <c r="F7301">
        <v>286.45</v>
      </c>
    </row>
    <row r="7302" spans="1:6">
      <c r="A7302" s="3">
        <v>43826</v>
      </c>
      <c r="B7302" s="3">
        <v>43826</v>
      </c>
      <c r="C7302">
        <v>380.82</v>
      </c>
      <c r="D7302">
        <v>1.1176999999999999</v>
      </c>
      <c r="E7302">
        <v>68.16</v>
      </c>
      <c r="F7302">
        <v>283.64999999999998</v>
      </c>
    </row>
    <row r="7303" spans="1:6">
      <c r="A7303" s="3">
        <v>43827</v>
      </c>
      <c r="B7303" s="3">
        <v>43827</v>
      </c>
      <c r="C7303">
        <v>380.82</v>
      </c>
      <c r="D7303">
        <v>1.1176999999999999</v>
      </c>
      <c r="E7303">
        <v>68.16</v>
      </c>
      <c r="F7303">
        <v>283.64999999999998</v>
      </c>
    </row>
    <row r="7304" spans="1:6">
      <c r="A7304" s="3">
        <v>43828</v>
      </c>
      <c r="B7304" s="3">
        <v>43828</v>
      </c>
      <c r="C7304">
        <v>380.82</v>
      </c>
      <c r="D7304">
        <v>1.1176999999999999</v>
      </c>
      <c r="E7304">
        <v>68.16</v>
      </c>
      <c r="F7304">
        <v>283.64999999999998</v>
      </c>
    </row>
    <row r="7305" spans="1:6">
      <c r="A7305" s="3">
        <v>43829</v>
      </c>
      <c r="B7305" s="3">
        <v>43829</v>
      </c>
      <c r="C7305">
        <v>381.73</v>
      </c>
      <c r="D7305">
        <v>1.1198999999999999</v>
      </c>
      <c r="E7305">
        <v>68.44</v>
      </c>
      <c r="F7305">
        <v>283.35000000000002</v>
      </c>
    </row>
    <row r="7306" spans="1:6">
      <c r="A7306" s="3">
        <v>43830</v>
      </c>
      <c r="B7306" s="3">
        <v>43830</v>
      </c>
      <c r="C7306">
        <v>382.64</v>
      </c>
      <c r="D7306">
        <v>1.1213</v>
      </c>
      <c r="E7306">
        <v>66</v>
      </c>
      <c r="F7306">
        <v>279.7</v>
      </c>
    </row>
    <row r="7307" spans="1:6">
      <c r="A7307" s="3">
        <v>43831</v>
      </c>
      <c r="B7307" s="3">
        <v>43831</v>
      </c>
      <c r="C7307">
        <v>382.64</v>
      </c>
      <c r="D7307">
        <v>1.1212</v>
      </c>
      <c r="E7307">
        <v>66</v>
      </c>
      <c r="F7307">
        <v>279.7</v>
      </c>
    </row>
    <row r="7308" spans="1:6">
      <c r="A7308" s="3">
        <v>43832</v>
      </c>
      <c r="B7308" s="3">
        <v>43832</v>
      </c>
      <c r="C7308">
        <v>382.64</v>
      </c>
      <c r="D7308">
        <v>1.1172</v>
      </c>
      <c r="E7308">
        <v>66.25</v>
      </c>
      <c r="F7308">
        <v>282.5</v>
      </c>
    </row>
    <row r="7309" spans="1:6">
      <c r="A7309" s="3">
        <v>43833</v>
      </c>
      <c r="B7309" s="3">
        <v>43833</v>
      </c>
      <c r="C7309">
        <v>382.64</v>
      </c>
      <c r="D7309">
        <v>1.1161000000000001</v>
      </c>
      <c r="E7309">
        <v>68.599999999999994</v>
      </c>
      <c r="F7309">
        <v>278.7</v>
      </c>
    </row>
    <row r="7310" spans="1:6">
      <c r="A7310" s="3">
        <v>43834</v>
      </c>
      <c r="B7310" s="3">
        <v>43834</v>
      </c>
      <c r="C7310">
        <v>382.64</v>
      </c>
      <c r="D7310">
        <v>1.1161000000000001</v>
      </c>
      <c r="E7310">
        <v>68.599999999999994</v>
      </c>
      <c r="F7310">
        <v>278.7</v>
      </c>
    </row>
    <row r="7311" spans="1:6">
      <c r="A7311" s="3">
        <v>43835</v>
      </c>
      <c r="B7311" s="3">
        <v>43835</v>
      </c>
      <c r="C7311">
        <v>382.64</v>
      </c>
      <c r="D7311">
        <v>1.1161000000000001</v>
      </c>
      <c r="E7311">
        <v>68.599999999999994</v>
      </c>
      <c r="F7311">
        <v>278.7</v>
      </c>
    </row>
    <row r="7312" spans="1:6">
      <c r="A7312" s="3">
        <v>43836</v>
      </c>
      <c r="B7312" s="3">
        <v>43836</v>
      </c>
      <c r="C7312">
        <v>380.6</v>
      </c>
      <c r="D7312">
        <v>1.1196999999999999</v>
      </c>
      <c r="E7312">
        <v>68.91</v>
      </c>
      <c r="F7312">
        <v>279</v>
      </c>
    </row>
    <row r="7313" spans="1:6">
      <c r="A7313" s="3">
        <v>43837</v>
      </c>
      <c r="B7313" s="3">
        <v>43837</v>
      </c>
      <c r="C7313">
        <v>380.6</v>
      </c>
      <c r="D7313">
        <v>1.1153</v>
      </c>
      <c r="E7313">
        <v>68.27</v>
      </c>
      <c r="F7313">
        <v>279.35000000000002</v>
      </c>
    </row>
    <row r="7314" spans="1:6">
      <c r="A7314" s="3">
        <v>43838</v>
      </c>
      <c r="B7314" s="3">
        <v>43838</v>
      </c>
      <c r="C7314">
        <v>377.98</v>
      </c>
      <c r="D7314">
        <v>1.1105</v>
      </c>
      <c r="E7314">
        <v>65.44</v>
      </c>
      <c r="F7314">
        <v>281.2</v>
      </c>
    </row>
    <row r="7315" spans="1:6">
      <c r="A7315" s="3">
        <v>43839</v>
      </c>
      <c r="B7315" s="3">
        <v>43839</v>
      </c>
      <c r="C7315">
        <v>376.54</v>
      </c>
      <c r="D7315">
        <v>1.1106</v>
      </c>
      <c r="E7315">
        <v>65.37</v>
      </c>
      <c r="F7315">
        <v>280.2</v>
      </c>
    </row>
    <row r="7316" spans="1:6">
      <c r="A7316" s="3">
        <v>43840</v>
      </c>
      <c r="B7316" s="3">
        <v>43840</v>
      </c>
      <c r="C7316">
        <v>377.84</v>
      </c>
      <c r="D7316">
        <v>1.1121000000000001</v>
      </c>
      <c r="E7316">
        <v>64.98</v>
      </c>
      <c r="F7316">
        <v>281.35000000000002</v>
      </c>
    </row>
    <row r="7317" spans="1:6">
      <c r="A7317" s="3">
        <v>43841</v>
      </c>
      <c r="B7317" s="3">
        <v>43841</v>
      </c>
      <c r="C7317">
        <v>377.84</v>
      </c>
      <c r="D7317">
        <v>1.1121000000000001</v>
      </c>
      <c r="E7317">
        <v>64.98</v>
      </c>
      <c r="F7317">
        <v>281.35000000000002</v>
      </c>
    </row>
    <row r="7318" spans="1:6">
      <c r="A7318" s="3">
        <v>43842</v>
      </c>
      <c r="B7318" s="3">
        <v>43842</v>
      </c>
      <c r="C7318">
        <v>377.84</v>
      </c>
      <c r="D7318">
        <v>1.1121000000000001</v>
      </c>
      <c r="E7318">
        <v>64.98</v>
      </c>
      <c r="F7318">
        <v>281.35000000000002</v>
      </c>
    </row>
    <row r="7319" spans="1:6">
      <c r="A7319" s="3">
        <v>43843</v>
      </c>
      <c r="B7319" s="3">
        <v>43843</v>
      </c>
      <c r="C7319">
        <v>378.27</v>
      </c>
      <c r="D7319">
        <v>1.1133999999999999</v>
      </c>
      <c r="E7319">
        <v>64.2</v>
      </c>
      <c r="F7319">
        <v>286.10000000000002</v>
      </c>
    </row>
    <row r="7320" spans="1:6">
      <c r="A7320" s="3">
        <v>43844</v>
      </c>
      <c r="B7320" s="3">
        <v>43844</v>
      </c>
      <c r="C7320">
        <v>379.49</v>
      </c>
      <c r="D7320">
        <v>1.1128</v>
      </c>
      <c r="E7320">
        <v>64.489999999999995</v>
      </c>
      <c r="F7320">
        <v>287.35000000000002</v>
      </c>
    </row>
    <row r="7321" spans="1:6">
      <c r="A7321" s="3">
        <v>43845</v>
      </c>
      <c r="B7321" s="3">
        <v>43845</v>
      </c>
      <c r="C7321">
        <v>379.42</v>
      </c>
      <c r="D7321">
        <v>1.115</v>
      </c>
      <c r="E7321">
        <v>64</v>
      </c>
      <c r="F7321">
        <v>286.60000000000002</v>
      </c>
    </row>
    <row r="7322" spans="1:6">
      <c r="A7322" s="3">
        <v>43846</v>
      </c>
      <c r="B7322" s="3">
        <v>43846</v>
      </c>
      <c r="C7322">
        <v>377.41</v>
      </c>
      <c r="D7322">
        <v>1.1136999999999999</v>
      </c>
      <c r="E7322">
        <v>64.62</v>
      </c>
      <c r="F7322">
        <v>284.7</v>
      </c>
    </row>
    <row r="7323" spans="1:6">
      <c r="A7323" s="3">
        <v>43847</v>
      </c>
      <c r="B7323" s="3">
        <v>43847</v>
      </c>
      <c r="C7323">
        <v>376.6</v>
      </c>
      <c r="D7323">
        <v>1.1092</v>
      </c>
      <c r="E7323">
        <v>64.849999999999994</v>
      </c>
      <c r="F7323">
        <v>284.55</v>
      </c>
    </row>
    <row r="7324" spans="1:6">
      <c r="A7324" s="3">
        <v>43848</v>
      </c>
      <c r="B7324" s="3">
        <v>43848</v>
      </c>
      <c r="C7324">
        <v>376.6</v>
      </c>
      <c r="D7324">
        <v>1.1092</v>
      </c>
      <c r="E7324">
        <v>64.849999999999994</v>
      </c>
      <c r="F7324">
        <v>284.55</v>
      </c>
    </row>
    <row r="7325" spans="1:6">
      <c r="A7325" s="3">
        <v>43849</v>
      </c>
      <c r="B7325" s="3">
        <v>43849</v>
      </c>
      <c r="C7325">
        <v>376.6</v>
      </c>
      <c r="D7325">
        <v>1.1092</v>
      </c>
      <c r="E7325">
        <v>64.849999999999994</v>
      </c>
      <c r="F7325">
        <v>284.55</v>
      </c>
    </row>
    <row r="7326" spans="1:6">
      <c r="A7326" s="3">
        <v>43850</v>
      </c>
      <c r="B7326" s="3">
        <v>43850</v>
      </c>
      <c r="C7326">
        <v>376.35</v>
      </c>
      <c r="D7326">
        <v>1.1094999999999999</v>
      </c>
      <c r="E7326">
        <v>65.2</v>
      </c>
      <c r="F7326">
        <v>284.55</v>
      </c>
    </row>
    <row r="7327" spans="1:6">
      <c r="A7327" s="3">
        <v>43851</v>
      </c>
      <c r="B7327" s="3">
        <v>43851</v>
      </c>
      <c r="C7327">
        <v>377.17</v>
      </c>
      <c r="D7327">
        <v>1.1082000000000001</v>
      </c>
      <c r="E7327">
        <v>64.59</v>
      </c>
      <c r="F7327">
        <v>279.35000000000002</v>
      </c>
    </row>
    <row r="7328" spans="1:6">
      <c r="A7328" s="3">
        <v>43852</v>
      </c>
      <c r="B7328" s="3">
        <v>43852</v>
      </c>
      <c r="C7328">
        <v>377.35</v>
      </c>
      <c r="D7328">
        <v>1.1093</v>
      </c>
      <c r="E7328">
        <v>63.21</v>
      </c>
      <c r="F7328">
        <v>276.5</v>
      </c>
    </row>
    <row r="7329" spans="1:6">
      <c r="A7329" s="3">
        <v>43853</v>
      </c>
      <c r="B7329" s="3">
        <v>43853</v>
      </c>
      <c r="C7329">
        <v>377.93</v>
      </c>
      <c r="D7329">
        <v>1.1054999999999999</v>
      </c>
      <c r="E7329">
        <v>62.04</v>
      </c>
      <c r="F7329">
        <v>272.60000000000002</v>
      </c>
    </row>
    <row r="7330" spans="1:6">
      <c r="A7330" s="3">
        <v>43854</v>
      </c>
      <c r="B7330" s="3">
        <v>43854</v>
      </c>
      <c r="C7330">
        <v>378.53</v>
      </c>
      <c r="D7330">
        <v>1.1025</v>
      </c>
      <c r="E7330">
        <v>60.69</v>
      </c>
      <c r="F7330">
        <v>268.39999999999998</v>
      </c>
    </row>
    <row r="7331" spans="1:6">
      <c r="A7331" s="3">
        <v>43855</v>
      </c>
      <c r="B7331" s="3">
        <v>43855</v>
      </c>
      <c r="C7331">
        <v>378.53</v>
      </c>
      <c r="D7331">
        <v>1.1025</v>
      </c>
      <c r="E7331">
        <v>60.69</v>
      </c>
      <c r="F7331">
        <v>268.39999999999998</v>
      </c>
    </row>
    <row r="7332" spans="1:6">
      <c r="A7332" s="3">
        <v>43856</v>
      </c>
      <c r="B7332" s="3">
        <v>43856</v>
      </c>
      <c r="C7332">
        <v>378.53</v>
      </c>
      <c r="D7332">
        <v>1.1025</v>
      </c>
      <c r="E7332">
        <v>60.69</v>
      </c>
      <c r="F7332">
        <v>268.39999999999998</v>
      </c>
    </row>
    <row r="7333" spans="1:6">
      <c r="A7333" s="3">
        <v>43857</v>
      </c>
      <c r="B7333" s="3">
        <v>43857</v>
      </c>
      <c r="C7333">
        <v>380.76</v>
      </c>
      <c r="D7333">
        <v>1.1019000000000001</v>
      </c>
      <c r="E7333">
        <v>59.32</v>
      </c>
      <c r="F7333">
        <v>259.64999999999998</v>
      </c>
    </row>
    <row r="7334" spans="1:6">
      <c r="A7334" s="3">
        <v>43858</v>
      </c>
      <c r="B7334" s="3">
        <v>43858</v>
      </c>
      <c r="C7334">
        <v>380.49</v>
      </c>
      <c r="D7334">
        <v>1.1022000000000001</v>
      </c>
      <c r="E7334">
        <v>59.51</v>
      </c>
      <c r="F7334">
        <v>257.95</v>
      </c>
    </row>
    <row r="7335" spans="1:6">
      <c r="A7335" s="3">
        <v>43859</v>
      </c>
      <c r="B7335" s="3">
        <v>43859</v>
      </c>
      <c r="C7335">
        <v>378.51</v>
      </c>
      <c r="D7335">
        <v>1.101</v>
      </c>
      <c r="E7335">
        <v>59.81</v>
      </c>
      <c r="F7335">
        <v>255.4</v>
      </c>
    </row>
    <row r="7336" spans="1:6">
      <c r="A7336" s="3">
        <v>43860</v>
      </c>
      <c r="B7336" s="3">
        <v>43860</v>
      </c>
      <c r="C7336">
        <v>379.16</v>
      </c>
      <c r="D7336">
        <v>1.1032</v>
      </c>
      <c r="E7336">
        <v>58.29</v>
      </c>
      <c r="F7336">
        <v>252.4</v>
      </c>
    </row>
    <row r="7337" spans="1:6">
      <c r="A7337" s="3">
        <v>43861</v>
      </c>
      <c r="B7337" s="3">
        <v>43861</v>
      </c>
      <c r="C7337">
        <v>379.26</v>
      </c>
      <c r="D7337">
        <v>1.1093</v>
      </c>
      <c r="E7337">
        <v>58.16</v>
      </c>
      <c r="F7337">
        <v>251.7</v>
      </c>
    </row>
    <row r="7338" spans="1:6">
      <c r="A7338" s="3">
        <v>43862</v>
      </c>
      <c r="B7338" s="3">
        <v>43862</v>
      </c>
      <c r="C7338">
        <v>379.26</v>
      </c>
      <c r="D7338">
        <v>1.1093</v>
      </c>
      <c r="E7338">
        <v>58.16</v>
      </c>
      <c r="F7338">
        <v>251.7</v>
      </c>
    </row>
    <row r="7339" spans="1:6">
      <c r="A7339" s="3">
        <v>43863</v>
      </c>
      <c r="B7339" s="3">
        <v>43863</v>
      </c>
      <c r="C7339">
        <v>379.26</v>
      </c>
      <c r="D7339">
        <v>1.1093</v>
      </c>
      <c r="E7339">
        <v>58.16</v>
      </c>
      <c r="F7339">
        <v>251.7</v>
      </c>
    </row>
    <row r="7340" spans="1:6">
      <c r="A7340" s="3">
        <v>43864</v>
      </c>
      <c r="B7340" s="3">
        <v>43864</v>
      </c>
      <c r="C7340">
        <v>380.99</v>
      </c>
      <c r="D7340">
        <v>1.1060000000000001</v>
      </c>
      <c r="E7340">
        <v>54.45</v>
      </c>
      <c r="F7340">
        <v>250.7</v>
      </c>
    </row>
    <row r="7341" spans="1:6">
      <c r="A7341" s="3">
        <v>43865</v>
      </c>
      <c r="B7341" s="3">
        <v>43865</v>
      </c>
      <c r="C7341">
        <v>379.63</v>
      </c>
      <c r="D7341">
        <v>1.1044</v>
      </c>
      <c r="E7341">
        <v>53.96</v>
      </c>
      <c r="F7341">
        <v>254.2</v>
      </c>
    </row>
    <row r="7342" spans="1:6">
      <c r="A7342" s="3">
        <v>43866</v>
      </c>
      <c r="B7342" s="3">
        <v>43866</v>
      </c>
      <c r="C7342">
        <v>378.28</v>
      </c>
      <c r="D7342">
        <v>1.0999000000000001</v>
      </c>
      <c r="E7342">
        <v>55.28</v>
      </c>
      <c r="F7342">
        <v>257.45</v>
      </c>
    </row>
    <row r="7343" spans="1:6">
      <c r="A7343" s="3">
        <v>43867</v>
      </c>
      <c r="B7343" s="3">
        <v>43867</v>
      </c>
      <c r="C7343">
        <v>377.85</v>
      </c>
      <c r="D7343">
        <v>1.0983000000000001</v>
      </c>
      <c r="E7343">
        <v>54.93</v>
      </c>
      <c r="F7343">
        <v>259.3</v>
      </c>
    </row>
    <row r="7344" spans="1:6">
      <c r="A7344" s="3">
        <v>43868</v>
      </c>
      <c r="B7344" s="3">
        <v>43868</v>
      </c>
      <c r="C7344">
        <v>378.74</v>
      </c>
      <c r="D7344">
        <v>1.0946</v>
      </c>
      <c r="E7344">
        <v>54.47</v>
      </c>
      <c r="F7344">
        <v>255.3</v>
      </c>
    </row>
    <row r="7345" spans="1:6">
      <c r="A7345" s="3">
        <v>43869</v>
      </c>
      <c r="B7345" s="3">
        <v>43869</v>
      </c>
      <c r="C7345">
        <v>378.74</v>
      </c>
      <c r="D7345">
        <v>1.0946</v>
      </c>
      <c r="E7345">
        <v>54.47</v>
      </c>
      <c r="F7345">
        <v>255.3</v>
      </c>
    </row>
    <row r="7346" spans="1:6">
      <c r="A7346" s="3">
        <v>43870</v>
      </c>
      <c r="B7346" s="3">
        <v>43870</v>
      </c>
      <c r="C7346">
        <v>378.74</v>
      </c>
      <c r="D7346">
        <v>1.0946</v>
      </c>
      <c r="E7346">
        <v>54.47</v>
      </c>
      <c r="F7346">
        <v>255.3</v>
      </c>
    </row>
    <row r="7347" spans="1:6">
      <c r="A7347" s="3">
        <v>43871</v>
      </c>
      <c r="B7347" s="3">
        <v>43871</v>
      </c>
      <c r="C7347">
        <v>378.51</v>
      </c>
      <c r="D7347">
        <v>1.0911</v>
      </c>
      <c r="E7347">
        <v>53.27</v>
      </c>
      <c r="F7347">
        <v>255.05</v>
      </c>
    </row>
    <row r="7348" spans="1:6">
      <c r="A7348" s="3">
        <v>43872</v>
      </c>
      <c r="B7348" s="3">
        <v>43872</v>
      </c>
      <c r="C7348">
        <v>377.7</v>
      </c>
      <c r="D7348">
        <v>1.0915999999999999</v>
      </c>
      <c r="E7348">
        <v>54.01</v>
      </c>
      <c r="F7348">
        <v>258.3</v>
      </c>
    </row>
    <row r="7349" spans="1:6">
      <c r="A7349" s="3">
        <v>43873</v>
      </c>
      <c r="B7349" s="3">
        <v>43873</v>
      </c>
      <c r="C7349">
        <v>376.67</v>
      </c>
      <c r="D7349">
        <v>1.0873999999999999</v>
      </c>
      <c r="E7349">
        <v>55.79</v>
      </c>
      <c r="F7349">
        <v>260</v>
      </c>
    </row>
    <row r="7350" spans="1:6">
      <c r="A7350" s="3">
        <v>43874</v>
      </c>
      <c r="B7350" s="3">
        <v>43874</v>
      </c>
      <c r="C7350">
        <v>376.84</v>
      </c>
      <c r="D7350">
        <v>1.0841000000000001</v>
      </c>
      <c r="E7350">
        <v>56.34</v>
      </c>
      <c r="F7350">
        <v>261.3</v>
      </c>
    </row>
    <row r="7351" spans="1:6">
      <c r="A7351" s="3">
        <v>43875</v>
      </c>
      <c r="B7351" s="3">
        <v>43875</v>
      </c>
      <c r="C7351">
        <v>376.72</v>
      </c>
      <c r="D7351">
        <v>1.0831</v>
      </c>
      <c r="E7351">
        <v>57.32</v>
      </c>
      <c r="F7351">
        <v>259.95</v>
      </c>
    </row>
    <row r="7352" spans="1:6">
      <c r="A7352" s="3">
        <v>43876</v>
      </c>
      <c r="B7352" s="3">
        <v>43876</v>
      </c>
      <c r="C7352">
        <v>376.72</v>
      </c>
      <c r="D7352">
        <v>1.0831</v>
      </c>
      <c r="E7352">
        <v>57.32</v>
      </c>
      <c r="F7352">
        <v>259.95</v>
      </c>
    </row>
    <row r="7353" spans="1:6">
      <c r="A7353" s="3">
        <v>43877</v>
      </c>
      <c r="B7353" s="3">
        <v>43877</v>
      </c>
      <c r="C7353">
        <v>376.72</v>
      </c>
      <c r="D7353">
        <v>1.0831</v>
      </c>
      <c r="E7353">
        <v>57.32</v>
      </c>
      <c r="F7353">
        <v>259.95</v>
      </c>
    </row>
    <row r="7354" spans="1:6">
      <c r="A7354" s="3">
        <v>43878</v>
      </c>
      <c r="B7354" s="3">
        <v>43878</v>
      </c>
      <c r="C7354">
        <v>376.87</v>
      </c>
      <c r="D7354">
        <v>1.0835999999999999</v>
      </c>
      <c r="E7354">
        <v>57.67</v>
      </c>
      <c r="F7354">
        <v>259.95</v>
      </c>
    </row>
    <row r="7355" spans="1:6">
      <c r="A7355" s="3">
        <v>43879</v>
      </c>
      <c r="B7355" s="3">
        <v>43879</v>
      </c>
      <c r="C7355">
        <v>377.52</v>
      </c>
      <c r="D7355">
        <v>1.0791999999999999</v>
      </c>
      <c r="E7355">
        <v>57.75</v>
      </c>
      <c r="F7355">
        <v>260.39999999999998</v>
      </c>
    </row>
    <row r="7356" spans="1:6">
      <c r="A7356" s="3">
        <v>43880</v>
      </c>
      <c r="B7356" s="3">
        <v>43880</v>
      </c>
      <c r="C7356">
        <v>376.68</v>
      </c>
      <c r="D7356">
        <v>1.0805</v>
      </c>
      <c r="E7356">
        <v>59.12</v>
      </c>
      <c r="F7356">
        <v>260.60000000000002</v>
      </c>
    </row>
    <row r="7357" spans="1:6">
      <c r="A7357" s="3">
        <v>43881</v>
      </c>
      <c r="B7357" s="3">
        <v>43881</v>
      </c>
      <c r="C7357">
        <v>375.79</v>
      </c>
      <c r="D7357">
        <v>1.0785</v>
      </c>
      <c r="E7357">
        <v>59.31</v>
      </c>
      <c r="F7357">
        <v>258.8</v>
      </c>
    </row>
    <row r="7358" spans="1:6">
      <c r="A7358" s="3">
        <v>43882</v>
      </c>
      <c r="B7358" s="3">
        <v>43882</v>
      </c>
      <c r="C7358">
        <v>376.7</v>
      </c>
      <c r="D7358">
        <v>1.0847</v>
      </c>
      <c r="E7358">
        <v>58.5</v>
      </c>
      <c r="F7358">
        <v>260.8</v>
      </c>
    </row>
    <row r="7359" spans="1:6">
      <c r="A7359" s="3">
        <v>43883</v>
      </c>
      <c r="B7359" s="3">
        <v>43883</v>
      </c>
      <c r="C7359">
        <v>376.7</v>
      </c>
      <c r="D7359">
        <v>1.0847</v>
      </c>
      <c r="E7359">
        <v>58.5</v>
      </c>
      <c r="F7359">
        <v>260.8</v>
      </c>
    </row>
    <row r="7360" spans="1:6">
      <c r="A7360" s="3">
        <v>43884</v>
      </c>
      <c r="B7360" s="3">
        <v>43884</v>
      </c>
      <c r="C7360">
        <v>376.7</v>
      </c>
      <c r="D7360">
        <v>1.0847</v>
      </c>
      <c r="E7360">
        <v>58.5</v>
      </c>
      <c r="F7360">
        <v>260.8</v>
      </c>
    </row>
    <row r="7361" spans="1:6">
      <c r="A7361" s="3">
        <v>43885</v>
      </c>
      <c r="B7361" s="3">
        <v>43885</v>
      </c>
      <c r="C7361">
        <v>376.49</v>
      </c>
      <c r="D7361">
        <v>1.0853999999999999</v>
      </c>
      <c r="E7361">
        <v>56.3</v>
      </c>
      <c r="F7361">
        <v>257.7</v>
      </c>
    </row>
    <row r="7362" spans="1:6">
      <c r="A7362" s="3">
        <v>43886</v>
      </c>
      <c r="B7362" s="3">
        <v>43886</v>
      </c>
      <c r="C7362">
        <v>377.71</v>
      </c>
      <c r="D7362">
        <v>1.0882000000000001</v>
      </c>
      <c r="E7362">
        <v>54.95</v>
      </c>
      <c r="F7362">
        <v>257.8</v>
      </c>
    </row>
    <row r="7363" spans="1:6">
      <c r="A7363" s="3">
        <v>43887</v>
      </c>
      <c r="B7363" s="3">
        <v>43887</v>
      </c>
      <c r="C7363">
        <v>378.67</v>
      </c>
      <c r="D7363">
        <v>1.0881000000000001</v>
      </c>
      <c r="E7363">
        <v>53.43</v>
      </c>
      <c r="F7363">
        <v>257.25</v>
      </c>
    </row>
    <row r="7364" spans="1:6">
      <c r="A7364" s="3">
        <v>43888</v>
      </c>
      <c r="B7364" s="3">
        <v>43888</v>
      </c>
      <c r="C7364">
        <v>379.78</v>
      </c>
      <c r="D7364">
        <v>1.1001000000000001</v>
      </c>
      <c r="E7364">
        <v>52.18</v>
      </c>
      <c r="F7364">
        <v>257.14999999999998</v>
      </c>
    </row>
    <row r="7365" spans="1:6">
      <c r="A7365" s="3">
        <v>43889</v>
      </c>
      <c r="B7365" s="3">
        <v>43889</v>
      </c>
      <c r="C7365">
        <v>381.6</v>
      </c>
      <c r="D7365">
        <v>1.1026</v>
      </c>
      <c r="E7365">
        <v>50.52</v>
      </c>
      <c r="F7365">
        <v>254.6</v>
      </c>
    </row>
    <row r="7366" spans="1:6">
      <c r="A7366" s="3">
        <v>43890</v>
      </c>
      <c r="B7366" s="3">
        <v>43890</v>
      </c>
      <c r="C7366">
        <v>381.6</v>
      </c>
      <c r="D7366">
        <v>1.1026</v>
      </c>
      <c r="E7366">
        <v>50.52</v>
      </c>
      <c r="F7366">
        <v>254.6</v>
      </c>
    </row>
    <row r="7367" spans="1:6">
      <c r="A7367" s="3">
        <v>43891</v>
      </c>
      <c r="B7367" s="3">
        <v>43891</v>
      </c>
      <c r="C7367">
        <v>381.6</v>
      </c>
      <c r="D7367">
        <v>1.1026</v>
      </c>
      <c r="E7367">
        <v>50.52</v>
      </c>
      <c r="F7367">
        <v>254.6</v>
      </c>
    </row>
    <row r="7368" spans="1:6">
      <c r="A7368" s="3">
        <v>43892</v>
      </c>
      <c r="B7368" s="3">
        <v>43892</v>
      </c>
      <c r="C7368">
        <v>381.48</v>
      </c>
      <c r="D7368">
        <v>1.1133999999999999</v>
      </c>
      <c r="E7368">
        <v>51.9</v>
      </c>
      <c r="F7368">
        <v>260.10000000000002</v>
      </c>
    </row>
    <row r="7369" spans="1:6">
      <c r="A7369" s="3">
        <v>43893</v>
      </c>
      <c r="B7369" s="3">
        <v>43893</v>
      </c>
      <c r="C7369">
        <v>380.39</v>
      </c>
      <c r="D7369">
        <v>1.1173</v>
      </c>
      <c r="E7369">
        <v>51.86</v>
      </c>
      <c r="F7369">
        <v>257.95</v>
      </c>
    </row>
    <row r="7370" spans="1:6">
      <c r="A7370" s="3">
        <v>43894</v>
      </c>
      <c r="B7370" s="3">
        <v>43894</v>
      </c>
      <c r="C7370">
        <v>379.67</v>
      </c>
      <c r="D7370">
        <v>1.1135999999999999</v>
      </c>
      <c r="E7370">
        <v>51.13</v>
      </c>
      <c r="F7370">
        <v>259.3</v>
      </c>
    </row>
    <row r="7371" spans="1:6">
      <c r="A7371" s="3">
        <v>43895</v>
      </c>
      <c r="B7371" s="3">
        <v>43895</v>
      </c>
      <c r="C7371">
        <v>380.85</v>
      </c>
      <c r="D7371">
        <v>1.1236999999999999</v>
      </c>
      <c r="E7371">
        <v>49.99</v>
      </c>
      <c r="F7371">
        <v>258.25</v>
      </c>
    </row>
    <row r="7372" spans="1:6">
      <c r="A7372" s="3">
        <v>43896</v>
      </c>
      <c r="B7372" s="3">
        <v>43896</v>
      </c>
      <c r="C7372">
        <v>382.88</v>
      </c>
      <c r="D7372">
        <v>1.1284000000000001</v>
      </c>
      <c r="E7372">
        <v>45.27</v>
      </c>
      <c r="F7372">
        <v>257.3</v>
      </c>
    </row>
    <row r="7373" spans="1:6">
      <c r="A7373" s="3">
        <v>43897</v>
      </c>
      <c r="B7373" s="3">
        <v>43897</v>
      </c>
      <c r="C7373">
        <v>382.88</v>
      </c>
      <c r="D7373">
        <v>1.1284000000000001</v>
      </c>
      <c r="E7373">
        <v>45.27</v>
      </c>
      <c r="F7373">
        <v>257.3</v>
      </c>
    </row>
    <row r="7374" spans="1:6">
      <c r="A7374" s="3">
        <v>43898</v>
      </c>
      <c r="B7374" s="3">
        <v>43898</v>
      </c>
      <c r="C7374">
        <v>382.88</v>
      </c>
      <c r="D7374">
        <v>1.1284000000000001</v>
      </c>
      <c r="E7374">
        <v>45.27</v>
      </c>
      <c r="F7374">
        <v>257.3</v>
      </c>
    </row>
    <row r="7375" spans="1:6">
      <c r="A7375" s="3">
        <v>43899</v>
      </c>
      <c r="B7375" s="3">
        <v>43899</v>
      </c>
      <c r="C7375">
        <v>382.88</v>
      </c>
      <c r="D7375">
        <v>1.145</v>
      </c>
      <c r="E7375">
        <v>34.36</v>
      </c>
      <c r="F7375">
        <v>252.4</v>
      </c>
    </row>
    <row r="7376" spans="1:6">
      <c r="A7376" s="3">
        <v>43900</v>
      </c>
      <c r="B7376" s="3">
        <v>43900</v>
      </c>
      <c r="C7376">
        <v>395.81</v>
      </c>
      <c r="D7376">
        <v>1.1281000000000001</v>
      </c>
      <c r="E7376">
        <v>37.22</v>
      </c>
      <c r="F7376">
        <v>253.4</v>
      </c>
    </row>
    <row r="7377" spans="1:6">
      <c r="A7377" s="3">
        <v>43901</v>
      </c>
      <c r="B7377" s="3">
        <v>43901</v>
      </c>
      <c r="C7377">
        <v>395.79</v>
      </c>
      <c r="D7377">
        <v>1.127</v>
      </c>
      <c r="E7377">
        <v>35.79</v>
      </c>
      <c r="F7377">
        <v>251.2</v>
      </c>
    </row>
    <row r="7378" spans="1:6">
      <c r="A7378" s="3">
        <v>43902</v>
      </c>
      <c r="B7378" s="3">
        <v>43902</v>
      </c>
      <c r="C7378">
        <v>400.78</v>
      </c>
      <c r="D7378">
        <v>1.1185</v>
      </c>
      <c r="E7378">
        <v>33.22</v>
      </c>
      <c r="F7378">
        <v>248.1</v>
      </c>
    </row>
    <row r="7379" spans="1:6">
      <c r="A7379" s="3">
        <v>43903</v>
      </c>
      <c r="B7379" s="3">
        <v>43903</v>
      </c>
      <c r="C7379">
        <v>406.7</v>
      </c>
      <c r="D7379">
        <v>1.1107</v>
      </c>
      <c r="E7379">
        <v>33.85</v>
      </c>
      <c r="F7379">
        <v>247.4</v>
      </c>
    </row>
    <row r="7380" spans="1:6">
      <c r="A7380" s="3">
        <v>43904</v>
      </c>
      <c r="B7380" s="3">
        <v>43904</v>
      </c>
      <c r="C7380">
        <v>406.7</v>
      </c>
      <c r="D7380">
        <v>1.1107</v>
      </c>
      <c r="E7380">
        <v>33.85</v>
      </c>
      <c r="F7380">
        <v>247.4</v>
      </c>
    </row>
    <row r="7381" spans="1:6">
      <c r="A7381" s="3">
        <v>43905</v>
      </c>
      <c r="B7381" s="3">
        <v>43905</v>
      </c>
      <c r="C7381">
        <v>406.7</v>
      </c>
      <c r="D7381">
        <v>1.1107</v>
      </c>
      <c r="E7381">
        <v>33.85</v>
      </c>
      <c r="F7381">
        <v>247.4</v>
      </c>
    </row>
    <row r="7382" spans="1:6">
      <c r="A7382" s="3">
        <v>43906</v>
      </c>
      <c r="B7382" s="3">
        <v>43906</v>
      </c>
      <c r="C7382">
        <v>435.25</v>
      </c>
      <c r="D7382">
        <v>1.1183000000000001</v>
      </c>
      <c r="E7382">
        <v>30.05</v>
      </c>
      <c r="F7382">
        <v>239.85</v>
      </c>
    </row>
    <row r="7383" spans="1:6">
      <c r="A7383" s="3">
        <v>43907</v>
      </c>
      <c r="B7383" s="3">
        <v>43907</v>
      </c>
      <c r="C7383">
        <v>436.28</v>
      </c>
      <c r="D7383">
        <v>1.0996999999999999</v>
      </c>
      <c r="E7383">
        <v>28.73</v>
      </c>
      <c r="F7383">
        <v>231.55</v>
      </c>
    </row>
    <row r="7384" spans="1:6">
      <c r="A7384" s="3">
        <v>43908</v>
      </c>
      <c r="B7384" s="3">
        <v>43908</v>
      </c>
      <c r="C7384">
        <v>443.24</v>
      </c>
      <c r="D7384">
        <v>1.0914999999999999</v>
      </c>
      <c r="E7384">
        <v>24.88</v>
      </c>
      <c r="F7384">
        <v>216.05</v>
      </c>
    </row>
    <row r="7385" spans="1:6">
      <c r="A7385" s="3">
        <v>43909</v>
      </c>
      <c r="B7385" s="3">
        <v>43909</v>
      </c>
      <c r="C7385">
        <v>456.89</v>
      </c>
      <c r="D7385">
        <v>1.0691999999999999</v>
      </c>
      <c r="E7385">
        <v>28.47</v>
      </c>
      <c r="F7385">
        <v>220</v>
      </c>
    </row>
    <row r="7386" spans="1:6">
      <c r="A7386" s="3">
        <v>43910</v>
      </c>
      <c r="B7386" s="3">
        <v>43910</v>
      </c>
      <c r="C7386">
        <v>447.73</v>
      </c>
      <c r="D7386">
        <v>1.0688</v>
      </c>
      <c r="E7386">
        <v>26.98</v>
      </c>
      <c r="F7386">
        <v>219.05</v>
      </c>
    </row>
    <row r="7387" spans="1:6">
      <c r="A7387" s="3">
        <v>43911</v>
      </c>
      <c r="B7387" s="3">
        <v>43911</v>
      </c>
      <c r="C7387">
        <v>447.73</v>
      </c>
      <c r="D7387">
        <v>1.0688</v>
      </c>
      <c r="E7387">
        <v>26.98</v>
      </c>
      <c r="F7387">
        <v>219.05</v>
      </c>
    </row>
    <row r="7388" spans="1:6">
      <c r="A7388" s="3">
        <v>43912</v>
      </c>
      <c r="B7388" s="3">
        <v>43912</v>
      </c>
      <c r="C7388">
        <v>447.73</v>
      </c>
      <c r="D7388">
        <v>1.0688</v>
      </c>
      <c r="E7388">
        <v>26.98</v>
      </c>
      <c r="F7388">
        <v>219.05</v>
      </c>
    </row>
    <row r="7389" spans="1:6">
      <c r="A7389" s="3">
        <v>43913</v>
      </c>
      <c r="B7389" s="3">
        <v>43913</v>
      </c>
      <c r="C7389">
        <v>447.77</v>
      </c>
      <c r="D7389">
        <v>1.0726</v>
      </c>
      <c r="E7389">
        <v>27.03</v>
      </c>
      <c r="F7389">
        <v>211.95</v>
      </c>
    </row>
    <row r="7390" spans="1:6">
      <c r="A7390" s="3">
        <v>43914</v>
      </c>
      <c r="B7390" s="3">
        <v>43914</v>
      </c>
      <c r="C7390">
        <v>446.52</v>
      </c>
      <c r="D7390">
        <v>1.0788</v>
      </c>
      <c r="E7390">
        <v>27.15</v>
      </c>
      <c r="F7390">
        <v>219.75</v>
      </c>
    </row>
    <row r="7391" spans="1:6">
      <c r="A7391" s="3">
        <v>43915</v>
      </c>
      <c r="B7391" s="3">
        <v>43915</v>
      </c>
      <c r="C7391">
        <v>446.52</v>
      </c>
      <c r="D7391">
        <v>1.0882000000000001</v>
      </c>
      <c r="E7391">
        <v>27.39</v>
      </c>
      <c r="F7391">
        <v>223.4</v>
      </c>
    </row>
    <row r="7392" spans="1:6">
      <c r="A7392" s="3">
        <v>43916</v>
      </c>
      <c r="B7392" s="3">
        <v>43916</v>
      </c>
      <c r="C7392">
        <v>445.51</v>
      </c>
      <c r="D7392">
        <v>1.1032</v>
      </c>
      <c r="E7392">
        <v>26.34</v>
      </c>
      <c r="F7392">
        <v>220.8</v>
      </c>
    </row>
    <row r="7393" spans="1:6">
      <c r="A7393" s="3">
        <v>43917</v>
      </c>
      <c r="B7393" s="3">
        <v>43917</v>
      </c>
      <c r="C7393">
        <v>445.72</v>
      </c>
      <c r="D7393">
        <v>1.1141000000000001</v>
      </c>
      <c r="E7393">
        <v>24.93</v>
      </c>
      <c r="F7393">
        <v>219.7</v>
      </c>
    </row>
    <row r="7394" spans="1:6">
      <c r="A7394" s="3">
        <v>43918</v>
      </c>
      <c r="B7394" s="3">
        <v>43918</v>
      </c>
      <c r="C7394">
        <v>445.72</v>
      </c>
      <c r="D7394">
        <v>1.1141000000000001</v>
      </c>
      <c r="E7394">
        <v>24.93</v>
      </c>
      <c r="F7394">
        <v>219.7</v>
      </c>
    </row>
    <row r="7395" spans="1:6">
      <c r="A7395" s="3">
        <v>43919</v>
      </c>
      <c r="B7395" s="3">
        <v>43919</v>
      </c>
      <c r="C7395">
        <v>445.72</v>
      </c>
      <c r="D7395">
        <v>1.1141000000000001</v>
      </c>
      <c r="E7395">
        <v>24.93</v>
      </c>
      <c r="F7395">
        <v>219.7</v>
      </c>
    </row>
    <row r="7396" spans="1:6">
      <c r="A7396" s="3">
        <v>43920</v>
      </c>
      <c r="B7396" s="3">
        <v>43920</v>
      </c>
      <c r="C7396">
        <v>448.3</v>
      </c>
      <c r="D7396">
        <v>1.1048</v>
      </c>
      <c r="E7396">
        <v>22.76</v>
      </c>
      <c r="F7396">
        <v>215.55</v>
      </c>
    </row>
    <row r="7397" spans="1:6">
      <c r="A7397" s="3">
        <v>43921</v>
      </c>
      <c r="B7397" s="3">
        <v>43921</v>
      </c>
      <c r="C7397">
        <v>448.25</v>
      </c>
      <c r="D7397">
        <v>1.1031</v>
      </c>
      <c r="E7397">
        <v>22.74</v>
      </c>
      <c r="F7397">
        <v>222.8</v>
      </c>
    </row>
    <row r="7398" spans="1:6">
      <c r="A7398" s="3">
        <v>43922</v>
      </c>
      <c r="B7398" s="3">
        <v>43922</v>
      </c>
      <c r="C7398">
        <v>449.32</v>
      </c>
      <c r="D7398">
        <v>1.0964</v>
      </c>
      <c r="E7398">
        <v>24.74</v>
      </c>
      <c r="F7398">
        <v>217.45</v>
      </c>
    </row>
    <row r="7399" spans="1:6">
      <c r="A7399" s="3">
        <v>43923</v>
      </c>
      <c r="B7399" s="3">
        <v>43923</v>
      </c>
      <c r="C7399">
        <v>447.91</v>
      </c>
      <c r="D7399">
        <v>1.0858000000000001</v>
      </c>
      <c r="E7399">
        <v>29.94</v>
      </c>
      <c r="F7399">
        <v>221.85</v>
      </c>
    </row>
    <row r="7400" spans="1:6">
      <c r="A7400" s="3">
        <v>43924</v>
      </c>
      <c r="B7400" s="3">
        <v>43924</v>
      </c>
      <c r="C7400">
        <v>444.3</v>
      </c>
      <c r="D7400">
        <v>1.0801000000000001</v>
      </c>
      <c r="E7400">
        <v>34.11</v>
      </c>
      <c r="F7400">
        <v>219.25</v>
      </c>
    </row>
    <row r="7401" spans="1:6">
      <c r="A7401" s="3">
        <v>43925</v>
      </c>
      <c r="B7401" s="3">
        <v>43925</v>
      </c>
      <c r="C7401">
        <v>444.3</v>
      </c>
      <c r="D7401">
        <v>1.0801000000000001</v>
      </c>
      <c r="E7401">
        <v>34.11</v>
      </c>
      <c r="F7401">
        <v>219.25</v>
      </c>
    </row>
    <row r="7402" spans="1:6">
      <c r="A7402" s="3">
        <v>43926</v>
      </c>
      <c r="B7402" s="3">
        <v>43926</v>
      </c>
      <c r="C7402">
        <v>444.3</v>
      </c>
      <c r="D7402">
        <v>1.0801000000000001</v>
      </c>
      <c r="E7402">
        <v>34.11</v>
      </c>
      <c r="F7402">
        <v>219.25</v>
      </c>
    </row>
    <row r="7403" spans="1:6">
      <c r="A7403" s="3">
        <v>43927</v>
      </c>
      <c r="B7403" s="3">
        <v>43927</v>
      </c>
      <c r="C7403">
        <v>438.82</v>
      </c>
      <c r="D7403">
        <v>1.0792999999999999</v>
      </c>
      <c r="E7403">
        <v>33.049999999999997</v>
      </c>
      <c r="F7403">
        <v>221.75</v>
      </c>
    </row>
    <row r="7404" spans="1:6">
      <c r="A7404" s="3">
        <v>43928</v>
      </c>
      <c r="B7404" s="3">
        <v>43928</v>
      </c>
      <c r="C7404">
        <v>436.69</v>
      </c>
      <c r="D7404">
        <v>1.0891999999999999</v>
      </c>
      <c r="E7404">
        <v>31.87</v>
      </c>
      <c r="F7404">
        <v>227.25</v>
      </c>
    </row>
    <row r="7405" spans="1:6">
      <c r="A7405" s="3">
        <v>43929</v>
      </c>
      <c r="B7405" s="3">
        <v>43929</v>
      </c>
      <c r="C7405">
        <v>435.52</v>
      </c>
      <c r="D7405">
        <v>1.0858000000000001</v>
      </c>
      <c r="E7405">
        <v>32.840000000000003</v>
      </c>
      <c r="F7405">
        <v>226</v>
      </c>
    </row>
    <row r="7406" spans="1:6">
      <c r="A7406" s="3">
        <v>43930</v>
      </c>
      <c r="B7406" s="3">
        <v>43930</v>
      </c>
      <c r="C7406">
        <v>431.05</v>
      </c>
      <c r="D7406">
        <v>1.093</v>
      </c>
      <c r="E7406">
        <v>31.48</v>
      </c>
      <c r="F7406">
        <v>225.95</v>
      </c>
    </row>
    <row r="7407" spans="1:6">
      <c r="A7407" s="3">
        <v>43931</v>
      </c>
      <c r="B7407" s="3">
        <v>43931</v>
      </c>
      <c r="C7407">
        <v>430.4</v>
      </c>
      <c r="D7407">
        <v>1.0936999999999999</v>
      </c>
      <c r="E7407">
        <v>31.48</v>
      </c>
      <c r="F7407">
        <v>225.95</v>
      </c>
    </row>
    <row r="7408" spans="1:6">
      <c r="A7408" s="3">
        <v>43932</v>
      </c>
      <c r="B7408" s="3">
        <v>43932</v>
      </c>
      <c r="C7408">
        <v>430.4</v>
      </c>
      <c r="D7408">
        <v>1.0936999999999999</v>
      </c>
      <c r="E7408">
        <v>31.48</v>
      </c>
      <c r="F7408">
        <v>225.95</v>
      </c>
    </row>
    <row r="7409" spans="1:6">
      <c r="A7409" s="3">
        <v>43933</v>
      </c>
      <c r="B7409" s="3">
        <v>43933</v>
      </c>
      <c r="C7409">
        <v>430.4</v>
      </c>
      <c r="D7409">
        <v>1.0936999999999999</v>
      </c>
      <c r="E7409">
        <v>31.48</v>
      </c>
      <c r="F7409">
        <v>225.95</v>
      </c>
    </row>
    <row r="7410" spans="1:6">
      <c r="A7410" s="3">
        <v>43934</v>
      </c>
      <c r="B7410" s="3">
        <v>43934</v>
      </c>
      <c r="C7410">
        <v>427.84</v>
      </c>
      <c r="D7410">
        <v>1.0913999999999999</v>
      </c>
      <c r="E7410">
        <v>31.74</v>
      </c>
      <c r="F7410">
        <v>230.25</v>
      </c>
    </row>
    <row r="7411" spans="1:6">
      <c r="A7411" s="3">
        <v>43935</v>
      </c>
      <c r="B7411" s="3">
        <v>43935</v>
      </c>
      <c r="C7411">
        <v>425.63</v>
      </c>
      <c r="D7411">
        <v>1.0980000000000001</v>
      </c>
      <c r="E7411">
        <v>29.6</v>
      </c>
      <c r="F7411">
        <v>232.95</v>
      </c>
    </row>
    <row r="7412" spans="1:6">
      <c r="A7412" s="3">
        <v>43936</v>
      </c>
      <c r="B7412" s="3">
        <v>43936</v>
      </c>
      <c r="C7412">
        <v>426.18</v>
      </c>
      <c r="D7412">
        <v>1.091</v>
      </c>
      <c r="E7412">
        <v>27.69</v>
      </c>
      <c r="F7412">
        <v>229.6</v>
      </c>
    </row>
    <row r="7413" spans="1:6">
      <c r="A7413" s="3">
        <v>43937</v>
      </c>
      <c r="B7413" s="3">
        <v>43937</v>
      </c>
      <c r="C7413">
        <v>427.87</v>
      </c>
      <c r="D7413">
        <v>1.0840000000000001</v>
      </c>
      <c r="E7413">
        <v>27.82</v>
      </c>
      <c r="F7413">
        <v>229.1</v>
      </c>
    </row>
    <row r="7414" spans="1:6">
      <c r="A7414" s="3">
        <v>43938</v>
      </c>
      <c r="B7414" s="3">
        <v>43938</v>
      </c>
      <c r="C7414">
        <v>426.56</v>
      </c>
      <c r="D7414">
        <v>1.0874999999999999</v>
      </c>
      <c r="E7414">
        <v>28.08</v>
      </c>
      <c r="F7414">
        <v>234.45</v>
      </c>
    </row>
    <row r="7415" spans="1:6">
      <c r="A7415" s="3">
        <v>43939</v>
      </c>
      <c r="B7415" s="3">
        <v>43939</v>
      </c>
      <c r="C7415">
        <v>426.56</v>
      </c>
      <c r="D7415">
        <v>1.0874999999999999</v>
      </c>
      <c r="E7415">
        <v>28.08</v>
      </c>
      <c r="F7415">
        <v>234.45</v>
      </c>
    </row>
    <row r="7416" spans="1:6">
      <c r="A7416" s="3">
        <v>43940</v>
      </c>
      <c r="B7416" s="3">
        <v>43940</v>
      </c>
      <c r="C7416">
        <v>426.56</v>
      </c>
      <c r="D7416">
        <v>1.0874999999999999</v>
      </c>
      <c r="E7416">
        <v>28.08</v>
      </c>
      <c r="F7416">
        <v>234.45</v>
      </c>
    </row>
    <row r="7417" spans="1:6">
      <c r="A7417" s="3">
        <v>43941</v>
      </c>
      <c r="B7417" s="3">
        <v>43941</v>
      </c>
      <c r="C7417">
        <v>427.94</v>
      </c>
      <c r="D7417">
        <v>1.0862000000000001</v>
      </c>
      <c r="E7417">
        <v>25.57</v>
      </c>
      <c r="F7417">
        <v>232</v>
      </c>
    </row>
    <row r="7418" spans="1:6">
      <c r="A7418" s="3">
        <v>43942</v>
      </c>
      <c r="B7418" s="3">
        <v>43942</v>
      </c>
      <c r="C7418">
        <v>435.4</v>
      </c>
      <c r="D7418">
        <v>1.0858000000000001</v>
      </c>
      <c r="E7418">
        <v>19.329999999999998</v>
      </c>
      <c r="F7418">
        <v>222.95</v>
      </c>
    </row>
    <row r="7419" spans="1:6">
      <c r="A7419" s="3">
        <v>43943</v>
      </c>
      <c r="B7419" s="3">
        <v>43943</v>
      </c>
      <c r="C7419">
        <v>437.44</v>
      </c>
      <c r="D7419">
        <v>1.0823</v>
      </c>
      <c r="E7419">
        <v>20.37</v>
      </c>
      <c r="F7419">
        <v>229</v>
      </c>
    </row>
    <row r="7420" spans="1:6">
      <c r="A7420" s="3">
        <v>43944</v>
      </c>
      <c r="B7420" s="3">
        <v>43944</v>
      </c>
      <c r="C7420">
        <v>434.28</v>
      </c>
      <c r="D7420">
        <v>1.0777000000000001</v>
      </c>
      <c r="E7420">
        <v>21.33</v>
      </c>
      <c r="F7420">
        <v>231.2</v>
      </c>
    </row>
    <row r="7421" spans="1:6">
      <c r="A7421" s="3">
        <v>43945</v>
      </c>
      <c r="B7421" s="3">
        <v>43945</v>
      </c>
      <c r="C7421">
        <v>431.46</v>
      </c>
      <c r="D7421">
        <v>1.0823</v>
      </c>
      <c r="E7421">
        <v>21.44</v>
      </c>
      <c r="F7421">
        <v>233.7</v>
      </c>
    </row>
    <row r="7422" spans="1:6">
      <c r="A7422" s="3">
        <v>43946</v>
      </c>
      <c r="B7422" s="3">
        <v>43946</v>
      </c>
      <c r="C7422">
        <v>431.46</v>
      </c>
      <c r="D7422">
        <v>1.0823</v>
      </c>
      <c r="E7422">
        <v>21.44</v>
      </c>
      <c r="F7422">
        <v>233.7</v>
      </c>
    </row>
    <row r="7423" spans="1:6">
      <c r="A7423" s="3">
        <v>43947</v>
      </c>
      <c r="B7423" s="3">
        <v>43947</v>
      </c>
      <c r="C7423">
        <v>431.46</v>
      </c>
      <c r="D7423">
        <v>1.0823</v>
      </c>
      <c r="E7423">
        <v>21.44</v>
      </c>
      <c r="F7423">
        <v>233.7</v>
      </c>
    </row>
    <row r="7424" spans="1:6">
      <c r="A7424" s="3">
        <v>43948</v>
      </c>
      <c r="B7424" s="3">
        <v>43948</v>
      </c>
      <c r="C7424">
        <v>431.24</v>
      </c>
      <c r="D7424">
        <v>1.0829</v>
      </c>
      <c r="E7424">
        <v>19.989999999999998</v>
      </c>
      <c r="F7424">
        <v>235</v>
      </c>
    </row>
    <row r="7425" spans="1:6">
      <c r="A7425" s="3">
        <v>43949</v>
      </c>
      <c r="B7425" s="3">
        <v>43949</v>
      </c>
      <c r="C7425">
        <v>431.19</v>
      </c>
      <c r="D7425">
        <v>1.0820000000000001</v>
      </c>
      <c r="E7425">
        <v>20.46</v>
      </c>
      <c r="F7425">
        <v>234.55</v>
      </c>
    </row>
    <row r="7426" spans="1:6">
      <c r="A7426" s="3">
        <v>43950</v>
      </c>
      <c r="B7426" s="3">
        <v>43950</v>
      </c>
      <c r="C7426">
        <v>429.35</v>
      </c>
      <c r="D7426">
        <v>1.0872999999999999</v>
      </c>
      <c r="E7426">
        <v>22.54</v>
      </c>
      <c r="F7426">
        <v>237.45</v>
      </c>
    </row>
    <row r="7427" spans="1:6">
      <c r="A7427" s="3">
        <v>43951</v>
      </c>
      <c r="B7427" s="3">
        <v>43951</v>
      </c>
      <c r="C7427">
        <v>425.82</v>
      </c>
      <c r="D7427">
        <v>1.0954999999999999</v>
      </c>
      <c r="E7427">
        <v>25.27</v>
      </c>
      <c r="F7427">
        <v>235.4</v>
      </c>
    </row>
    <row r="7428" spans="1:6">
      <c r="A7428" s="3">
        <v>43952</v>
      </c>
      <c r="B7428" s="3">
        <v>43952</v>
      </c>
      <c r="C7428">
        <v>425.82</v>
      </c>
      <c r="D7428">
        <v>1.0981000000000001</v>
      </c>
      <c r="E7428">
        <v>26.44</v>
      </c>
      <c r="F7428">
        <v>231.85</v>
      </c>
    </row>
    <row r="7429" spans="1:6">
      <c r="A7429" s="3">
        <v>43953</v>
      </c>
      <c r="B7429" s="3">
        <v>43953</v>
      </c>
      <c r="C7429">
        <v>425.82</v>
      </c>
      <c r="D7429">
        <v>1.0981000000000001</v>
      </c>
      <c r="E7429">
        <v>26.44</v>
      </c>
      <c r="F7429">
        <v>231.85</v>
      </c>
    </row>
    <row r="7430" spans="1:6">
      <c r="A7430" s="3">
        <v>43954</v>
      </c>
      <c r="B7430" s="3">
        <v>43954</v>
      </c>
      <c r="C7430">
        <v>425.82</v>
      </c>
      <c r="D7430">
        <v>1.0981000000000001</v>
      </c>
      <c r="E7430">
        <v>26.44</v>
      </c>
      <c r="F7430">
        <v>231.85</v>
      </c>
    </row>
    <row r="7431" spans="1:6">
      <c r="A7431" s="3">
        <v>43955</v>
      </c>
      <c r="B7431" s="3">
        <v>43955</v>
      </c>
      <c r="C7431">
        <v>427.3</v>
      </c>
      <c r="D7431">
        <v>1.0907</v>
      </c>
      <c r="E7431">
        <v>27.2</v>
      </c>
      <c r="F7431">
        <v>232.4</v>
      </c>
    </row>
    <row r="7432" spans="1:6">
      <c r="A7432" s="3">
        <v>43956</v>
      </c>
      <c r="B7432" s="3">
        <v>43956</v>
      </c>
      <c r="C7432">
        <v>423.87</v>
      </c>
      <c r="D7432">
        <v>1.0840000000000001</v>
      </c>
      <c r="E7432">
        <v>30.97</v>
      </c>
      <c r="F7432">
        <v>234.1</v>
      </c>
    </row>
    <row r="7433" spans="1:6">
      <c r="A7433" s="3">
        <v>43957</v>
      </c>
      <c r="B7433" s="3">
        <v>43957</v>
      </c>
      <c r="C7433">
        <v>421.19</v>
      </c>
      <c r="D7433">
        <v>1.0794999999999999</v>
      </c>
      <c r="E7433">
        <v>29.72</v>
      </c>
      <c r="F7433">
        <v>235.25</v>
      </c>
    </row>
    <row r="7434" spans="1:6">
      <c r="A7434" s="3">
        <v>43958</v>
      </c>
      <c r="B7434" s="3">
        <v>43958</v>
      </c>
      <c r="C7434">
        <v>421.24</v>
      </c>
      <c r="D7434">
        <v>1.0833999999999999</v>
      </c>
      <c r="E7434">
        <v>29.46</v>
      </c>
      <c r="F7434">
        <v>238.55</v>
      </c>
    </row>
    <row r="7435" spans="1:6">
      <c r="A7435" s="3">
        <v>43959</v>
      </c>
      <c r="B7435" s="3">
        <v>43959</v>
      </c>
      <c r="C7435">
        <v>421.6</v>
      </c>
      <c r="D7435">
        <v>1.0839000000000001</v>
      </c>
      <c r="E7435">
        <v>30.97</v>
      </c>
      <c r="F7435">
        <v>240.85</v>
      </c>
    </row>
    <row r="7436" spans="1:6">
      <c r="A7436" s="3">
        <v>43960</v>
      </c>
      <c r="B7436" s="3">
        <v>43960</v>
      </c>
      <c r="C7436">
        <v>421.6</v>
      </c>
      <c r="D7436">
        <v>1.0839000000000001</v>
      </c>
      <c r="E7436">
        <v>30.97</v>
      </c>
      <c r="F7436">
        <v>240.85</v>
      </c>
    </row>
    <row r="7437" spans="1:6">
      <c r="A7437" s="3">
        <v>43961</v>
      </c>
      <c r="B7437" s="3">
        <v>43961</v>
      </c>
      <c r="C7437">
        <v>421.6</v>
      </c>
      <c r="D7437">
        <v>1.0839000000000001</v>
      </c>
      <c r="E7437">
        <v>30.97</v>
      </c>
      <c r="F7437">
        <v>240.85</v>
      </c>
    </row>
    <row r="7438" spans="1:6">
      <c r="A7438" s="3">
        <v>43962</v>
      </c>
      <c r="B7438" s="3">
        <v>43962</v>
      </c>
      <c r="C7438">
        <v>420.58</v>
      </c>
      <c r="D7438">
        <v>1.0807</v>
      </c>
      <c r="E7438">
        <v>29.63</v>
      </c>
      <c r="F7438">
        <v>238.2</v>
      </c>
    </row>
    <row r="7439" spans="1:6">
      <c r="A7439" s="3">
        <v>43963</v>
      </c>
      <c r="B7439" s="3">
        <v>43963</v>
      </c>
      <c r="C7439">
        <v>420.69</v>
      </c>
      <c r="D7439">
        <v>1.0848</v>
      </c>
      <c r="E7439">
        <v>29.98</v>
      </c>
      <c r="F7439">
        <v>236.05</v>
      </c>
    </row>
    <row r="7440" spans="1:6">
      <c r="A7440" s="3">
        <v>43964</v>
      </c>
      <c r="B7440" s="3">
        <v>43964</v>
      </c>
      <c r="C7440">
        <v>421.79</v>
      </c>
      <c r="D7440">
        <v>1.0818000000000001</v>
      </c>
      <c r="E7440">
        <v>29.19</v>
      </c>
      <c r="F7440">
        <v>234.9</v>
      </c>
    </row>
    <row r="7441" spans="1:6">
      <c r="A7441" s="3">
        <v>43965</v>
      </c>
      <c r="B7441" s="3">
        <v>43965</v>
      </c>
      <c r="C7441">
        <v>423.11</v>
      </c>
      <c r="D7441">
        <v>1.0805</v>
      </c>
      <c r="E7441">
        <v>31.13</v>
      </c>
      <c r="F7441">
        <v>235.1</v>
      </c>
    </row>
    <row r="7442" spans="1:6">
      <c r="A7442" s="3">
        <v>43966</v>
      </c>
      <c r="B7442" s="3">
        <v>43966</v>
      </c>
      <c r="C7442">
        <v>421.13</v>
      </c>
      <c r="D7442">
        <v>1.0820000000000001</v>
      </c>
      <c r="E7442">
        <v>32.5</v>
      </c>
      <c r="F7442">
        <v>233.35</v>
      </c>
    </row>
    <row r="7443" spans="1:6">
      <c r="A7443" s="3">
        <v>43967</v>
      </c>
      <c r="B7443" s="3">
        <v>43967</v>
      </c>
      <c r="C7443">
        <v>421.13</v>
      </c>
      <c r="D7443">
        <v>1.0820000000000001</v>
      </c>
      <c r="E7443">
        <v>32.5</v>
      </c>
      <c r="F7443">
        <v>233.35</v>
      </c>
    </row>
    <row r="7444" spans="1:6">
      <c r="A7444" s="3">
        <v>43968</v>
      </c>
      <c r="B7444" s="3">
        <v>43968</v>
      </c>
      <c r="C7444">
        <v>421.13</v>
      </c>
      <c r="D7444">
        <v>1.0820000000000001</v>
      </c>
      <c r="E7444">
        <v>32.5</v>
      </c>
      <c r="F7444">
        <v>233.35</v>
      </c>
    </row>
    <row r="7445" spans="1:6">
      <c r="A7445" s="3">
        <v>43969</v>
      </c>
      <c r="B7445" s="3">
        <v>43969</v>
      </c>
      <c r="C7445">
        <v>417.54</v>
      </c>
      <c r="D7445">
        <v>1.0912999999999999</v>
      </c>
      <c r="E7445">
        <v>34.81</v>
      </c>
      <c r="F7445">
        <v>240.5</v>
      </c>
    </row>
    <row r="7446" spans="1:6">
      <c r="A7446" s="3">
        <v>43970</v>
      </c>
      <c r="B7446" s="3">
        <v>43970</v>
      </c>
      <c r="C7446">
        <v>415.64</v>
      </c>
      <c r="D7446">
        <v>1.0923</v>
      </c>
      <c r="E7446">
        <v>34.65</v>
      </c>
      <c r="F7446">
        <v>242.3</v>
      </c>
    </row>
    <row r="7447" spans="1:6">
      <c r="A7447" s="3">
        <v>43971</v>
      </c>
      <c r="B7447" s="3">
        <v>43971</v>
      </c>
      <c r="C7447">
        <v>414.96</v>
      </c>
      <c r="D7447">
        <v>1.0980000000000001</v>
      </c>
      <c r="E7447">
        <v>35.75</v>
      </c>
      <c r="F7447">
        <v>246.75</v>
      </c>
    </row>
    <row r="7448" spans="1:6">
      <c r="A7448" s="3">
        <v>43972</v>
      </c>
      <c r="B7448" s="3">
        <v>43972</v>
      </c>
      <c r="C7448">
        <v>412.83</v>
      </c>
      <c r="D7448">
        <v>1.095</v>
      </c>
      <c r="E7448">
        <v>36.06</v>
      </c>
      <c r="F7448">
        <v>245.2</v>
      </c>
    </row>
    <row r="7449" spans="1:6">
      <c r="A7449" s="3">
        <v>43973</v>
      </c>
      <c r="B7449" s="3">
        <v>43973</v>
      </c>
      <c r="C7449">
        <v>415.73</v>
      </c>
      <c r="D7449">
        <v>1.0901000000000001</v>
      </c>
      <c r="E7449">
        <v>35.130000000000003</v>
      </c>
      <c r="F7449">
        <v>240.9</v>
      </c>
    </row>
    <row r="7450" spans="1:6">
      <c r="A7450" s="3">
        <v>43974</v>
      </c>
      <c r="B7450" s="3">
        <v>43974</v>
      </c>
      <c r="C7450">
        <v>415.73</v>
      </c>
      <c r="D7450">
        <v>1.0901000000000001</v>
      </c>
      <c r="E7450">
        <v>35.130000000000003</v>
      </c>
      <c r="F7450">
        <v>240.9</v>
      </c>
    </row>
    <row r="7451" spans="1:6">
      <c r="A7451" s="3">
        <v>43975</v>
      </c>
      <c r="B7451" s="3">
        <v>43975</v>
      </c>
      <c r="C7451">
        <v>415.73</v>
      </c>
      <c r="D7451">
        <v>1.0901000000000001</v>
      </c>
      <c r="E7451">
        <v>35.130000000000003</v>
      </c>
      <c r="F7451">
        <v>240.9</v>
      </c>
    </row>
    <row r="7452" spans="1:6">
      <c r="A7452" s="3">
        <v>43976</v>
      </c>
      <c r="B7452" s="3">
        <v>43976</v>
      </c>
      <c r="C7452">
        <v>414.46</v>
      </c>
      <c r="D7452">
        <v>1.0898000000000001</v>
      </c>
      <c r="E7452">
        <v>35.53</v>
      </c>
      <c r="F7452">
        <v>240.9</v>
      </c>
    </row>
    <row r="7453" spans="1:6">
      <c r="A7453" s="3">
        <v>43977</v>
      </c>
      <c r="B7453" s="3">
        <v>43977</v>
      </c>
      <c r="C7453">
        <v>412.62</v>
      </c>
      <c r="D7453">
        <v>1.0982000000000001</v>
      </c>
      <c r="E7453">
        <v>36.17</v>
      </c>
      <c r="F7453">
        <v>243.85</v>
      </c>
    </row>
    <row r="7454" spans="1:6">
      <c r="A7454" s="3">
        <v>43978</v>
      </c>
      <c r="B7454" s="3">
        <v>43978</v>
      </c>
      <c r="C7454">
        <v>412.57</v>
      </c>
      <c r="D7454">
        <v>1.1006</v>
      </c>
      <c r="E7454">
        <v>34.74</v>
      </c>
      <c r="F7454">
        <v>240.25</v>
      </c>
    </row>
    <row r="7455" spans="1:6">
      <c r="A7455" s="3">
        <v>43979</v>
      </c>
      <c r="B7455" s="3">
        <v>43979</v>
      </c>
      <c r="C7455">
        <v>412.67</v>
      </c>
      <c r="D7455">
        <v>1.1076999999999999</v>
      </c>
      <c r="E7455">
        <v>35.29</v>
      </c>
      <c r="F7455">
        <v>241.35</v>
      </c>
    </row>
    <row r="7456" spans="1:6">
      <c r="A7456" s="3">
        <v>43980</v>
      </c>
      <c r="B7456" s="3">
        <v>43980</v>
      </c>
      <c r="C7456">
        <v>411.84</v>
      </c>
      <c r="D7456">
        <v>1.1101000000000001</v>
      </c>
      <c r="E7456">
        <v>35.33</v>
      </c>
      <c r="F7456">
        <v>242.55</v>
      </c>
    </row>
    <row r="7457" spans="1:6">
      <c r="A7457" s="3">
        <v>43981</v>
      </c>
      <c r="B7457" s="3">
        <v>43981</v>
      </c>
      <c r="C7457">
        <v>411.84</v>
      </c>
      <c r="D7457">
        <v>1.1101000000000001</v>
      </c>
      <c r="E7457">
        <v>35.33</v>
      </c>
      <c r="F7457">
        <v>242.55</v>
      </c>
    </row>
    <row r="7458" spans="1:6">
      <c r="A7458" s="3">
        <v>43982</v>
      </c>
      <c r="B7458" s="3">
        <v>43982</v>
      </c>
      <c r="C7458">
        <v>411.84</v>
      </c>
      <c r="D7458">
        <v>1.1101000000000001</v>
      </c>
      <c r="E7458">
        <v>35.33</v>
      </c>
      <c r="F7458">
        <v>242.55</v>
      </c>
    </row>
    <row r="7459" spans="1:6">
      <c r="A7459" s="3">
        <v>43983</v>
      </c>
      <c r="B7459" s="3">
        <v>43983</v>
      </c>
      <c r="C7459">
        <v>407.49</v>
      </c>
      <c r="D7459">
        <v>1.1135999999999999</v>
      </c>
      <c r="E7459">
        <v>38.32</v>
      </c>
      <c r="F7459">
        <v>247.05</v>
      </c>
    </row>
    <row r="7460" spans="1:6">
      <c r="A7460" s="3">
        <v>43984</v>
      </c>
      <c r="B7460" s="3">
        <v>43984</v>
      </c>
      <c r="C7460">
        <v>401.65</v>
      </c>
      <c r="D7460">
        <v>1.117</v>
      </c>
      <c r="E7460">
        <v>39.57</v>
      </c>
      <c r="F7460">
        <v>249.1</v>
      </c>
    </row>
    <row r="7461" spans="1:6">
      <c r="A7461" s="3">
        <v>43985</v>
      </c>
      <c r="B7461" s="3">
        <v>43985</v>
      </c>
      <c r="C7461">
        <v>399.9</v>
      </c>
      <c r="D7461">
        <v>1.1233</v>
      </c>
      <c r="E7461">
        <v>39.79</v>
      </c>
      <c r="F7461">
        <v>248.75</v>
      </c>
    </row>
    <row r="7462" spans="1:6">
      <c r="A7462" s="3">
        <v>43986</v>
      </c>
      <c r="B7462" s="3">
        <v>43986</v>
      </c>
      <c r="C7462">
        <v>401.12</v>
      </c>
      <c r="D7462">
        <v>1.1337999999999999</v>
      </c>
      <c r="E7462">
        <v>39.99</v>
      </c>
      <c r="F7462">
        <v>248.95</v>
      </c>
    </row>
    <row r="7463" spans="1:6">
      <c r="A7463" s="3">
        <v>43987</v>
      </c>
      <c r="B7463" s="3">
        <v>43987</v>
      </c>
      <c r="C7463">
        <v>399.3</v>
      </c>
      <c r="D7463">
        <v>1.1292</v>
      </c>
      <c r="E7463">
        <v>42.3</v>
      </c>
      <c r="F7463">
        <v>255.55</v>
      </c>
    </row>
    <row r="7464" spans="1:6">
      <c r="A7464" s="3">
        <v>43988</v>
      </c>
      <c r="B7464" s="3">
        <v>43988</v>
      </c>
      <c r="C7464">
        <v>399.3</v>
      </c>
      <c r="D7464">
        <v>1.1292</v>
      </c>
      <c r="E7464">
        <v>42.3</v>
      </c>
      <c r="F7464">
        <v>255.55</v>
      </c>
    </row>
    <row r="7465" spans="1:6">
      <c r="A7465" s="3">
        <v>43989</v>
      </c>
      <c r="B7465" s="3">
        <v>43989</v>
      </c>
      <c r="C7465">
        <v>399.3</v>
      </c>
      <c r="D7465">
        <v>1.1292</v>
      </c>
      <c r="E7465">
        <v>42.3</v>
      </c>
      <c r="F7465">
        <v>255.55</v>
      </c>
    </row>
    <row r="7466" spans="1:6">
      <c r="A7466" s="3">
        <v>43990</v>
      </c>
      <c r="B7466" s="3">
        <v>43990</v>
      </c>
      <c r="C7466">
        <v>397.09</v>
      </c>
      <c r="D7466">
        <v>1.1294</v>
      </c>
      <c r="E7466">
        <v>40.799999999999997</v>
      </c>
      <c r="F7466">
        <v>256.55</v>
      </c>
    </row>
    <row r="7467" spans="1:6">
      <c r="A7467" s="3">
        <v>43991</v>
      </c>
      <c r="B7467" s="3">
        <v>43991</v>
      </c>
      <c r="C7467">
        <v>400.55</v>
      </c>
      <c r="D7467">
        <v>1.1339999999999999</v>
      </c>
      <c r="E7467">
        <v>41.18</v>
      </c>
      <c r="F7467">
        <v>259.89999999999998</v>
      </c>
    </row>
    <row r="7468" spans="1:6">
      <c r="A7468" s="3">
        <v>43992</v>
      </c>
      <c r="B7468" s="3">
        <v>43992</v>
      </c>
      <c r="C7468">
        <v>400.7</v>
      </c>
      <c r="D7468">
        <v>1.1374</v>
      </c>
      <c r="E7468">
        <v>41.73</v>
      </c>
      <c r="F7468">
        <v>265.64999999999998</v>
      </c>
    </row>
    <row r="7469" spans="1:6">
      <c r="A7469" s="3">
        <v>43993</v>
      </c>
      <c r="B7469" s="3">
        <v>43993</v>
      </c>
      <c r="C7469">
        <v>400.26</v>
      </c>
      <c r="D7469">
        <v>1.1298999999999999</v>
      </c>
      <c r="E7469">
        <v>38.549999999999997</v>
      </c>
      <c r="F7469">
        <v>258.64999999999998</v>
      </c>
    </row>
    <row r="7470" spans="1:6">
      <c r="A7470" s="3">
        <v>43994</v>
      </c>
      <c r="B7470" s="3">
        <v>43994</v>
      </c>
      <c r="C7470">
        <v>404</v>
      </c>
      <c r="D7470">
        <v>1.1255999999999999</v>
      </c>
      <c r="E7470">
        <v>38.729999999999997</v>
      </c>
      <c r="F7470">
        <v>260</v>
      </c>
    </row>
    <row r="7471" spans="1:6">
      <c r="A7471" s="3">
        <v>43995</v>
      </c>
      <c r="B7471" s="3">
        <v>43995</v>
      </c>
      <c r="C7471">
        <v>404</v>
      </c>
      <c r="D7471">
        <v>1.1255999999999999</v>
      </c>
      <c r="E7471">
        <v>38.729999999999997</v>
      </c>
      <c r="F7471">
        <v>260</v>
      </c>
    </row>
    <row r="7472" spans="1:6">
      <c r="A7472" s="3">
        <v>43996</v>
      </c>
      <c r="B7472" s="3">
        <v>43996</v>
      </c>
      <c r="C7472">
        <v>404</v>
      </c>
      <c r="D7472">
        <v>1.1255999999999999</v>
      </c>
      <c r="E7472">
        <v>38.729999999999997</v>
      </c>
      <c r="F7472">
        <v>260</v>
      </c>
    </row>
    <row r="7473" spans="1:6">
      <c r="A7473" s="3">
        <v>43997</v>
      </c>
      <c r="B7473" s="3">
        <v>43997</v>
      </c>
      <c r="C7473">
        <v>406.15</v>
      </c>
      <c r="D7473">
        <v>1.1323000000000001</v>
      </c>
      <c r="E7473">
        <v>39.72</v>
      </c>
      <c r="F7473">
        <v>256.7</v>
      </c>
    </row>
    <row r="7474" spans="1:6">
      <c r="A7474" s="3">
        <v>43998</v>
      </c>
      <c r="B7474" s="3">
        <v>43998</v>
      </c>
      <c r="C7474">
        <v>404.03</v>
      </c>
      <c r="D7474">
        <v>1.1264000000000001</v>
      </c>
      <c r="E7474">
        <v>40.96</v>
      </c>
      <c r="F7474">
        <v>256.45</v>
      </c>
    </row>
    <row r="7475" spans="1:6">
      <c r="A7475" s="3">
        <v>43999</v>
      </c>
      <c r="B7475" s="3">
        <v>43999</v>
      </c>
      <c r="C7475">
        <v>404.7</v>
      </c>
      <c r="D7475">
        <v>1.1244000000000001</v>
      </c>
      <c r="E7475">
        <v>40.71</v>
      </c>
      <c r="F7475">
        <v>258.95</v>
      </c>
    </row>
    <row r="7476" spans="1:6">
      <c r="A7476" s="3">
        <v>44000</v>
      </c>
      <c r="B7476" s="3">
        <v>44000</v>
      </c>
      <c r="C7476">
        <v>404.74</v>
      </c>
      <c r="D7476">
        <v>1.1205000000000001</v>
      </c>
      <c r="E7476">
        <v>41.51</v>
      </c>
      <c r="F7476">
        <v>258.8</v>
      </c>
    </row>
    <row r="7477" spans="1:6">
      <c r="A7477" s="3">
        <v>44001</v>
      </c>
      <c r="B7477" s="3">
        <v>44001</v>
      </c>
      <c r="C7477">
        <v>403.07</v>
      </c>
      <c r="D7477">
        <v>1.1177999999999999</v>
      </c>
      <c r="E7477">
        <v>42.19</v>
      </c>
      <c r="F7477">
        <v>261.10000000000002</v>
      </c>
    </row>
    <row r="7478" spans="1:6">
      <c r="A7478" s="3">
        <v>44002</v>
      </c>
      <c r="B7478" s="3">
        <v>44002</v>
      </c>
      <c r="C7478">
        <v>403.07</v>
      </c>
      <c r="D7478">
        <v>1.1177999999999999</v>
      </c>
      <c r="E7478">
        <v>42.19</v>
      </c>
      <c r="F7478">
        <v>261.10000000000002</v>
      </c>
    </row>
    <row r="7479" spans="1:6">
      <c r="A7479" s="3">
        <v>44003</v>
      </c>
      <c r="B7479" s="3">
        <v>44003</v>
      </c>
      <c r="C7479">
        <v>403.07</v>
      </c>
      <c r="D7479">
        <v>1.1177999999999999</v>
      </c>
      <c r="E7479">
        <v>42.19</v>
      </c>
      <c r="F7479">
        <v>261.10000000000002</v>
      </c>
    </row>
    <row r="7480" spans="1:6">
      <c r="A7480" s="3">
        <v>44004</v>
      </c>
      <c r="B7480" s="3">
        <v>44004</v>
      </c>
      <c r="C7480">
        <v>402.62</v>
      </c>
      <c r="D7480">
        <v>1.1261000000000001</v>
      </c>
      <c r="E7480">
        <v>43.08</v>
      </c>
      <c r="F7480">
        <v>265.25</v>
      </c>
    </row>
    <row r="7481" spans="1:6">
      <c r="A7481" s="3">
        <v>44005</v>
      </c>
      <c r="B7481" s="3">
        <v>44005</v>
      </c>
      <c r="C7481">
        <v>401.03</v>
      </c>
      <c r="D7481">
        <v>1.1308</v>
      </c>
      <c r="E7481">
        <v>42.63</v>
      </c>
      <c r="F7481">
        <v>265.85000000000002</v>
      </c>
    </row>
    <row r="7482" spans="1:6">
      <c r="A7482" s="3">
        <v>44006</v>
      </c>
      <c r="B7482" s="3">
        <v>44006</v>
      </c>
      <c r="C7482">
        <v>401.71</v>
      </c>
      <c r="D7482">
        <v>1.1251</v>
      </c>
      <c r="E7482">
        <v>40.31</v>
      </c>
      <c r="F7482">
        <v>265.05</v>
      </c>
    </row>
    <row r="7483" spans="1:6">
      <c r="A7483" s="3">
        <v>44007</v>
      </c>
      <c r="B7483" s="3">
        <v>44007</v>
      </c>
      <c r="C7483">
        <v>404.03</v>
      </c>
      <c r="D7483">
        <v>1.1217999999999999</v>
      </c>
      <c r="E7483">
        <v>41.05</v>
      </c>
      <c r="F7483">
        <v>266.3</v>
      </c>
    </row>
    <row r="7484" spans="1:6">
      <c r="A7484" s="3">
        <v>44008</v>
      </c>
      <c r="B7484" s="3">
        <v>44008</v>
      </c>
      <c r="C7484">
        <v>402.18</v>
      </c>
      <c r="D7484">
        <v>1.1218999999999999</v>
      </c>
      <c r="E7484">
        <v>41.02</v>
      </c>
      <c r="F7484">
        <v>265.89999999999998</v>
      </c>
    </row>
    <row r="7485" spans="1:6">
      <c r="A7485" s="3">
        <v>44009</v>
      </c>
      <c r="B7485" s="3">
        <v>44009</v>
      </c>
      <c r="C7485">
        <v>402.18</v>
      </c>
      <c r="D7485">
        <v>1.1218999999999999</v>
      </c>
      <c r="E7485">
        <v>41.02</v>
      </c>
      <c r="F7485">
        <v>265.89999999999998</v>
      </c>
    </row>
    <row r="7486" spans="1:6">
      <c r="A7486" s="3">
        <v>44010</v>
      </c>
      <c r="B7486" s="3">
        <v>44010</v>
      </c>
      <c r="C7486">
        <v>402.18</v>
      </c>
      <c r="D7486">
        <v>1.1218999999999999</v>
      </c>
      <c r="E7486">
        <v>41.02</v>
      </c>
      <c r="F7486">
        <v>265.89999999999998</v>
      </c>
    </row>
    <row r="7487" spans="1:6">
      <c r="A7487" s="3">
        <v>44011</v>
      </c>
      <c r="B7487" s="3">
        <v>44011</v>
      </c>
      <c r="C7487">
        <v>404.46</v>
      </c>
      <c r="D7487">
        <v>1.1242000000000001</v>
      </c>
      <c r="E7487">
        <v>41.71</v>
      </c>
      <c r="F7487">
        <v>267.95</v>
      </c>
    </row>
    <row r="7488" spans="1:6">
      <c r="A7488" s="3">
        <v>44012</v>
      </c>
      <c r="B7488" s="3">
        <v>44012</v>
      </c>
      <c r="C7488">
        <v>405.75</v>
      </c>
      <c r="D7488">
        <v>1.1234</v>
      </c>
      <c r="E7488">
        <v>41.15</v>
      </c>
      <c r="F7488">
        <v>271.35000000000002</v>
      </c>
    </row>
    <row r="7489" spans="1:6">
      <c r="A7489" s="3">
        <v>44013</v>
      </c>
      <c r="B7489" s="3">
        <v>44013</v>
      </c>
      <c r="C7489">
        <v>406.33</v>
      </c>
      <c r="D7489">
        <v>1.1251</v>
      </c>
      <c r="E7489">
        <v>42.03</v>
      </c>
      <c r="F7489">
        <v>271.7</v>
      </c>
    </row>
    <row r="7490" spans="1:6">
      <c r="A7490" s="3">
        <v>44014</v>
      </c>
      <c r="B7490" s="3">
        <v>44014</v>
      </c>
      <c r="C7490">
        <v>406.58</v>
      </c>
      <c r="D7490">
        <v>1.1238999999999999</v>
      </c>
      <c r="E7490">
        <v>43.14</v>
      </c>
      <c r="F7490">
        <v>273.35000000000002</v>
      </c>
    </row>
    <row r="7491" spans="1:6">
      <c r="A7491" s="3">
        <v>44015</v>
      </c>
      <c r="B7491" s="3">
        <v>44015</v>
      </c>
      <c r="C7491">
        <v>406.9</v>
      </c>
      <c r="D7491">
        <v>1.1248</v>
      </c>
      <c r="E7491">
        <v>42.8</v>
      </c>
      <c r="F7491">
        <v>273.35000000000002</v>
      </c>
    </row>
    <row r="7492" spans="1:6">
      <c r="A7492" s="3">
        <v>44016</v>
      </c>
      <c r="B7492" s="3">
        <v>44016</v>
      </c>
      <c r="C7492">
        <v>406.9</v>
      </c>
      <c r="D7492">
        <v>1.1248</v>
      </c>
      <c r="E7492">
        <v>42.8</v>
      </c>
      <c r="F7492">
        <v>273.35000000000002</v>
      </c>
    </row>
    <row r="7493" spans="1:6">
      <c r="A7493" s="3">
        <v>44017</v>
      </c>
      <c r="B7493" s="3">
        <v>44017</v>
      </c>
      <c r="C7493">
        <v>406.9</v>
      </c>
      <c r="D7493">
        <v>1.1248</v>
      </c>
      <c r="E7493">
        <v>42.8</v>
      </c>
      <c r="F7493">
        <v>273.35000000000002</v>
      </c>
    </row>
    <row r="7494" spans="1:6">
      <c r="A7494" s="3">
        <v>44018</v>
      </c>
      <c r="B7494" s="3">
        <v>44018</v>
      </c>
      <c r="C7494">
        <v>406.79</v>
      </c>
      <c r="D7494">
        <v>1.1309</v>
      </c>
      <c r="E7494">
        <v>43.1</v>
      </c>
      <c r="F7494">
        <v>276.60000000000002</v>
      </c>
    </row>
    <row r="7495" spans="1:6">
      <c r="A7495" s="3">
        <v>44019</v>
      </c>
      <c r="B7495" s="3">
        <v>44019</v>
      </c>
      <c r="C7495">
        <v>409.87</v>
      </c>
      <c r="D7495">
        <v>1.1274</v>
      </c>
      <c r="E7495">
        <v>43.08</v>
      </c>
      <c r="F7495">
        <v>278.75</v>
      </c>
    </row>
    <row r="7496" spans="1:6">
      <c r="A7496" s="3">
        <v>44020</v>
      </c>
      <c r="B7496" s="3">
        <v>44020</v>
      </c>
      <c r="C7496">
        <v>410.23</v>
      </c>
      <c r="D7496">
        <v>1.133</v>
      </c>
      <c r="E7496">
        <v>43.29</v>
      </c>
      <c r="F7496">
        <v>281.45</v>
      </c>
    </row>
    <row r="7497" spans="1:6">
      <c r="A7497" s="3">
        <v>44021</v>
      </c>
      <c r="B7497" s="3">
        <v>44021</v>
      </c>
      <c r="C7497">
        <v>411.07</v>
      </c>
      <c r="D7497">
        <v>1.1285000000000001</v>
      </c>
      <c r="E7497">
        <v>42.35</v>
      </c>
      <c r="F7497">
        <v>282.8</v>
      </c>
    </row>
    <row r="7498" spans="1:6">
      <c r="A7498" s="3">
        <v>44022</v>
      </c>
      <c r="B7498" s="3">
        <v>44022</v>
      </c>
      <c r="C7498">
        <v>413.29</v>
      </c>
      <c r="D7498">
        <v>1.1299999999999999</v>
      </c>
      <c r="E7498">
        <v>43.24</v>
      </c>
      <c r="F7498">
        <v>288.7</v>
      </c>
    </row>
    <row r="7499" spans="1:6">
      <c r="A7499" s="3">
        <v>44023</v>
      </c>
      <c r="B7499" s="3">
        <v>44023</v>
      </c>
      <c r="C7499">
        <v>413.29</v>
      </c>
      <c r="D7499">
        <v>1.1299999999999999</v>
      </c>
      <c r="E7499">
        <v>43.24</v>
      </c>
      <c r="F7499">
        <v>288.7</v>
      </c>
    </row>
    <row r="7500" spans="1:6">
      <c r="A7500" s="3">
        <v>44024</v>
      </c>
      <c r="B7500" s="3">
        <v>44024</v>
      </c>
      <c r="C7500">
        <v>413.29</v>
      </c>
      <c r="D7500">
        <v>1.1299999999999999</v>
      </c>
      <c r="E7500">
        <v>43.24</v>
      </c>
      <c r="F7500">
        <v>288.7</v>
      </c>
    </row>
    <row r="7501" spans="1:6">
      <c r="A7501" s="3">
        <v>44025</v>
      </c>
      <c r="B7501" s="3">
        <v>44025</v>
      </c>
      <c r="C7501">
        <v>412.02</v>
      </c>
      <c r="D7501">
        <v>1.1344000000000001</v>
      </c>
      <c r="E7501">
        <v>42.72</v>
      </c>
      <c r="F7501">
        <v>294.2</v>
      </c>
    </row>
    <row r="7502" spans="1:6">
      <c r="A7502" s="3">
        <v>44026</v>
      </c>
      <c r="B7502" s="3">
        <v>44026</v>
      </c>
      <c r="C7502">
        <v>412.75</v>
      </c>
      <c r="D7502">
        <v>1.1399999999999999</v>
      </c>
      <c r="E7502">
        <v>42.9</v>
      </c>
      <c r="F7502">
        <v>291.60000000000002</v>
      </c>
    </row>
    <row r="7503" spans="1:6">
      <c r="A7503" s="3">
        <v>44027</v>
      </c>
      <c r="B7503" s="3">
        <v>44027</v>
      </c>
      <c r="C7503">
        <v>412.7</v>
      </c>
      <c r="D7503">
        <v>1.1412</v>
      </c>
      <c r="E7503">
        <v>43.79</v>
      </c>
      <c r="F7503">
        <v>287.05</v>
      </c>
    </row>
    <row r="7504" spans="1:6">
      <c r="A7504" s="3">
        <v>44028</v>
      </c>
      <c r="B7504" s="3">
        <v>44028</v>
      </c>
      <c r="C7504">
        <v>413.07</v>
      </c>
      <c r="D7504">
        <v>1.1384000000000001</v>
      </c>
      <c r="E7504">
        <v>43.37</v>
      </c>
      <c r="F7504">
        <v>288.60000000000002</v>
      </c>
    </row>
    <row r="7505" spans="1:6">
      <c r="A7505" s="3">
        <v>44029</v>
      </c>
      <c r="B7505" s="3">
        <v>44029</v>
      </c>
      <c r="C7505">
        <v>413.73</v>
      </c>
      <c r="D7505">
        <v>1.1428</v>
      </c>
      <c r="E7505">
        <v>43.14</v>
      </c>
      <c r="F7505">
        <v>288.75</v>
      </c>
    </row>
    <row r="7506" spans="1:6">
      <c r="A7506" s="3">
        <v>44030</v>
      </c>
      <c r="B7506" s="3">
        <v>44030</v>
      </c>
      <c r="C7506">
        <v>413.73</v>
      </c>
      <c r="D7506">
        <v>1.1428</v>
      </c>
      <c r="E7506">
        <v>43.14</v>
      </c>
      <c r="F7506">
        <v>288.75</v>
      </c>
    </row>
    <row r="7507" spans="1:6">
      <c r="A7507" s="3">
        <v>44031</v>
      </c>
      <c r="B7507" s="3">
        <v>44031</v>
      </c>
      <c r="C7507">
        <v>413.73</v>
      </c>
      <c r="D7507">
        <v>1.1428</v>
      </c>
      <c r="E7507">
        <v>43.14</v>
      </c>
      <c r="F7507">
        <v>288.75</v>
      </c>
    </row>
    <row r="7508" spans="1:6">
      <c r="A7508" s="3">
        <v>44032</v>
      </c>
      <c r="B7508" s="3">
        <v>44032</v>
      </c>
      <c r="C7508">
        <v>414.87</v>
      </c>
      <c r="D7508">
        <v>1.1448</v>
      </c>
      <c r="E7508">
        <v>43.28</v>
      </c>
      <c r="F7508">
        <v>289.85000000000002</v>
      </c>
    </row>
    <row r="7509" spans="1:6">
      <c r="A7509" s="3">
        <v>44033</v>
      </c>
      <c r="B7509" s="3">
        <v>44033</v>
      </c>
      <c r="C7509">
        <v>413.36</v>
      </c>
      <c r="D7509">
        <v>1.1527000000000001</v>
      </c>
      <c r="E7509">
        <v>44.32</v>
      </c>
      <c r="F7509">
        <v>294.10000000000002</v>
      </c>
    </row>
    <row r="7510" spans="1:6">
      <c r="A7510" s="3">
        <v>44034</v>
      </c>
      <c r="B7510" s="3">
        <v>44034</v>
      </c>
      <c r="C7510">
        <v>413.34</v>
      </c>
      <c r="D7510">
        <v>1.157</v>
      </c>
      <c r="E7510">
        <v>44.29</v>
      </c>
      <c r="F7510">
        <v>290.85000000000002</v>
      </c>
    </row>
    <row r="7511" spans="1:6">
      <c r="A7511" s="3">
        <v>44035</v>
      </c>
      <c r="B7511" s="3">
        <v>44035</v>
      </c>
      <c r="C7511">
        <v>413.58</v>
      </c>
      <c r="D7511">
        <v>1.1596</v>
      </c>
      <c r="E7511">
        <v>43.31</v>
      </c>
      <c r="F7511">
        <v>292.45</v>
      </c>
    </row>
    <row r="7512" spans="1:6">
      <c r="A7512" s="3">
        <v>44036</v>
      </c>
      <c r="B7512" s="3">
        <v>44036</v>
      </c>
      <c r="C7512">
        <v>414.16</v>
      </c>
      <c r="D7512">
        <v>1.1656</v>
      </c>
      <c r="E7512">
        <v>43.34</v>
      </c>
      <c r="F7512">
        <v>288.2</v>
      </c>
    </row>
    <row r="7513" spans="1:6">
      <c r="A7513" s="3">
        <v>44037</v>
      </c>
      <c r="B7513" s="3">
        <v>44037</v>
      </c>
      <c r="C7513">
        <v>414.16</v>
      </c>
      <c r="D7513">
        <v>1.1656</v>
      </c>
      <c r="E7513">
        <v>43.34</v>
      </c>
      <c r="F7513">
        <v>288.2</v>
      </c>
    </row>
    <row r="7514" spans="1:6">
      <c r="A7514" s="3">
        <v>44038</v>
      </c>
      <c r="B7514" s="3">
        <v>44038</v>
      </c>
      <c r="C7514">
        <v>414.16</v>
      </c>
      <c r="D7514">
        <v>1.1656</v>
      </c>
      <c r="E7514">
        <v>43.34</v>
      </c>
      <c r="F7514">
        <v>288.2</v>
      </c>
    </row>
    <row r="7515" spans="1:6">
      <c r="A7515" s="3">
        <v>44039</v>
      </c>
      <c r="B7515" s="3">
        <v>44039</v>
      </c>
      <c r="C7515">
        <v>414.47</v>
      </c>
      <c r="D7515">
        <v>1.1752</v>
      </c>
      <c r="E7515">
        <v>43.41</v>
      </c>
      <c r="F7515">
        <v>288.8</v>
      </c>
    </row>
    <row r="7516" spans="1:6">
      <c r="A7516" s="3">
        <v>44040</v>
      </c>
      <c r="B7516" s="3">
        <v>44040</v>
      </c>
      <c r="C7516">
        <v>414.76</v>
      </c>
      <c r="D7516">
        <v>1.1716</v>
      </c>
      <c r="E7516">
        <v>43.22</v>
      </c>
      <c r="F7516">
        <v>290.5</v>
      </c>
    </row>
    <row r="7517" spans="1:6">
      <c r="A7517" s="3">
        <v>44041</v>
      </c>
      <c r="B7517" s="3">
        <v>44041</v>
      </c>
      <c r="C7517">
        <v>417.29</v>
      </c>
      <c r="D7517">
        <v>1.1792</v>
      </c>
      <c r="E7517">
        <v>43.75</v>
      </c>
      <c r="F7517">
        <v>290.55</v>
      </c>
    </row>
    <row r="7518" spans="1:6">
      <c r="A7518" s="3">
        <v>44042</v>
      </c>
      <c r="B7518" s="3">
        <v>44042</v>
      </c>
      <c r="C7518">
        <v>421.58</v>
      </c>
      <c r="D7518">
        <v>1.1847000000000001</v>
      </c>
      <c r="E7518">
        <v>42.94</v>
      </c>
      <c r="F7518">
        <v>291.39999999999998</v>
      </c>
    </row>
    <row r="7519" spans="1:6">
      <c r="A7519" s="3">
        <v>44043</v>
      </c>
      <c r="B7519" s="3">
        <v>44043</v>
      </c>
      <c r="C7519">
        <v>421.58</v>
      </c>
      <c r="D7519">
        <v>1.1778</v>
      </c>
      <c r="E7519">
        <v>43.3</v>
      </c>
      <c r="F7519">
        <v>286.8</v>
      </c>
    </row>
    <row r="7520" spans="1:6">
      <c r="A7520" s="3">
        <v>44044</v>
      </c>
      <c r="B7520" s="3">
        <v>44044</v>
      </c>
      <c r="C7520">
        <v>421.58</v>
      </c>
      <c r="D7520">
        <v>1.1778</v>
      </c>
      <c r="E7520">
        <v>43.3</v>
      </c>
      <c r="F7520">
        <v>286.8</v>
      </c>
    </row>
    <row r="7521" spans="1:6">
      <c r="A7521" s="3">
        <v>44045</v>
      </c>
      <c r="B7521" s="3">
        <v>44045</v>
      </c>
      <c r="C7521">
        <v>421.58</v>
      </c>
      <c r="D7521">
        <v>1.1778</v>
      </c>
      <c r="E7521">
        <v>43.3</v>
      </c>
      <c r="F7521">
        <v>286.8</v>
      </c>
    </row>
    <row r="7522" spans="1:6">
      <c r="A7522" s="3">
        <v>44046</v>
      </c>
      <c r="B7522" s="3">
        <v>44046</v>
      </c>
      <c r="C7522">
        <v>422.5</v>
      </c>
      <c r="D7522">
        <v>1.1761999999999999</v>
      </c>
      <c r="E7522">
        <v>44.15</v>
      </c>
      <c r="F7522">
        <v>291.2</v>
      </c>
    </row>
    <row r="7523" spans="1:6">
      <c r="A7523" s="3">
        <v>44047</v>
      </c>
      <c r="B7523" s="3">
        <v>44047</v>
      </c>
      <c r="C7523">
        <v>421.45</v>
      </c>
      <c r="D7523">
        <v>1.1802999999999999</v>
      </c>
      <c r="E7523">
        <v>44.43</v>
      </c>
      <c r="F7523">
        <v>289.45</v>
      </c>
    </row>
    <row r="7524" spans="1:6">
      <c r="A7524" s="3">
        <v>44048</v>
      </c>
      <c r="B7524" s="3">
        <v>44048</v>
      </c>
      <c r="C7524">
        <v>418.66</v>
      </c>
      <c r="D7524">
        <v>1.1862999999999999</v>
      </c>
      <c r="E7524">
        <v>45.17</v>
      </c>
      <c r="F7524">
        <v>291.7</v>
      </c>
    </row>
    <row r="7525" spans="1:6">
      <c r="A7525" s="3">
        <v>44049</v>
      </c>
      <c r="B7525" s="3">
        <v>44049</v>
      </c>
      <c r="C7525">
        <v>418.71</v>
      </c>
      <c r="D7525">
        <v>1.1877</v>
      </c>
      <c r="E7525">
        <v>45.09</v>
      </c>
      <c r="F7525">
        <v>291.05</v>
      </c>
    </row>
    <row r="7526" spans="1:6">
      <c r="A7526" s="3">
        <v>44050</v>
      </c>
      <c r="B7526" s="3">
        <v>44050</v>
      </c>
      <c r="C7526">
        <v>419.5</v>
      </c>
      <c r="D7526">
        <v>1.1787000000000001</v>
      </c>
      <c r="E7526">
        <v>44.4</v>
      </c>
      <c r="F7526">
        <v>279.25</v>
      </c>
    </row>
    <row r="7527" spans="1:6">
      <c r="A7527" s="3">
        <v>44051</v>
      </c>
      <c r="B7527" s="3">
        <v>44051</v>
      </c>
      <c r="C7527">
        <v>419.5</v>
      </c>
      <c r="D7527">
        <v>1.1787000000000001</v>
      </c>
      <c r="E7527">
        <v>44.4</v>
      </c>
      <c r="F7527">
        <v>279.25</v>
      </c>
    </row>
    <row r="7528" spans="1:6">
      <c r="A7528" s="3">
        <v>44052</v>
      </c>
      <c r="B7528" s="3">
        <v>44052</v>
      </c>
      <c r="C7528">
        <v>419.5</v>
      </c>
      <c r="D7528">
        <v>1.1787000000000001</v>
      </c>
      <c r="E7528">
        <v>44.4</v>
      </c>
      <c r="F7528">
        <v>279.25</v>
      </c>
    </row>
    <row r="7529" spans="1:6">
      <c r="A7529" s="3">
        <v>44053</v>
      </c>
      <c r="B7529" s="3">
        <v>44053</v>
      </c>
      <c r="C7529">
        <v>419.32</v>
      </c>
      <c r="D7529">
        <v>1.1738</v>
      </c>
      <c r="E7529">
        <v>44.99</v>
      </c>
      <c r="F7529">
        <v>286.14999999999998</v>
      </c>
    </row>
    <row r="7530" spans="1:6">
      <c r="A7530" s="3">
        <v>44054</v>
      </c>
      <c r="B7530" s="3">
        <v>44054</v>
      </c>
      <c r="C7530">
        <v>418.08</v>
      </c>
      <c r="D7530">
        <v>1.1739999999999999</v>
      </c>
      <c r="E7530">
        <v>44.5</v>
      </c>
      <c r="F7530">
        <v>287.55</v>
      </c>
    </row>
    <row r="7531" spans="1:6">
      <c r="A7531" s="3">
        <v>44055</v>
      </c>
      <c r="B7531" s="3">
        <v>44055</v>
      </c>
      <c r="C7531">
        <v>419.06</v>
      </c>
      <c r="D7531">
        <v>1.1783999999999999</v>
      </c>
      <c r="E7531">
        <v>45.43</v>
      </c>
      <c r="F7531">
        <v>289.10000000000002</v>
      </c>
    </row>
    <row r="7532" spans="1:6">
      <c r="A7532" s="3">
        <v>44056</v>
      </c>
      <c r="B7532" s="3">
        <v>44056</v>
      </c>
      <c r="C7532">
        <v>419.07</v>
      </c>
      <c r="D7532">
        <v>1.1814</v>
      </c>
      <c r="E7532">
        <v>44.96</v>
      </c>
      <c r="F7532">
        <v>280.7</v>
      </c>
    </row>
    <row r="7533" spans="1:6">
      <c r="A7533" s="3">
        <v>44057</v>
      </c>
      <c r="B7533" s="3">
        <v>44057</v>
      </c>
      <c r="C7533">
        <v>419.45</v>
      </c>
      <c r="D7533">
        <v>1.1841999999999999</v>
      </c>
      <c r="E7533">
        <v>44.8</v>
      </c>
      <c r="F7533">
        <v>285.89999999999998</v>
      </c>
    </row>
    <row r="7534" spans="1:6">
      <c r="A7534" s="3">
        <v>44058</v>
      </c>
      <c r="B7534" s="3">
        <v>44058</v>
      </c>
      <c r="C7534">
        <v>419.45</v>
      </c>
      <c r="D7534">
        <v>1.1841999999999999</v>
      </c>
      <c r="E7534">
        <v>44.8</v>
      </c>
      <c r="F7534">
        <v>285.89999999999998</v>
      </c>
    </row>
    <row r="7535" spans="1:6">
      <c r="A7535" s="3">
        <v>44059</v>
      </c>
      <c r="B7535" s="3">
        <v>44059</v>
      </c>
      <c r="C7535">
        <v>419.45</v>
      </c>
      <c r="D7535">
        <v>1.1841999999999999</v>
      </c>
      <c r="E7535">
        <v>44.8</v>
      </c>
      <c r="F7535">
        <v>285.89999999999998</v>
      </c>
    </row>
    <row r="7536" spans="1:6">
      <c r="A7536" s="3">
        <v>44060</v>
      </c>
      <c r="B7536" s="3">
        <v>44060</v>
      </c>
      <c r="C7536">
        <v>418.72</v>
      </c>
      <c r="D7536">
        <v>1.1870000000000001</v>
      </c>
      <c r="E7536">
        <v>45.37</v>
      </c>
      <c r="F7536">
        <v>290.14999999999998</v>
      </c>
    </row>
    <row r="7537" spans="1:6">
      <c r="A7537" s="3">
        <v>44061</v>
      </c>
      <c r="B7537" s="3">
        <v>44061</v>
      </c>
      <c r="C7537">
        <v>418.35</v>
      </c>
      <c r="D7537">
        <v>1.1931</v>
      </c>
      <c r="E7537">
        <v>45.46</v>
      </c>
      <c r="F7537">
        <v>297.5</v>
      </c>
    </row>
    <row r="7538" spans="1:6">
      <c r="A7538" s="3">
        <v>44062</v>
      </c>
      <c r="B7538" s="3">
        <v>44062</v>
      </c>
      <c r="C7538">
        <v>418.46</v>
      </c>
      <c r="D7538">
        <v>1.1838</v>
      </c>
      <c r="E7538">
        <v>45.37</v>
      </c>
      <c r="F7538">
        <v>302.3</v>
      </c>
    </row>
    <row r="7539" spans="1:6">
      <c r="A7539" s="3">
        <v>44063</v>
      </c>
      <c r="B7539" s="3">
        <v>44063</v>
      </c>
      <c r="C7539">
        <v>419.16</v>
      </c>
      <c r="D7539">
        <v>1.1859999999999999</v>
      </c>
      <c r="E7539">
        <v>44.9</v>
      </c>
      <c r="F7539">
        <v>297.45</v>
      </c>
    </row>
    <row r="7540" spans="1:6">
      <c r="A7540" s="3">
        <v>44064</v>
      </c>
      <c r="B7540" s="3">
        <v>44064</v>
      </c>
      <c r="C7540">
        <v>419.49</v>
      </c>
      <c r="D7540">
        <v>1.1797</v>
      </c>
      <c r="E7540">
        <v>44.35</v>
      </c>
      <c r="F7540">
        <v>291.75</v>
      </c>
    </row>
    <row r="7541" spans="1:6">
      <c r="A7541" s="3">
        <v>44065</v>
      </c>
      <c r="B7541" s="3">
        <v>44065</v>
      </c>
      <c r="C7541">
        <v>419.49</v>
      </c>
      <c r="D7541">
        <v>1.1797</v>
      </c>
      <c r="E7541">
        <v>44.35</v>
      </c>
      <c r="F7541">
        <v>291.75</v>
      </c>
    </row>
    <row r="7542" spans="1:6">
      <c r="A7542" s="3">
        <v>44066</v>
      </c>
      <c r="B7542" s="3">
        <v>44066</v>
      </c>
      <c r="C7542">
        <v>419.49</v>
      </c>
      <c r="D7542">
        <v>1.1797</v>
      </c>
      <c r="E7542">
        <v>44.35</v>
      </c>
      <c r="F7542">
        <v>291.75</v>
      </c>
    </row>
    <row r="7543" spans="1:6">
      <c r="A7543" s="3">
        <v>44067</v>
      </c>
      <c r="B7543" s="3">
        <v>44067</v>
      </c>
      <c r="C7543">
        <v>419.5</v>
      </c>
      <c r="D7543">
        <v>1.1788000000000001</v>
      </c>
      <c r="E7543">
        <v>45.13</v>
      </c>
      <c r="F7543">
        <v>292.64999999999998</v>
      </c>
    </row>
    <row r="7544" spans="1:6">
      <c r="A7544" s="3">
        <v>44068</v>
      </c>
      <c r="B7544" s="3">
        <v>44068</v>
      </c>
      <c r="C7544">
        <v>418.97</v>
      </c>
      <c r="D7544">
        <v>1.1835</v>
      </c>
      <c r="E7544">
        <v>45.86</v>
      </c>
      <c r="F7544">
        <v>293.39999999999998</v>
      </c>
    </row>
    <row r="7545" spans="1:6">
      <c r="A7545" s="3">
        <v>44069</v>
      </c>
      <c r="B7545" s="3">
        <v>44069</v>
      </c>
      <c r="C7545">
        <v>420.18</v>
      </c>
      <c r="D7545">
        <v>1.1830000000000001</v>
      </c>
      <c r="E7545">
        <v>45.64</v>
      </c>
      <c r="F7545">
        <v>296.14999999999998</v>
      </c>
    </row>
    <row r="7546" spans="1:6">
      <c r="A7546" s="3">
        <v>44070</v>
      </c>
      <c r="B7546" s="3">
        <v>44070</v>
      </c>
      <c r="C7546">
        <v>419.47</v>
      </c>
      <c r="D7546">
        <v>1.1821999999999999</v>
      </c>
      <c r="E7546">
        <v>45.09</v>
      </c>
      <c r="F7546">
        <v>296.75</v>
      </c>
    </row>
    <row r="7547" spans="1:6">
      <c r="A7547" s="3">
        <v>44071</v>
      </c>
      <c r="B7547" s="3">
        <v>44071</v>
      </c>
      <c r="C7547">
        <v>420.02</v>
      </c>
      <c r="D7547">
        <v>1.1902999999999999</v>
      </c>
      <c r="E7547">
        <v>45.05</v>
      </c>
      <c r="F7547">
        <v>299.5</v>
      </c>
    </row>
    <row r="7548" spans="1:6">
      <c r="A7548" s="3">
        <v>44072</v>
      </c>
      <c r="B7548" s="3">
        <v>44072</v>
      </c>
      <c r="C7548">
        <v>420.02</v>
      </c>
      <c r="D7548">
        <v>1.1902999999999999</v>
      </c>
      <c r="E7548">
        <v>45.05</v>
      </c>
      <c r="F7548">
        <v>299.5</v>
      </c>
    </row>
    <row r="7549" spans="1:6">
      <c r="A7549" s="3">
        <v>44073</v>
      </c>
      <c r="B7549" s="3">
        <v>44073</v>
      </c>
      <c r="C7549">
        <v>420.02</v>
      </c>
      <c r="D7549">
        <v>1.1902999999999999</v>
      </c>
      <c r="E7549">
        <v>45.05</v>
      </c>
      <c r="F7549">
        <v>299.5</v>
      </c>
    </row>
    <row r="7550" spans="1:6">
      <c r="A7550" s="3">
        <v>44074</v>
      </c>
      <c r="B7550" s="3">
        <v>44074</v>
      </c>
      <c r="C7550">
        <v>420.02</v>
      </c>
      <c r="D7550">
        <v>1.1936</v>
      </c>
      <c r="E7550">
        <v>45.28</v>
      </c>
      <c r="F7550">
        <v>304.10000000000002</v>
      </c>
    </row>
    <row r="7551" spans="1:6">
      <c r="A7551" s="3">
        <v>44075</v>
      </c>
      <c r="B7551" s="3">
        <v>44075</v>
      </c>
      <c r="C7551">
        <v>418.2</v>
      </c>
      <c r="D7551">
        <v>1.1912</v>
      </c>
      <c r="E7551">
        <v>45.58</v>
      </c>
      <c r="F7551">
        <v>300.95</v>
      </c>
    </row>
    <row r="7552" spans="1:6">
      <c r="A7552" s="3">
        <v>44076</v>
      </c>
      <c r="B7552" s="3">
        <v>44076</v>
      </c>
      <c r="C7552">
        <v>418.81</v>
      </c>
      <c r="D7552">
        <v>1.1855</v>
      </c>
      <c r="E7552">
        <v>44.43</v>
      </c>
      <c r="F7552">
        <v>300.3</v>
      </c>
    </row>
    <row r="7553" spans="1:6">
      <c r="A7553" s="3">
        <v>44077</v>
      </c>
      <c r="B7553" s="3">
        <v>44077</v>
      </c>
      <c r="C7553">
        <v>420.69</v>
      </c>
      <c r="D7553">
        <v>1.1852</v>
      </c>
      <c r="E7553">
        <v>44.07</v>
      </c>
      <c r="F7553">
        <v>295.8</v>
      </c>
    </row>
    <row r="7554" spans="1:6">
      <c r="A7554" s="3">
        <v>44078</v>
      </c>
      <c r="B7554" s="3">
        <v>44078</v>
      </c>
      <c r="C7554">
        <v>420.69</v>
      </c>
      <c r="D7554">
        <v>1.1838</v>
      </c>
      <c r="E7554">
        <v>42.66</v>
      </c>
      <c r="F7554">
        <v>304.64999999999998</v>
      </c>
    </row>
    <row r="7555" spans="1:6">
      <c r="A7555" s="3">
        <v>44079</v>
      </c>
      <c r="B7555" s="3">
        <v>44079</v>
      </c>
      <c r="C7555">
        <v>420.69</v>
      </c>
      <c r="D7555">
        <v>1.1838</v>
      </c>
      <c r="E7555">
        <v>42.66</v>
      </c>
      <c r="F7555">
        <v>304.64999999999998</v>
      </c>
    </row>
    <row r="7556" spans="1:6">
      <c r="A7556" s="3">
        <v>44080</v>
      </c>
      <c r="B7556" s="3">
        <v>44080</v>
      </c>
      <c r="C7556">
        <v>420.69</v>
      </c>
      <c r="D7556">
        <v>1.1838</v>
      </c>
      <c r="E7556">
        <v>42.66</v>
      </c>
      <c r="F7556">
        <v>304.64999999999998</v>
      </c>
    </row>
    <row r="7557" spans="1:6">
      <c r="A7557" s="3">
        <v>44081</v>
      </c>
      <c r="B7557" s="3">
        <v>44081</v>
      </c>
      <c r="C7557">
        <v>423.8</v>
      </c>
      <c r="D7557">
        <v>1.1817</v>
      </c>
      <c r="E7557">
        <v>42.01</v>
      </c>
      <c r="F7557">
        <v>304.64999999999998</v>
      </c>
    </row>
    <row r="7558" spans="1:6">
      <c r="A7558" s="3">
        <v>44082</v>
      </c>
      <c r="B7558" s="3">
        <v>44082</v>
      </c>
      <c r="C7558">
        <v>424.55</v>
      </c>
      <c r="D7558">
        <v>1.1778</v>
      </c>
      <c r="E7558">
        <v>39.78</v>
      </c>
      <c r="F7558">
        <v>301.25</v>
      </c>
    </row>
    <row r="7559" spans="1:6">
      <c r="A7559" s="3">
        <v>44083</v>
      </c>
      <c r="B7559" s="3">
        <v>44083</v>
      </c>
      <c r="C7559">
        <v>427.22</v>
      </c>
      <c r="D7559">
        <v>1.1802999999999999</v>
      </c>
      <c r="E7559">
        <v>40.79</v>
      </c>
      <c r="F7559">
        <v>304</v>
      </c>
    </row>
    <row r="7560" spans="1:6">
      <c r="A7560" s="3">
        <v>44084</v>
      </c>
      <c r="B7560" s="3">
        <v>44084</v>
      </c>
      <c r="C7560">
        <v>426.28</v>
      </c>
      <c r="D7560">
        <v>1.1815</v>
      </c>
      <c r="E7560">
        <v>40.06</v>
      </c>
      <c r="F7560">
        <v>298.7</v>
      </c>
    </row>
    <row r="7561" spans="1:6">
      <c r="A7561" s="3">
        <v>44085</v>
      </c>
      <c r="B7561" s="3">
        <v>44085</v>
      </c>
      <c r="C7561">
        <v>426.8</v>
      </c>
      <c r="D7561">
        <v>1.1846000000000001</v>
      </c>
      <c r="E7561">
        <v>39.83</v>
      </c>
      <c r="F7561">
        <v>303.39999999999998</v>
      </c>
    </row>
    <row r="7562" spans="1:6">
      <c r="A7562" s="3">
        <v>44086</v>
      </c>
      <c r="B7562" s="3">
        <v>44086</v>
      </c>
      <c r="C7562">
        <v>426.8</v>
      </c>
      <c r="D7562">
        <v>1.1846000000000001</v>
      </c>
      <c r="E7562">
        <v>39.83</v>
      </c>
      <c r="F7562">
        <v>303.39999999999998</v>
      </c>
    </row>
    <row r="7563" spans="1:6">
      <c r="A7563" s="3">
        <v>44087</v>
      </c>
      <c r="B7563" s="3">
        <v>44087</v>
      </c>
      <c r="C7563">
        <v>426.8</v>
      </c>
      <c r="D7563">
        <v>1.1846000000000001</v>
      </c>
      <c r="E7563">
        <v>39.83</v>
      </c>
      <c r="F7563">
        <v>303.39999999999998</v>
      </c>
    </row>
    <row r="7564" spans="1:6">
      <c r="A7564" s="3">
        <v>44088</v>
      </c>
      <c r="B7564" s="3">
        <v>44088</v>
      </c>
      <c r="C7564">
        <v>426.92</v>
      </c>
      <c r="D7564">
        <v>1.1866000000000001</v>
      </c>
      <c r="E7564">
        <v>39.61</v>
      </c>
      <c r="F7564">
        <v>306.64999999999998</v>
      </c>
    </row>
    <row r="7565" spans="1:6">
      <c r="A7565" s="3">
        <v>44089</v>
      </c>
      <c r="B7565" s="3">
        <v>44089</v>
      </c>
      <c r="C7565">
        <v>426.6</v>
      </c>
      <c r="D7565">
        <v>1.1847000000000001</v>
      </c>
      <c r="E7565">
        <v>40.53</v>
      </c>
      <c r="F7565">
        <v>306.3</v>
      </c>
    </row>
    <row r="7566" spans="1:6">
      <c r="A7566" s="3">
        <v>44090</v>
      </c>
      <c r="B7566" s="3">
        <v>44090</v>
      </c>
      <c r="C7566">
        <v>424.28</v>
      </c>
      <c r="D7566">
        <v>1.1816</v>
      </c>
      <c r="E7566">
        <v>42.22</v>
      </c>
      <c r="F7566">
        <v>305.8</v>
      </c>
    </row>
    <row r="7567" spans="1:6">
      <c r="A7567" s="3">
        <v>44091</v>
      </c>
      <c r="B7567" s="3">
        <v>44091</v>
      </c>
      <c r="C7567">
        <v>423.96</v>
      </c>
      <c r="D7567">
        <v>1.1848000000000001</v>
      </c>
      <c r="E7567">
        <v>43.3</v>
      </c>
      <c r="F7567">
        <v>306.64999999999998</v>
      </c>
    </row>
    <row r="7568" spans="1:6">
      <c r="A7568" s="3">
        <v>44092</v>
      </c>
      <c r="B7568" s="3">
        <v>44092</v>
      </c>
      <c r="C7568">
        <v>421.64</v>
      </c>
      <c r="D7568">
        <v>1.1839999999999999</v>
      </c>
      <c r="E7568">
        <v>43.15</v>
      </c>
      <c r="F7568">
        <v>311.35000000000002</v>
      </c>
    </row>
    <row r="7569" spans="1:6">
      <c r="A7569" s="3">
        <v>44093</v>
      </c>
      <c r="B7569" s="3">
        <v>44093</v>
      </c>
      <c r="C7569">
        <v>421.64</v>
      </c>
      <c r="D7569">
        <v>1.1839999999999999</v>
      </c>
      <c r="E7569">
        <v>43.15</v>
      </c>
      <c r="F7569">
        <v>311.35000000000002</v>
      </c>
    </row>
    <row r="7570" spans="1:6">
      <c r="A7570" s="3">
        <v>44094</v>
      </c>
      <c r="B7570" s="3">
        <v>44094</v>
      </c>
      <c r="C7570">
        <v>421.64</v>
      </c>
      <c r="D7570">
        <v>1.1839999999999999</v>
      </c>
      <c r="E7570">
        <v>43.15</v>
      </c>
      <c r="F7570">
        <v>311.35000000000002</v>
      </c>
    </row>
    <row r="7571" spans="1:6">
      <c r="A7571" s="3">
        <v>44095</v>
      </c>
      <c r="B7571" s="3">
        <v>44095</v>
      </c>
      <c r="C7571">
        <v>422.46</v>
      </c>
      <c r="D7571">
        <v>1.1771</v>
      </c>
      <c r="E7571">
        <v>41.44</v>
      </c>
      <c r="F7571">
        <v>302.95</v>
      </c>
    </row>
    <row r="7572" spans="1:6">
      <c r="A7572" s="3">
        <v>44096</v>
      </c>
      <c r="B7572" s="3">
        <v>44096</v>
      </c>
      <c r="C7572">
        <v>423.57</v>
      </c>
      <c r="D7572">
        <v>1.1708000000000001</v>
      </c>
      <c r="E7572">
        <v>41.72</v>
      </c>
      <c r="F7572">
        <v>305.89999999999998</v>
      </c>
    </row>
    <row r="7573" spans="1:6">
      <c r="A7573" s="3">
        <v>44097</v>
      </c>
      <c r="B7573" s="3">
        <v>44097</v>
      </c>
      <c r="C7573">
        <v>425.63</v>
      </c>
      <c r="D7573">
        <v>1.1659999999999999</v>
      </c>
      <c r="E7573">
        <v>41.77</v>
      </c>
      <c r="F7573">
        <v>299.35000000000002</v>
      </c>
    </row>
    <row r="7574" spans="1:6">
      <c r="A7574" s="3">
        <v>44098</v>
      </c>
      <c r="B7574" s="3">
        <v>44098</v>
      </c>
      <c r="C7574">
        <v>426.49</v>
      </c>
      <c r="D7574">
        <v>1.1672</v>
      </c>
      <c r="E7574">
        <v>41.94</v>
      </c>
      <c r="F7574">
        <v>296.89999999999998</v>
      </c>
    </row>
    <row r="7575" spans="1:6">
      <c r="A7575" s="3">
        <v>44099</v>
      </c>
      <c r="B7575" s="3">
        <v>44099</v>
      </c>
      <c r="C7575">
        <v>427.04</v>
      </c>
      <c r="D7575">
        <v>1.1631</v>
      </c>
      <c r="E7575">
        <v>41.92</v>
      </c>
      <c r="F7575">
        <v>297.3</v>
      </c>
    </row>
    <row r="7576" spans="1:6">
      <c r="A7576" s="3">
        <v>44100</v>
      </c>
      <c r="B7576" s="3">
        <v>44100</v>
      </c>
      <c r="C7576">
        <v>427.04</v>
      </c>
      <c r="D7576">
        <v>1.1631</v>
      </c>
      <c r="E7576">
        <v>41.92</v>
      </c>
      <c r="F7576">
        <v>297.3</v>
      </c>
    </row>
    <row r="7577" spans="1:6">
      <c r="A7577" s="3">
        <v>44101</v>
      </c>
      <c r="B7577" s="3">
        <v>44101</v>
      </c>
      <c r="C7577">
        <v>427.04</v>
      </c>
      <c r="D7577">
        <v>1.1631</v>
      </c>
      <c r="E7577">
        <v>41.92</v>
      </c>
      <c r="F7577">
        <v>297.3</v>
      </c>
    </row>
    <row r="7578" spans="1:6">
      <c r="A7578" s="3">
        <v>44102</v>
      </c>
      <c r="B7578" s="3">
        <v>44102</v>
      </c>
      <c r="C7578">
        <v>430.28</v>
      </c>
      <c r="D7578">
        <v>1.1666000000000001</v>
      </c>
      <c r="E7578">
        <v>42.43</v>
      </c>
      <c r="F7578">
        <v>298.95</v>
      </c>
    </row>
    <row r="7579" spans="1:6">
      <c r="A7579" s="3">
        <v>44103</v>
      </c>
      <c r="B7579" s="3">
        <v>44103</v>
      </c>
      <c r="C7579">
        <v>430.04</v>
      </c>
      <c r="D7579">
        <v>1.1744000000000001</v>
      </c>
      <c r="E7579">
        <v>41.03</v>
      </c>
      <c r="F7579">
        <v>299</v>
      </c>
    </row>
    <row r="7580" spans="1:6">
      <c r="A7580" s="3">
        <v>44104</v>
      </c>
      <c r="B7580" s="3">
        <v>44104</v>
      </c>
      <c r="C7580">
        <v>432.5</v>
      </c>
      <c r="D7580">
        <v>1.1720999999999999</v>
      </c>
      <c r="E7580">
        <v>40.950000000000003</v>
      </c>
      <c r="F7580">
        <v>303.25</v>
      </c>
    </row>
    <row r="7581" spans="1:6">
      <c r="A7581" s="3">
        <v>44105</v>
      </c>
      <c r="B7581" s="3">
        <v>44105</v>
      </c>
      <c r="C7581">
        <v>429.18</v>
      </c>
      <c r="D7581">
        <v>1.1748000000000001</v>
      </c>
      <c r="E7581">
        <v>40.93</v>
      </c>
      <c r="F7581">
        <v>286.55</v>
      </c>
    </row>
    <row r="7582" spans="1:6">
      <c r="A7582" s="3">
        <v>44106</v>
      </c>
      <c r="B7582" s="3">
        <v>44106</v>
      </c>
      <c r="C7582">
        <v>432.95</v>
      </c>
      <c r="D7582">
        <v>1.1716</v>
      </c>
      <c r="E7582">
        <v>39.270000000000003</v>
      </c>
      <c r="F7582">
        <v>297.75</v>
      </c>
    </row>
    <row r="7583" spans="1:6">
      <c r="A7583" s="3">
        <v>44107</v>
      </c>
      <c r="B7583" s="3">
        <v>44107</v>
      </c>
      <c r="C7583">
        <v>432.95</v>
      </c>
      <c r="D7583">
        <v>1.1716</v>
      </c>
      <c r="E7583">
        <v>39.270000000000003</v>
      </c>
      <c r="F7583">
        <v>297.75</v>
      </c>
    </row>
    <row r="7584" spans="1:6">
      <c r="A7584" s="3">
        <v>44108</v>
      </c>
      <c r="B7584" s="3">
        <v>44108</v>
      </c>
      <c r="C7584">
        <v>432.95</v>
      </c>
      <c r="D7584">
        <v>1.1716</v>
      </c>
      <c r="E7584">
        <v>39.270000000000003</v>
      </c>
      <c r="F7584">
        <v>297.75</v>
      </c>
    </row>
    <row r="7585" spans="1:6">
      <c r="A7585" s="3">
        <v>44109</v>
      </c>
      <c r="B7585" s="3">
        <v>44109</v>
      </c>
      <c r="C7585">
        <v>431.4</v>
      </c>
      <c r="D7585">
        <v>1.1782999999999999</v>
      </c>
      <c r="E7585">
        <v>41.29</v>
      </c>
      <c r="F7585">
        <v>296.3</v>
      </c>
    </row>
    <row r="7586" spans="1:6">
      <c r="A7586" s="3">
        <v>44110</v>
      </c>
      <c r="B7586" s="3">
        <v>44110</v>
      </c>
      <c r="C7586">
        <v>429.29</v>
      </c>
      <c r="D7586">
        <v>1.1734</v>
      </c>
      <c r="E7586">
        <v>42.65</v>
      </c>
      <c r="F7586">
        <v>296.35000000000002</v>
      </c>
    </row>
    <row r="7587" spans="1:6">
      <c r="A7587" s="3">
        <v>44111</v>
      </c>
      <c r="B7587" s="3">
        <v>44111</v>
      </c>
      <c r="C7587">
        <v>429.07</v>
      </c>
      <c r="D7587">
        <v>1.1762999999999999</v>
      </c>
      <c r="E7587">
        <v>41.99</v>
      </c>
      <c r="F7587">
        <v>303.3</v>
      </c>
    </row>
    <row r="7588" spans="1:6">
      <c r="A7588" s="3">
        <v>44112</v>
      </c>
      <c r="B7588" s="3">
        <v>44112</v>
      </c>
      <c r="C7588">
        <v>427.87</v>
      </c>
      <c r="D7588">
        <v>1.1758999999999999</v>
      </c>
      <c r="E7588">
        <v>43.34</v>
      </c>
      <c r="F7588">
        <v>304.2</v>
      </c>
    </row>
    <row r="7589" spans="1:6">
      <c r="A7589" s="3">
        <v>44113</v>
      </c>
      <c r="B7589" s="3">
        <v>44113</v>
      </c>
      <c r="C7589">
        <v>426.96</v>
      </c>
      <c r="D7589">
        <v>1.1826000000000001</v>
      </c>
      <c r="E7589">
        <v>42.85</v>
      </c>
      <c r="F7589">
        <v>308.25</v>
      </c>
    </row>
    <row r="7590" spans="1:6">
      <c r="A7590" s="3">
        <v>44114</v>
      </c>
      <c r="B7590" s="3">
        <v>44114</v>
      </c>
      <c r="C7590">
        <v>426.96</v>
      </c>
      <c r="D7590">
        <v>1.1826000000000001</v>
      </c>
      <c r="E7590">
        <v>42.85</v>
      </c>
      <c r="F7590">
        <v>308.25</v>
      </c>
    </row>
    <row r="7591" spans="1:6">
      <c r="A7591" s="3">
        <v>44115</v>
      </c>
      <c r="B7591" s="3">
        <v>44115</v>
      </c>
      <c r="C7591">
        <v>426.96</v>
      </c>
      <c r="D7591">
        <v>1.1826000000000001</v>
      </c>
      <c r="E7591">
        <v>42.85</v>
      </c>
      <c r="F7591">
        <v>308.25</v>
      </c>
    </row>
    <row r="7592" spans="1:6">
      <c r="A7592" s="3">
        <v>44116</v>
      </c>
      <c r="B7592" s="3">
        <v>44116</v>
      </c>
      <c r="C7592">
        <v>427.78</v>
      </c>
      <c r="D7592">
        <v>1.1813</v>
      </c>
      <c r="E7592">
        <v>41.72</v>
      </c>
      <c r="F7592">
        <v>306.39999999999998</v>
      </c>
    </row>
    <row r="7593" spans="1:6">
      <c r="A7593" s="3">
        <v>44117</v>
      </c>
      <c r="B7593" s="3">
        <v>44117</v>
      </c>
      <c r="C7593">
        <v>428.56</v>
      </c>
      <c r="D7593">
        <v>1.1746000000000001</v>
      </c>
      <c r="E7593">
        <v>42.45</v>
      </c>
      <c r="F7593">
        <v>304.45</v>
      </c>
    </row>
    <row r="7594" spans="1:6">
      <c r="A7594" s="3">
        <v>44118</v>
      </c>
      <c r="B7594" s="3">
        <v>44118</v>
      </c>
      <c r="C7594">
        <v>428.87</v>
      </c>
      <c r="D7594">
        <v>1.1746000000000001</v>
      </c>
      <c r="E7594">
        <v>43.32</v>
      </c>
      <c r="F7594">
        <v>305.05</v>
      </c>
    </row>
    <row r="7595" spans="1:6">
      <c r="A7595" s="3">
        <v>44119</v>
      </c>
      <c r="B7595" s="3">
        <v>44119</v>
      </c>
      <c r="C7595">
        <v>428.86</v>
      </c>
      <c r="D7595">
        <v>1.1708000000000001</v>
      </c>
      <c r="E7595">
        <v>43.16</v>
      </c>
      <c r="F7595">
        <v>308.55</v>
      </c>
    </row>
    <row r="7596" spans="1:6">
      <c r="A7596" s="3">
        <v>44120</v>
      </c>
      <c r="B7596" s="3">
        <v>44120</v>
      </c>
      <c r="C7596">
        <v>429.13</v>
      </c>
      <c r="D7596">
        <v>1.1718</v>
      </c>
      <c r="E7596">
        <v>42.93</v>
      </c>
      <c r="F7596">
        <v>306.75</v>
      </c>
    </row>
    <row r="7597" spans="1:6">
      <c r="A7597" s="3">
        <v>44121</v>
      </c>
      <c r="B7597" s="3">
        <v>44121</v>
      </c>
      <c r="C7597">
        <v>429.13</v>
      </c>
      <c r="D7597">
        <v>1.1718</v>
      </c>
      <c r="E7597">
        <v>42.93</v>
      </c>
      <c r="F7597">
        <v>306.75</v>
      </c>
    </row>
    <row r="7598" spans="1:6">
      <c r="A7598" s="3">
        <v>44122</v>
      </c>
      <c r="B7598" s="3">
        <v>44122</v>
      </c>
      <c r="C7598">
        <v>429.13</v>
      </c>
      <c r="D7598">
        <v>1.1718</v>
      </c>
      <c r="E7598">
        <v>42.93</v>
      </c>
      <c r="F7598">
        <v>306.75</v>
      </c>
    </row>
    <row r="7599" spans="1:6">
      <c r="A7599" s="3">
        <v>44123</v>
      </c>
      <c r="B7599" s="3">
        <v>44123</v>
      </c>
      <c r="C7599">
        <v>427.76</v>
      </c>
      <c r="D7599">
        <v>1.1769000000000001</v>
      </c>
      <c r="E7599">
        <v>42.62</v>
      </c>
      <c r="F7599">
        <v>308.60000000000002</v>
      </c>
    </row>
    <row r="7600" spans="1:6">
      <c r="A7600" s="3">
        <v>44124</v>
      </c>
      <c r="B7600" s="3">
        <v>44124</v>
      </c>
      <c r="C7600">
        <v>428.35</v>
      </c>
      <c r="D7600">
        <v>1.1821999999999999</v>
      </c>
      <c r="E7600">
        <v>43.16</v>
      </c>
      <c r="F7600">
        <v>314.8</v>
      </c>
    </row>
    <row r="7601" spans="1:6">
      <c r="A7601" s="3">
        <v>44125</v>
      </c>
      <c r="B7601" s="3">
        <v>44125</v>
      </c>
      <c r="C7601">
        <v>427.56</v>
      </c>
      <c r="D7601">
        <v>1.1860999999999999</v>
      </c>
      <c r="E7601">
        <v>41.73</v>
      </c>
      <c r="F7601">
        <v>319.85000000000002</v>
      </c>
    </row>
    <row r="7602" spans="1:6">
      <c r="A7602" s="3">
        <v>44126</v>
      </c>
      <c r="B7602" s="3">
        <v>44126</v>
      </c>
      <c r="C7602">
        <v>428.08</v>
      </c>
      <c r="D7602">
        <v>1.1818</v>
      </c>
      <c r="E7602">
        <v>42.46</v>
      </c>
      <c r="F7602">
        <v>315.35000000000002</v>
      </c>
    </row>
    <row r="7603" spans="1:6">
      <c r="A7603" s="3">
        <v>44127</v>
      </c>
      <c r="B7603" s="3">
        <v>44127</v>
      </c>
      <c r="C7603">
        <v>427.52</v>
      </c>
      <c r="D7603">
        <v>1.1859999999999999</v>
      </c>
      <c r="E7603">
        <v>41.77</v>
      </c>
      <c r="F7603">
        <v>312.89999999999998</v>
      </c>
    </row>
    <row r="7604" spans="1:6">
      <c r="A7604" s="3">
        <v>44128</v>
      </c>
      <c r="B7604" s="3">
        <v>44128</v>
      </c>
      <c r="C7604">
        <v>427.52</v>
      </c>
      <c r="D7604">
        <v>1.1859999999999999</v>
      </c>
      <c r="E7604">
        <v>41.77</v>
      </c>
      <c r="F7604">
        <v>312.89999999999998</v>
      </c>
    </row>
    <row r="7605" spans="1:6">
      <c r="A7605" s="3">
        <v>44129</v>
      </c>
      <c r="B7605" s="3">
        <v>44129</v>
      </c>
      <c r="C7605">
        <v>427.52</v>
      </c>
      <c r="D7605">
        <v>1.1859999999999999</v>
      </c>
      <c r="E7605">
        <v>41.77</v>
      </c>
      <c r="F7605">
        <v>312.89999999999998</v>
      </c>
    </row>
    <row r="7606" spans="1:6">
      <c r="A7606" s="3">
        <v>44130</v>
      </c>
      <c r="B7606" s="3">
        <v>44130</v>
      </c>
      <c r="C7606">
        <v>429.36</v>
      </c>
      <c r="D7606">
        <v>1.181</v>
      </c>
      <c r="E7606">
        <v>40.46</v>
      </c>
      <c r="F7606">
        <v>308.95</v>
      </c>
    </row>
    <row r="7607" spans="1:6">
      <c r="A7607" s="3">
        <v>44131</v>
      </c>
      <c r="B7607" s="3">
        <v>44131</v>
      </c>
      <c r="C7607">
        <v>429.19</v>
      </c>
      <c r="D7607">
        <v>1.1796</v>
      </c>
      <c r="E7607">
        <v>41.2</v>
      </c>
      <c r="F7607">
        <v>309.35000000000002</v>
      </c>
    </row>
    <row r="7608" spans="1:6">
      <c r="A7608" s="3">
        <v>44132</v>
      </c>
      <c r="B7608" s="3">
        <v>44132</v>
      </c>
      <c r="C7608">
        <v>431.27</v>
      </c>
      <c r="D7608">
        <v>1.1746000000000001</v>
      </c>
      <c r="E7608">
        <v>39.119999999999997</v>
      </c>
      <c r="F7608">
        <v>306.39999999999998</v>
      </c>
    </row>
    <row r="7609" spans="1:6">
      <c r="A7609" s="3">
        <v>44133</v>
      </c>
      <c r="B7609" s="3">
        <v>44133</v>
      </c>
      <c r="C7609">
        <v>432.64</v>
      </c>
      <c r="D7609">
        <v>1.1674</v>
      </c>
      <c r="E7609">
        <v>37.65</v>
      </c>
      <c r="F7609">
        <v>305.64999999999998</v>
      </c>
    </row>
    <row r="7610" spans="1:6">
      <c r="A7610" s="3">
        <v>44134</v>
      </c>
      <c r="B7610" s="3">
        <v>44134</v>
      </c>
      <c r="C7610">
        <v>432.68</v>
      </c>
      <c r="D7610">
        <v>1.1647000000000001</v>
      </c>
      <c r="E7610">
        <v>37.46</v>
      </c>
      <c r="F7610">
        <v>304.75</v>
      </c>
    </row>
    <row r="7611" spans="1:6">
      <c r="A7611" s="3">
        <v>44135</v>
      </c>
      <c r="B7611" s="3">
        <v>44135</v>
      </c>
      <c r="C7611">
        <v>432.68</v>
      </c>
      <c r="D7611">
        <v>1.1647000000000001</v>
      </c>
      <c r="E7611">
        <v>37.46</v>
      </c>
      <c r="F7611">
        <v>304.75</v>
      </c>
    </row>
    <row r="7612" spans="1:6">
      <c r="A7612" s="3">
        <v>44136</v>
      </c>
      <c r="B7612" s="3">
        <v>44136</v>
      </c>
      <c r="C7612">
        <v>432.68</v>
      </c>
      <c r="D7612">
        <v>1.1647000000000001</v>
      </c>
      <c r="E7612">
        <v>37.46</v>
      </c>
      <c r="F7612">
        <v>304.75</v>
      </c>
    </row>
    <row r="7613" spans="1:6">
      <c r="A7613" s="3">
        <v>44137</v>
      </c>
      <c r="B7613" s="3">
        <v>44137</v>
      </c>
      <c r="C7613">
        <v>434.1</v>
      </c>
      <c r="D7613">
        <v>1.1640999999999999</v>
      </c>
      <c r="E7613">
        <v>38.97</v>
      </c>
      <c r="F7613">
        <v>307.7</v>
      </c>
    </row>
    <row r="7614" spans="1:6">
      <c r="A7614" s="3">
        <v>44138</v>
      </c>
      <c r="B7614" s="3">
        <v>44138</v>
      </c>
      <c r="C7614">
        <v>433.47</v>
      </c>
      <c r="D7614">
        <v>1.1715</v>
      </c>
      <c r="E7614">
        <v>39.71</v>
      </c>
      <c r="F7614">
        <v>309.25</v>
      </c>
    </row>
    <row r="7615" spans="1:6">
      <c r="A7615" s="3">
        <v>44139</v>
      </c>
      <c r="B7615" s="3">
        <v>44139</v>
      </c>
      <c r="C7615">
        <v>432</v>
      </c>
      <c r="D7615">
        <v>1.1726000000000001</v>
      </c>
      <c r="E7615">
        <v>41.23</v>
      </c>
      <c r="F7615">
        <v>310.7</v>
      </c>
    </row>
    <row r="7616" spans="1:6">
      <c r="A7616" s="3">
        <v>44140</v>
      </c>
      <c r="B7616" s="3">
        <v>44140</v>
      </c>
      <c r="C7616">
        <v>431.71</v>
      </c>
      <c r="D7616">
        <v>1.1826000000000001</v>
      </c>
      <c r="E7616">
        <v>40.93</v>
      </c>
      <c r="F7616">
        <v>311</v>
      </c>
    </row>
    <row r="7617" spans="1:6">
      <c r="A7617" s="3">
        <v>44141</v>
      </c>
      <c r="B7617" s="3">
        <v>44141</v>
      </c>
      <c r="C7617">
        <v>432.11</v>
      </c>
      <c r="D7617">
        <v>1.1874</v>
      </c>
      <c r="E7617">
        <v>39.450000000000003</v>
      </c>
      <c r="F7617">
        <v>315.39999999999998</v>
      </c>
    </row>
    <row r="7618" spans="1:6">
      <c r="A7618" s="3">
        <v>44142</v>
      </c>
      <c r="B7618" s="3">
        <v>44142</v>
      </c>
      <c r="C7618">
        <v>432.11</v>
      </c>
      <c r="D7618">
        <v>1.1874</v>
      </c>
      <c r="E7618">
        <v>39.450000000000003</v>
      </c>
      <c r="F7618">
        <v>315.39999999999998</v>
      </c>
    </row>
    <row r="7619" spans="1:6">
      <c r="A7619" s="3">
        <v>44143</v>
      </c>
      <c r="B7619" s="3">
        <v>44143</v>
      </c>
      <c r="C7619">
        <v>432.11</v>
      </c>
      <c r="D7619">
        <v>1.1874</v>
      </c>
      <c r="E7619">
        <v>39.450000000000003</v>
      </c>
      <c r="F7619">
        <v>315.39999999999998</v>
      </c>
    </row>
    <row r="7620" spans="1:6">
      <c r="A7620" s="3">
        <v>44144</v>
      </c>
      <c r="B7620" s="3">
        <v>44144</v>
      </c>
      <c r="C7620">
        <v>430.85</v>
      </c>
      <c r="D7620">
        <v>1.1813</v>
      </c>
      <c r="E7620">
        <v>42.4</v>
      </c>
      <c r="F7620">
        <v>315.60000000000002</v>
      </c>
    </row>
    <row r="7621" spans="1:6">
      <c r="A7621" s="3">
        <v>44145</v>
      </c>
      <c r="B7621" s="3">
        <v>44145</v>
      </c>
      <c r="C7621">
        <v>428.45</v>
      </c>
      <c r="D7621">
        <v>1.1815</v>
      </c>
      <c r="E7621">
        <v>43.61</v>
      </c>
      <c r="F7621">
        <v>315.55</v>
      </c>
    </row>
    <row r="7622" spans="1:6">
      <c r="A7622" s="3">
        <v>44146</v>
      </c>
      <c r="B7622" s="3">
        <v>44146</v>
      </c>
      <c r="C7622">
        <v>426.86</v>
      </c>
      <c r="D7622">
        <v>1.1777</v>
      </c>
      <c r="E7622">
        <v>43.8</v>
      </c>
      <c r="F7622">
        <v>313.39999999999998</v>
      </c>
    </row>
    <row r="7623" spans="1:6">
      <c r="A7623" s="3">
        <v>44147</v>
      </c>
      <c r="B7623" s="3">
        <v>44147</v>
      </c>
      <c r="C7623">
        <v>428.55</v>
      </c>
      <c r="D7623">
        <v>1.1806000000000001</v>
      </c>
      <c r="E7623">
        <v>43.53</v>
      </c>
      <c r="F7623">
        <v>314.5</v>
      </c>
    </row>
    <row r="7624" spans="1:6">
      <c r="A7624" s="3">
        <v>44148</v>
      </c>
      <c r="B7624" s="3">
        <v>44148</v>
      </c>
      <c r="C7624">
        <v>429.67</v>
      </c>
      <c r="D7624">
        <v>1.1834</v>
      </c>
      <c r="E7624">
        <v>42.78</v>
      </c>
      <c r="F7624">
        <v>317.8</v>
      </c>
    </row>
    <row r="7625" spans="1:6">
      <c r="A7625" s="3">
        <v>44149</v>
      </c>
      <c r="B7625" s="3">
        <v>44149</v>
      </c>
      <c r="C7625">
        <v>429.67</v>
      </c>
      <c r="D7625">
        <v>1.1834</v>
      </c>
      <c r="E7625">
        <v>42.78</v>
      </c>
      <c r="F7625">
        <v>317.8</v>
      </c>
    </row>
    <row r="7626" spans="1:6">
      <c r="A7626" s="3">
        <v>44150</v>
      </c>
      <c r="B7626" s="3">
        <v>44150</v>
      </c>
      <c r="C7626">
        <v>429.67</v>
      </c>
      <c r="D7626">
        <v>1.1834</v>
      </c>
      <c r="E7626">
        <v>42.78</v>
      </c>
      <c r="F7626">
        <v>317.8</v>
      </c>
    </row>
    <row r="7627" spans="1:6">
      <c r="A7627" s="3">
        <v>44151</v>
      </c>
      <c r="B7627" s="3">
        <v>44151</v>
      </c>
      <c r="C7627">
        <v>429.27</v>
      </c>
      <c r="D7627">
        <v>1.1852</v>
      </c>
      <c r="E7627">
        <v>43.82</v>
      </c>
      <c r="F7627">
        <v>322.2</v>
      </c>
    </row>
    <row r="7628" spans="1:6">
      <c r="A7628" s="3">
        <v>44152</v>
      </c>
      <c r="B7628" s="3">
        <v>44152</v>
      </c>
      <c r="C7628">
        <v>428.61</v>
      </c>
      <c r="D7628">
        <v>1.1861999999999999</v>
      </c>
      <c r="E7628">
        <v>43.75</v>
      </c>
      <c r="F7628">
        <v>319.8</v>
      </c>
    </row>
    <row r="7629" spans="1:6">
      <c r="A7629" s="3">
        <v>44153</v>
      </c>
      <c r="B7629" s="3">
        <v>44153</v>
      </c>
      <c r="C7629">
        <v>427.47</v>
      </c>
      <c r="D7629">
        <v>1.1853</v>
      </c>
      <c r="E7629">
        <v>44.34</v>
      </c>
      <c r="F7629">
        <v>319.8</v>
      </c>
    </row>
    <row r="7630" spans="1:6">
      <c r="A7630" s="3">
        <v>44154</v>
      </c>
      <c r="B7630" s="3">
        <v>44154</v>
      </c>
      <c r="C7630">
        <v>428.36</v>
      </c>
      <c r="D7630">
        <v>1.1875</v>
      </c>
      <c r="E7630">
        <v>44.2</v>
      </c>
      <c r="F7630">
        <v>320.2</v>
      </c>
    </row>
    <row r="7631" spans="1:6">
      <c r="A7631" s="3">
        <v>44155</v>
      </c>
      <c r="B7631" s="3">
        <v>44155</v>
      </c>
      <c r="C7631">
        <v>427.59</v>
      </c>
      <c r="D7631">
        <v>1.1857</v>
      </c>
      <c r="E7631">
        <v>44.96</v>
      </c>
      <c r="F7631">
        <v>329.1</v>
      </c>
    </row>
    <row r="7632" spans="1:6">
      <c r="A7632" s="3">
        <v>44156</v>
      </c>
      <c r="B7632" s="3">
        <v>44156</v>
      </c>
      <c r="C7632">
        <v>427.59</v>
      </c>
      <c r="D7632">
        <v>1.1857</v>
      </c>
      <c r="E7632">
        <v>44.96</v>
      </c>
      <c r="F7632">
        <v>329.1</v>
      </c>
    </row>
    <row r="7633" spans="1:6">
      <c r="A7633" s="3">
        <v>44157</v>
      </c>
      <c r="B7633" s="3">
        <v>44157</v>
      </c>
      <c r="C7633">
        <v>427.59</v>
      </c>
      <c r="D7633">
        <v>1.1857</v>
      </c>
      <c r="E7633">
        <v>44.96</v>
      </c>
      <c r="F7633">
        <v>329.1</v>
      </c>
    </row>
    <row r="7634" spans="1:6">
      <c r="A7634" s="3">
        <v>44158</v>
      </c>
      <c r="B7634" s="3">
        <v>44158</v>
      </c>
      <c r="C7634">
        <v>425.33</v>
      </c>
      <c r="D7634">
        <v>1.1840999999999999</v>
      </c>
      <c r="E7634">
        <v>46.06</v>
      </c>
      <c r="F7634">
        <v>325.8</v>
      </c>
    </row>
    <row r="7635" spans="1:6">
      <c r="A7635" s="3">
        <v>44159</v>
      </c>
      <c r="B7635" s="3">
        <v>44159</v>
      </c>
      <c r="C7635">
        <v>425.19</v>
      </c>
      <c r="D7635">
        <v>1.1892</v>
      </c>
      <c r="E7635">
        <v>47.86</v>
      </c>
      <c r="F7635">
        <v>329.95</v>
      </c>
    </row>
    <row r="7636" spans="1:6">
      <c r="A7636" s="3">
        <v>44160</v>
      </c>
      <c r="B7636" s="3">
        <v>44160</v>
      </c>
      <c r="C7636">
        <v>423.19</v>
      </c>
      <c r="D7636">
        <v>1.1917</v>
      </c>
      <c r="E7636">
        <v>48.61</v>
      </c>
      <c r="F7636">
        <v>330.95</v>
      </c>
    </row>
    <row r="7637" spans="1:6">
      <c r="A7637" s="3">
        <v>44161</v>
      </c>
      <c r="B7637" s="3">
        <v>44161</v>
      </c>
      <c r="C7637">
        <v>423.23</v>
      </c>
      <c r="D7637">
        <v>1.1913</v>
      </c>
      <c r="E7637">
        <v>47.8</v>
      </c>
      <c r="F7637">
        <v>330.95</v>
      </c>
    </row>
    <row r="7638" spans="1:6">
      <c r="A7638" s="3">
        <v>44162</v>
      </c>
      <c r="B7638" s="3">
        <v>44162</v>
      </c>
      <c r="C7638">
        <v>424.16</v>
      </c>
      <c r="D7638">
        <v>1.1962999999999999</v>
      </c>
      <c r="E7638">
        <v>48.18</v>
      </c>
      <c r="F7638">
        <v>339.95</v>
      </c>
    </row>
    <row r="7639" spans="1:6">
      <c r="A7639" s="3">
        <v>44163</v>
      </c>
      <c r="B7639" s="3">
        <v>44163</v>
      </c>
      <c r="C7639">
        <v>424.16</v>
      </c>
      <c r="D7639">
        <v>1.1962999999999999</v>
      </c>
      <c r="E7639">
        <v>48.18</v>
      </c>
      <c r="F7639">
        <v>339.95</v>
      </c>
    </row>
    <row r="7640" spans="1:6">
      <c r="A7640" s="3">
        <v>44164</v>
      </c>
      <c r="B7640" s="3">
        <v>44164</v>
      </c>
      <c r="C7640">
        <v>424.16</v>
      </c>
      <c r="D7640">
        <v>1.1962999999999999</v>
      </c>
      <c r="E7640">
        <v>48.18</v>
      </c>
      <c r="F7640">
        <v>339.95</v>
      </c>
    </row>
    <row r="7641" spans="1:6">
      <c r="A7641" s="3">
        <v>44165</v>
      </c>
      <c r="B7641" s="3">
        <v>44165</v>
      </c>
      <c r="C7641">
        <v>425.35</v>
      </c>
      <c r="D7641">
        <v>1.1927000000000001</v>
      </c>
      <c r="E7641">
        <v>47.59</v>
      </c>
      <c r="F7641">
        <v>342.05</v>
      </c>
    </row>
    <row r="7642" spans="1:6">
      <c r="A7642" s="3">
        <v>44166</v>
      </c>
      <c r="B7642" s="3">
        <v>44166</v>
      </c>
      <c r="C7642">
        <v>425.31</v>
      </c>
      <c r="D7642">
        <v>1.2071000000000001</v>
      </c>
      <c r="E7642">
        <v>47.42</v>
      </c>
      <c r="F7642">
        <v>346.8</v>
      </c>
    </row>
    <row r="7643" spans="1:6">
      <c r="A7643" s="3">
        <v>44167</v>
      </c>
      <c r="B7643" s="3">
        <v>44167</v>
      </c>
      <c r="C7643">
        <v>424.64</v>
      </c>
      <c r="D7643">
        <v>1.2115</v>
      </c>
      <c r="E7643">
        <v>48.25</v>
      </c>
      <c r="F7643">
        <v>347.5</v>
      </c>
    </row>
    <row r="7644" spans="1:6">
      <c r="A7644" s="3">
        <v>44168</v>
      </c>
      <c r="B7644" s="3">
        <v>44168</v>
      </c>
      <c r="C7644">
        <v>423.26</v>
      </c>
      <c r="D7644">
        <v>1.2143999999999999</v>
      </c>
      <c r="E7644">
        <v>48.71</v>
      </c>
      <c r="F7644">
        <v>347.9</v>
      </c>
    </row>
    <row r="7645" spans="1:6">
      <c r="A7645" s="3">
        <v>44169</v>
      </c>
      <c r="B7645" s="3">
        <v>44169</v>
      </c>
      <c r="C7645">
        <v>420.25</v>
      </c>
      <c r="D7645">
        <v>1.2121</v>
      </c>
      <c r="E7645">
        <v>49.25</v>
      </c>
      <c r="F7645">
        <v>351.4</v>
      </c>
    </row>
    <row r="7646" spans="1:6">
      <c r="A7646" s="3">
        <v>44170</v>
      </c>
      <c r="B7646" s="3">
        <v>44170</v>
      </c>
      <c r="C7646">
        <v>420.25</v>
      </c>
      <c r="D7646">
        <v>1.2121</v>
      </c>
      <c r="E7646">
        <v>49.25</v>
      </c>
      <c r="F7646">
        <v>351.4</v>
      </c>
    </row>
    <row r="7647" spans="1:6">
      <c r="A7647" s="3">
        <v>44171</v>
      </c>
      <c r="B7647" s="3">
        <v>44171</v>
      </c>
      <c r="C7647">
        <v>420.25</v>
      </c>
      <c r="D7647">
        <v>1.2121</v>
      </c>
      <c r="E7647">
        <v>49.25</v>
      </c>
      <c r="F7647">
        <v>351.4</v>
      </c>
    </row>
    <row r="7648" spans="1:6">
      <c r="A7648" s="3">
        <v>44172</v>
      </c>
      <c r="B7648" s="3">
        <v>44172</v>
      </c>
      <c r="C7648">
        <v>421.26</v>
      </c>
      <c r="D7648">
        <v>1.2109000000000001</v>
      </c>
      <c r="E7648">
        <v>48.79</v>
      </c>
      <c r="F7648">
        <v>350.85</v>
      </c>
    </row>
    <row r="7649" spans="1:6">
      <c r="A7649" s="3">
        <v>44173</v>
      </c>
      <c r="B7649" s="3">
        <v>44173</v>
      </c>
      <c r="C7649">
        <v>420.01</v>
      </c>
      <c r="D7649">
        <v>1.2103999999999999</v>
      </c>
      <c r="E7649">
        <v>48.84</v>
      </c>
      <c r="F7649">
        <v>349.4</v>
      </c>
    </row>
    <row r="7650" spans="1:6">
      <c r="A7650" s="3">
        <v>44174</v>
      </c>
      <c r="B7650" s="3">
        <v>44174</v>
      </c>
      <c r="C7650">
        <v>419.96</v>
      </c>
      <c r="D7650">
        <v>1.2081</v>
      </c>
      <c r="E7650">
        <v>48.86</v>
      </c>
      <c r="F7650">
        <v>350.8</v>
      </c>
    </row>
    <row r="7651" spans="1:6">
      <c r="A7651" s="3">
        <v>44175</v>
      </c>
      <c r="B7651" s="3">
        <v>44175</v>
      </c>
      <c r="C7651">
        <v>420.01</v>
      </c>
      <c r="D7651">
        <v>1.2138</v>
      </c>
      <c r="E7651">
        <v>50.25</v>
      </c>
      <c r="F7651">
        <v>357.05</v>
      </c>
    </row>
    <row r="7652" spans="1:6">
      <c r="A7652" s="3">
        <v>44176</v>
      </c>
      <c r="B7652" s="3">
        <v>44176</v>
      </c>
      <c r="C7652">
        <v>418.92</v>
      </c>
      <c r="D7652">
        <v>1.2112000000000001</v>
      </c>
      <c r="E7652">
        <v>49.97</v>
      </c>
      <c r="F7652">
        <v>352.4</v>
      </c>
    </row>
    <row r="7653" spans="1:6">
      <c r="A7653" s="3">
        <v>44177</v>
      </c>
      <c r="B7653" s="3">
        <v>44177</v>
      </c>
      <c r="C7653">
        <v>418.92</v>
      </c>
      <c r="D7653">
        <v>1.2112000000000001</v>
      </c>
      <c r="E7653">
        <v>49.97</v>
      </c>
      <c r="F7653">
        <v>352.4</v>
      </c>
    </row>
    <row r="7654" spans="1:6">
      <c r="A7654" s="3">
        <v>44178</v>
      </c>
      <c r="B7654" s="3">
        <v>44178</v>
      </c>
      <c r="C7654">
        <v>418.92</v>
      </c>
      <c r="D7654">
        <v>1.2112000000000001</v>
      </c>
      <c r="E7654">
        <v>49.97</v>
      </c>
      <c r="F7654">
        <v>352.4</v>
      </c>
    </row>
    <row r="7655" spans="1:6">
      <c r="A7655" s="3">
        <v>44179</v>
      </c>
      <c r="B7655" s="3">
        <v>44179</v>
      </c>
      <c r="C7655">
        <v>418.74</v>
      </c>
      <c r="D7655">
        <v>1.2143999999999999</v>
      </c>
      <c r="E7655">
        <v>50.29</v>
      </c>
      <c r="F7655">
        <v>352.2</v>
      </c>
    </row>
    <row r="7656" spans="1:6">
      <c r="A7656" s="3">
        <v>44180</v>
      </c>
      <c r="B7656" s="3">
        <v>44180</v>
      </c>
      <c r="C7656">
        <v>419.68</v>
      </c>
      <c r="D7656">
        <v>1.2151000000000001</v>
      </c>
      <c r="E7656">
        <v>50.76</v>
      </c>
      <c r="F7656">
        <v>353.8</v>
      </c>
    </row>
    <row r="7657" spans="1:6">
      <c r="A7657" s="3">
        <v>44181</v>
      </c>
      <c r="B7657" s="3">
        <v>44181</v>
      </c>
      <c r="C7657">
        <v>419.69</v>
      </c>
      <c r="D7657">
        <v>1.22</v>
      </c>
      <c r="E7657">
        <v>51.08</v>
      </c>
      <c r="F7657">
        <v>355.4</v>
      </c>
    </row>
    <row r="7658" spans="1:6">
      <c r="A7658" s="3">
        <v>44182</v>
      </c>
      <c r="B7658" s="3">
        <v>44182</v>
      </c>
      <c r="C7658">
        <v>419.35</v>
      </c>
      <c r="D7658">
        <v>1.2267999999999999</v>
      </c>
      <c r="E7658">
        <v>51.5</v>
      </c>
      <c r="F7658">
        <v>359.7</v>
      </c>
    </row>
    <row r="7659" spans="1:6">
      <c r="A7659" s="3">
        <v>44183</v>
      </c>
      <c r="B7659" s="3">
        <v>44183</v>
      </c>
      <c r="C7659">
        <v>419.19</v>
      </c>
      <c r="D7659">
        <v>1.2257</v>
      </c>
      <c r="E7659">
        <v>52.26</v>
      </c>
      <c r="F7659">
        <v>362.85</v>
      </c>
    </row>
    <row r="7660" spans="1:6">
      <c r="A7660" s="3">
        <v>44184</v>
      </c>
      <c r="B7660" s="3">
        <v>44184</v>
      </c>
      <c r="C7660">
        <v>419.19</v>
      </c>
      <c r="D7660">
        <v>1.2257</v>
      </c>
      <c r="E7660">
        <v>52.26</v>
      </c>
      <c r="F7660">
        <v>362.85</v>
      </c>
    </row>
    <row r="7661" spans="1:6">
      <c r="A7661" s="3">
        <v>44185</v>
      </c>
      <c r="B7661" s="3">
        <v>44185</v>
      </c>
      <c r="C7661">
        <v>419.19</v>
      </c>
      <c r="D7661">
        <v>1.2257</v>
      </c>
      <c r="E7661">
        <v>52.26</v>
      </c>
      <c r="F7661">
        <v>362.85</v>
      </c>
    </row>
    <row r="7662" spans="1:6">
      <c r="A7662" s="3">
        <v>44186</v>
      </c>
      <c r="B7662" s="3">
        <v>44186</v>
      </c>
      <c r="C7662">
        <v>420.97</v>
      </c>
      <c r="D7662">
        <v>1.2243999999999999</v>
      </c>
      <c r="E7662">
        <v>50.91</v>
      </c>
      <c r="F7662">
        <v>357.3</v>
      </c>
    </row>
    <row r="7663" spans="1:6">
      <c r="A7663" s="3">
        <v>44187</v>
      </c>
      <c r="B7663" s="3">
        <v>44187</v>
      </c>
      <c r="C7663">
        <v>420.26</v>
      </c>
      <c r="D7663">
        <v>1.2162999999999999</v>
      </c>
      <c r="E7663">
        <v>50.08</v>
      </c>
      <c r="F7663">
        <v>351.8</v>
      </c>
    </row>
    <row r="7664" spans="1:6">
      <c r="A7664" s="3">
        <v>44188</v>
      </c>
      <c r="B7664" s="3">
        <v>44188</v>
      </c>
      <c r="C7664">
        <v>421.13</v>
      </c>
      <c r="D7664">
        <v>1.2186999999999999</v>
      </c>
      <c r="E7664">
        <v>51.2</v>
      </c>
      <c r="F7664">
        <v>355.2</v>
      </c>
    </row>
    <row r="7665" spans="1:6">
      <c r="A7665" s="3">
        <v>44189</v>
      </c>
      <c r="B7665" s="3">
        <v>44189</v>
      </c>
      <c r="C7665">
        <v>420.09</v>
      </c>
      <c r="D7665">
        <v>1.2186999999999999</v>
      </c>
      <c r="E7665">
        <v>51.29</v>
      </c>
      <c r="F7665">
        <v>356</v>
      </c>
    </row>
    <row r="7666" spans="1:6">
      <c r="A7666" s="3">
        <v>44190</v>
      </c>
      <c r="B7666" s="3">
        <v>44190</v>
      </c>
      <c r="C7666">
        <v>419.55</v>
      </c>
      <c r="D7666">
        <v>1.2193000000000001</v>
      </c>
      <c r="E7666">
        <v>51.29</v>
      </c>
      <c r="F7666">
        <v>356</v>
      </c>
    </row>
    <row r="7667" spans="1:6">
      <c r="A7667" s="3">
        <v>44191</v>
      </c>
      <c r="B7667" s="3">
        <v>44191</v>
      </c>
      <c r="C7667">
        <v>419.55</v>
      </c>
      <c r="D7667">
        <v>1.2193000000000001</v>
      </c>
      <c r="E7667">
        <v>51.29</v>
      </c>
      <c r="F7667">
        <v>356</v>
      </c>
    </row>
    <row r="7668" spans="1:6">
      <c r="A7668" s="3">
        <v>44192</v>
      </c>
      <c r="B7668" s="3">
        <v>44192</v>
      </c>
      <c r="C7668">
        <v>419.55</v>
      </c>
      <c r="D7668">
        <v>1.2193000000000001</v>
      </c>
      <c r="E7668">
        <v>51.29</v>
      </c>
      <c r="F7668">
        <v>356</v>
      </c>
    </row>
    <row r="7669" spans="1:6">
      <c r="A7669" s="3">
        <v>44193</v>
      </c>
      <c r="B7669" s="3">
        <v>44193</v>
      </c>
      <c r="C7669">
        <v>419.69</v>
      </c>
      <c r="D7669">
        <v>1.2216</v>
      </c>
      <c r="E7669">
        <v>50.86</v>
      </c>
      <c r="F7669">
        <v>357</v>
      </c>
    </row>
    <row r="7670" spans="1:6">
      <c r="A7670" s="3">
        <v>44194</v>
      </c>
      <c r="B7670" s="3">
        <v>44194</v>
      </c>
      <c r="C7670">
        <v>420.55</v>
      </c>
      <c r="D7670">
        <v>1.2249000000000001</v>
      </c>
      <c r="E7670">
        <v>51.09</v>
      </c>
      <c r="F7670">
        <v>355.3</v>
      </c>
    </row>
    <row r="7671" spans="1:6">
      <c r="A7671" s="3">
        <v>44195</v>
      </c>
      <c r="B7671" s="3">
        <v>44195</v>
      </c>
      <c r="C7671">
        <v>421.25</v>
      </c>
      <c r="D7671">
        <v>1.2298</v>
      </c>
      <c r="E7671">
        <v>51.34</v>
      </c>
      <c r="F7671">
        <v>354.9</v>
      </c>
    </row>
    <row r="7672" spans="1:6">
      <c r="A7672" s="3">
        <v>44196</v>
      </c>
      <c r="B7672" s="3">
        <v>44196</v>
      </c>
      <c r="C7672">
        <v>421.15</v>
      </c>
      <c r="D7672">
        <v>1.2216</v>
      </c>
      <c r="E7672">
        <v>51.8</v>
      </c>
      <c r="F7672">
        <v>351.9</v>
      </c>
    </row>
    <row r="7673" spans="1:6">
      <c r="A7673" s="3">
        <v>44197</v>
      </c>
      <c r="B7673" s="3">
        <v>44197</v>
      </c>
      <c r="C7673">
        <v>421.15</v>
      </c>
      <c r="D7673">
        <v>1.2215</v>
      </c>
      <c r="E7673">
        <v>51.8</v>
      </c>
      <c r="F7673">
        <v>351.9</v>
      </c>
    </row>
    <row r="7674" spans="1:6">
      <c r="A7674" s="3">
        <v>44198</v>
      </c>
      <c r="B7674" s="3">
        <v>44198</v>
      </c>
      <c r="C7674">
        <v>421.15</v>
      </c>
      <c r="D7674">
        <v>1.2215</v>
      </c>
      <c r="E7674">
        <v>51.8</v>
      </c>
      <c r="F7674">
        <v>351.9</v>
      </c>
    </row>
    <row r="7675" spans="1:6">
      <c r="A7675" s="3">
        <v>44199</v>
      </c>
      <c r="B7675" s="3">
        <v>44199</v>
      </c>
      <c r="C7675">
        <v>421.15</v>
      </c>
      <c r="D7675">
        <v>1.2215</v>
      </c>
      <c r="E7675">
        <v>51.8</v>
      </c>
      <c r="F7675">
        <v>351.9</v>
      </c>
    </row>
    <row r="7676" spans="1:6">
      <c r="A7676" s="3">
        <v>44200</v>
      </c>
      <c r="B7676" s="3">
        <v>44200</v>
      </c>
      <c r="C7676">
        <v>421.17</v>
      </c>
      <c r="D7676">
        <v>1.2248000000000001</v>
      </c>
      <c r="E7676">
        <v>51.09</v>
      </c>
      <c r="F7676">
        <v>355.45</v>
      </c>
    </row>
    <row r="7677" spans="1:6">
      <c r="A7677" s="3">
        <v>44201</v>
      </c>
      <c r="B7677" s="3">
        <v>44201</v>
      </c>
      <c r="C7677">
        <v>421.26</v>
      </c>
      <c r="D7677">
        <v>1.2298</v>
      </c>
      <c r="E7677">
        <v>53.6</v>
      </c>
      <c r="F7677">
        <v>363.95</v>
      </c>
    </row>
    <row r="7678" spans="1:6">
      <c r="A7678" s="3">
        <v>44202</v>
      </c>
      <c r="B7678" s="3">
        <v>44202</v>
      </c>
      <c r="C7678">
        <v>419.21</v>
      </c>
      <c r="D7678">
        <v>1.2326999999999999</v>
      </c>
      <c r="E7678">
        <v>54.3</v>
      </c>
      <c r="F7678">
        <v>365.05</v>
      </c>
    </row>
    <row r="7679" spans="1:6">
      <c r="A7679" s="3">
        <v>44203</v>
      </c>
      <c r="B7679" s="3">
        <v>44203</v>
      </c>
      <c r="C7679">
        <v>418.89</v>
      </c>
      <c r="D7679">
        <v>1.2272000000000001</v>
      </c>
      <c r="E7679">
        <v>54.38</v>
      </c>
      <c r="F7679">
        <v>369.6</v>
      </c>
    </row>
    <row r="7680" spans="1:6">
      <c r="A7680" s="3">
        <v>44204</v>
      </c>
      <c r="B7680" s="3">
        <v>44204</v>
      </c>
      <c r="C7680">
        <v>419.01</v>
      </c>
      <c r="D7680">
        <v>1.2218</v>
      </c>
      <c r="E7680">
        <v>55.99</v>
      </c>
      <c r="F7680">
        <v>367.35</v>
      </c>
    </row>
    <row r="7681" spans="1:6">
      <c r="A7681" s="3">
        <v>44205</v>
      </c>
      <c r="B7681" s="3">
        <v>44205</v>
      </c>
      <c r="C7681">
        <v>419.01</v>
      </c>
      <c r="D7681">
        <v>1.2218</v>
      </c>
      <c r="E7681">
        <v>55.99</v>
      </c>
      <c r="F7681">
        <v>367.35</v>
      </c>
    </row>
    <row r="7682" spans="1:6">
      <c r="A7682" s="3">
        <v>44206</v>
      </c>
      <c r="B7682" s="3">
        <v>44206</v>
      </c>
      <c r="C7682">
        <v>419.01</v>
      </c>
      <c r="D7682">
        <v>1.2218</v>
      </c>
      <c r="E7682">
        <v>55.99</v>
      </c>
      <c r="F7682">
        <v>367.35</v>
      </c>
    </row>
    <row r="7683" spans="1:6">
      <c r="A7683" s="3">
        <v>44207</v>
      </c>
      <c r="B7683" s="3">
        <v>44207</v>
      </c>
      <c r="C7683">
        <v>419.53</v>
      </c>
      <c r="D7683">
        <v>1.2151000000000001</v>
      </c>
      <c r="E7683">
        <v>55.66</v>
      </c>
      <c r="F7683">
        <v>356.45</v>
      </c>
    </row>
    <row r="7684" spans="1:6">
      <c r="A7684" s="3">
        <v>44208</v>
      </c>
      <c r="B7684" s="3">
        <v>44208</v>
      </c>
      <c r="C7684">
        <v>419.73</v>
      </c>
      <c r="D7684">
        <v>1.2206999999999999</v>
      </c>
      <c r="E7684">
        <v>56.58</v>
      </c>
      <c r="F7684">
        <v>360.55</v>
      </c>
    </row>
    <row r="7685" spans="1:6">
      <c r="A7685" s="3">
        <v>44209</v>
      </c>
      <c r="B7685" s="3">
        <v>44209</v>
      </c>
      <c r="C7685">
        <v>418.82</v>
      </c>
      <c r="D7685">
        <v>1.2157</v>
      </c>
      <c r="E7685">
        <v>56.06</v>
      </c>
      <c r="F7685">
        <v>361.7</v>
      </c>
    </row>
    <row r="7686" spans="1:6">
      <c r="A7686" s="3">
        <v>44210</v>
      </c>
      <c r="B7686" s="3">
        <v>44210</v>
      </c>
      <c r="C7686">
        <v>419.57</v>
      </c>
      <c r="D7686">
        <v>1.2155</v>
      </c>
      <c r="E7686">
        <v>56.42</v>
      </c>
      <c r="F7686">
        <v>366.45</v>
      </c>
    </row>
    <row r="7687" spans="1:6">
      <c r="A7687" s="3">
        <v>44211</v>
      </c>
      <c r="B7687" s="3">
        <v>44211</v>
      </c>
      <c r="C7687">
        <v>419.2</v>
      </c>
      <c r="D7687">
        <v>1.2081999999999999</v>
      </c>
      <c r="E7687">
        <v>55.1</v>
      </c>
      <c r="F7687">
        <v>360.2</v>
      </c>
    </row>
    <row r="7688" spans="1:6">
      <c r="A7688" s="3">
        <v>44212</v>
      </c>
      <c r="B7688" s="3">
        <v>44212</v>
      </c>
      <c r="C7688">
        <v>419.2</v>
      </c>
      <c r="D7688">
        <v>1.2081999999999999</v>
      </c>
      <c r="E7688">
        <v>55.1</v>
      </c>
      <c r="F7688">
        <v>360.2</v>
      </c>
    </row>
    <row r="7689" spans="1:6">
      <c r="A7689" s="3">
        <v>44213</v>
      </c>
      <c r="B7689" s="3">
        <v>44213</v>
      </c>
      <c r="C7689">
        <v>419.2</v>
      </c>
      <c r="D7689">
        <v>1.2081999999999999</v>
      </c>
      <c r="E7689">
        <v>55.1</v>
      </c>
      <c r="F7689">
        <v>360.2</v>
      </c>
    </row>
    <row r="7690" spans="1:6">
      <c r="A7690" s="3">
        <v>44214</v>
      </c>
      <c r="B7690" s="3">
        <v>44214</v>
      </c>
      <c r="C7690">
        <v>420.57</v>
      </c>
      <c r="D7690">
        <v>1.2077</v>
      </c>
      <c r="E7690">
        <v>54.75</v>
      </c>
      <c r="F7690">
        <v>360.2</v>
      </c>
    </row>
    <row r="7691" spans="1:6">
      <c r="A7691" s="3">
        <v>44215</v>
      </c>
      <c r="B7691" s="3">
        <v>44215</v>
      </c>
      <c r="C7691">
        <v>419.82</v>
      </c>
      <c r="D7691">
        <v>1.2129000000000001</v>
      </c>
      <c r="E7691">
        <v>55.9</v>
      </c>
      <c r="F7691">
        <v>363.35</v>
      </c>
    </row>
    <row r="7692" spans="1:6">
      <c r="A7692" s="3">
        <v>44216</v>
      </c>
      <c r="B7692" s="3">
        <v>44216</v>
      </c>
      <c r="C7692">
        <v>418.71</v>
      </c>
      <c r="D7692">
        <v>1.2105999999999999</v>
      </c>
      <c r="E7692">
        <v>56.08</v>
      </c>
      <c r="F7692">
        <v>364.15</v>
      </c>
    </row>
    <row r="7693" spans="1:6">
      <c r="A7693" s="3">
        <v>44217</v>
      </c>
      <c r="B7693" s="3">
        <v>44217</v>
      </c>
      <c r="C7693">
        <v>418.82</v>
      </c>
      <c r="D7693">
        <v>1.2163999999999999</v>
      </c>
      <c r="E7693">
        <v>56.1</v>
      </c>
      <c r="F7693">
        <v>364.75</v>
      </c>
    </row>
    <row r="7694" spans="1:6">
      <c r="A7694" s="3">
        <v>44218</v>
      </c>
      <c r="B7694" s="3">
        <v>44218</v>
      </c>
      <c r="C7694">
        <v>420.38</v>
      </c>
      <c r="D7694">
        <v>1.2171000000000001</v>
      </c>
      <c r="E7694">
        <v>55.41</v>
      </c>
      <c r="F7694">
        <v>362.6</v>
      </c>
    </row>
    <row r="7695" spans="1:6">
      <c r="A7695" s="3">
        <v>44219</v>
      </c>
      <c r="B7695" s="3">
        <v>44219</v>
      </c>
      <c r="C7695">
        <v>420.38</v>
      </c>
      <c r="D7695">
        <v>1.2171000000000001</v>
      </c>
      <c r="E7695">
        <v>55.41</v>
      </c>
      <c r="F7695">
        <v>362.6</v>
      </c>
    </row>
    <row r="7696" spans="1:6">
      <c r="A7696" s="3">
        <v>44220</v>
      </c>
      <c r="B7696" s="3">
        <v>44220</v>
      </c>
      <c r="C7696">
        <v>420.38</v>
      </c>
      <c r="D7696">
        <v>1.2171000000000001</v>
      </c>
      <c r="E7696">
        <v>55.41</v>
      </c>
      <c r="F7696">
        <v>362.6</v>
      </c>
    </row>
    <row r="7697" spans="1:12">
      <c r="A7697" s="3">
        <v>44221</v>
      </c>
      <c r="B7697" s="3">
        <v>44221</v>
      </c>
      <c r="C7697">
        <v>420.56</v>
      </c>
      <c r="D7697">
        <v>1.2139</v>
      </c>
      <c r="E7697">
        <v>55.88</v>
      </c>
      <c r="F7697">
        <v>362.95</v>
      </c>
    </row>
    <row r="7698" spans="1:12">
      <c r="A7698" s="3">
        <v>44222</v>
      </c>
      <c r="B7698" s="3">
        <v>44222</v>
      </c>
      <c r="C7698">
        <v>422.05</v>
      </c>
      <c r="D7698">
        <v>1.216</v>
      </c>
      <c r="E7698">
        <v>55.91</v>
      </c>
      <c r="F7698">
        <v>361.95</v>
      </c>
    </row>
    <row r="7699" spans="1:12">
      <c r="A7699" s="3">
        <v>44223</v>
      </c>
      <c r="B7699" s="3">
        <v>44223</v>
      </c>
      <c r="C7699">
        <v>422</v>
      </c>
      <c r="D7699">
        <v>1.2111000000000001</v>
      </c>
      <c r="E7699">
        <v>55.81</v>
      </c>
      <c r="F7699">
        <v>355.75</v>
      </c>
    </row>
    <row r="7700" spans="1:12">
      <c r="A7700" s="3">
        <v>44224</v>
      </c>
      <c r="B7700" s="3">
        <v>44224</v>
      </c>
      <c r="C7700">
        <v>423.85</v>
      </c>
      <c r="D7700">
        <v>1.2121999999999999</v>
      </c>
      <c r="E7700">
        <v>55.53</v>
      </c>
      <c r="F7700">
        <v>357.8</v>
      </c>
    </row>
    <row r="7701" spans="1:12">
      <c r="A7701" s="3">
        <v>44225</v>
      </c>
      <c r="B7701" s="3">
        <v>44225</v>
      </c>
      <c r="C7701">
        <v>423.66</v>
      </c>
      <c r="D7701">
        <v>1.2136</v>
      </c>
      <c r="E7701">
        <v>55.88</v>
      </c>
      <c r="F7701">
        <v>355.6</v>
      </c>
    </row>
    <row r="7702" spans="1:12">
      <c r="A7702" s="3">
        <v>44226</v>
      </c>
      <c r="B7702" s="3">
        <v>44226</v>
      </c>
      <c r="C7702">
        <v>423.66</v>
      </c>
      <c r="D7702">
        <v>1.2136</v>
      </c>
      <c r="E7702">
        <v>55.88</v>
      </c>
      <c r="F7702">
        <v>355.6</v>
      </c>
    </row>
    <row r="7703" spans="1:12">
      <c r="A7703" s="3">
        <v>44227</v>
      </c>
      <c r="B7703" s="3">
        <v>44227</v>
      </c>
      <c r="C7703">
        <v>423.66</v>
      </c>
      <c r="D7703">
        <v>1.2136</v>
      </c>
      <c r="E7703">
        <v>55.88</v>
      </c>
      <c r="F7703">
        <v>355.6</v>
      </c>
    </row>
    <row r="7704" spans="1:12">
      <c r="A7704" s="3">
        <v>44228</v>
      </c>
      <c r="B7704" s="3">
        <v>44228</v>
      </c>
      <c r="C7704">
        <v>424.23</v>
      </c>
      <c r="D7704">
        <v>1.206</v>
      </c>
      <c r="E7704">
        <v>56.35</v>
      </c>
      <c r="F7704">
        <v>354.6</v>
      </c>
    </row>
    <row r="7705" spans="1:12">
      <c r="A7705" s="3">
        <v>44229</v>
      </c>
      <c r="B7705" s="3">
        <v>44229</v>
      </c>
      <c r="C7705">
        <v>423.33</v>
      </c>
      <c r="D7705">
        <v>1.2043999999999999</v>
      </c>
      <c r="E7705">
        <v>57.46</v>
      </c>
      <c r="F7705">
        <v>352.45</v>
      </c>
    </row>
    <row r="7706" spans="1:12">
      <c r="A7706" s="3">
        <v>44230</v>
      </c>
      <c r="B7706" s="3">
        <v>44230</v>
      </c>
      <c r="C7706">
        <v>423.52</v>
      </c>
      <c r="D7706">
        <v>1.2036</v>
      </c>
      <c r="E7706">
        <v>58.46</v>
      </c>
      <c r="F7706">
        <v>356.55</v>
      </c>
    </row>
    <row r="7707" spans="1:12">
      <c r="A7707" s="3">
        <v>44231</v>
      </c>
      <c r="B7707" s="3">
        <v>44231</v>
      </c>
      <c r="C7707">
        <v>422.1</v>
      </c>
      <c r="D7707">
        <v>1.1963999999999999</v>
      </c>
      <c r="E7707">
        <v>58.84</v>
      </c>
      <c r="F7707">
        <v>355.3</v>
      </c>
    </row>
    <row r="7708" spans="1:12">
      <c r="A7708" s="3">
        <v>44232</v>
      </c>
      <c r="B7708" s="3">
        <v>44232</v>
      </c>
      <c r="C7708">
        <v>420.36</v>
      </c>
      <c r="D7708">
        <v>1.2045999999999999</v>
      </c>
      <c r="E7708">
        <v>59.34</v>
      </c>
      <c r="F7708">
        <v>362.6</v>
      </c>
    </row>
    <row r="7709" spans="1:12">
      <c r="A7709" s="3">
        <v>44233</v>
      </c>
      <c r="B7709" s="3">
        <v>44233</v>
      </c>
      <c r="C7709">
        <v>420.36</v>
      </c>
      <c r="D7709">
        <v>1.2045999999999999</v>
      </c>
      <c r="E7709">
        <v>59.34</v>
      </c>
      <c r="F7709">
        <v>362.6</v>
      </c>
    </row>
    <row r="7710" spans="1:12">
      <c r="A7710" s="3">
        <v>44234</v>
      </c>
      <c r="B7710" s="3">
        <v>44234</v>
      </c>
      <c r="C7710">
        <v>420.36</v>
      </c>
      <c r="D7710">
        <v>1.2045999999999999</v>
      </c>
      <c r="E7710">
        <v>59.34</v>
      </c>
      <c r="F7710">
        <v>362.6</v>
      </c>
    </row>
    <row r="7711" spans="1:12">
      <c r="A7711" s="3">
        <v>44235</v>
      </c>
      <c r="B7711" s="3">
        <v>44235</v>
      </c>
      <c r="C7711">
        <v>418.42</v>
      </c>
      <c r="D7711">
        <v>1.2050000000000001</v>
      </c>
      <c r="E7711">
        <v>60.56</v>
      </c>
      <c r="F7711">
        <v>366.6</v>
      </c>
      <c r="L7711">
        <f>410/420</f>
        <v>0.97619047619047616</v>
      </c>
    </row>
    <row r="7712" spans="1:12">
      <c r="A7712" s="3">
        <v>44236</v>
      </c>
      <c r="B7712" s="3">
        <v>44236</v>
      </c>
      <c r="C7712">
        <v>418.49</v>
      </c>
      <c r="D7712">
        <v>1.2119</v>
      </c>
      <c r="E7712">
        <v>61.09</v>
      </c>
      <c r="F7712">
        <v>372</v>
      </c>
    </row>
    <row r="7713" spans="1:6">
      <c r="A7713" s="3">
        <v>44237</v>
      </c>
      <c r="B7713" s="3">
        <v>44237</v>
      </c>
      <c r="C7713">
        <v>417.69</v>
      </c>
      <c r="D7713">
        <v>1.2118</v>
      </c>
      <c r="E7713">
        <v>61.47</v>
      </c>
      <c r="F7713">
        <v>377.25</v>
      </c>
    </row>
    <row r="7714" spans="1:6">
      <c r="A7714" s="3">
        <v>44238</v>
      </c>
      <c r="B7714" s="3">
        <v>44238</v>
      </c>
      <c r="C7714">
        <v>417.49</v>
      </c>
      <c r="D7714">
        <v>1.2130000000000001</v>
      </c>
      <c r="E7714">
        <v>61.14</v>
      </c>
      <c r="F7714">
        <v>377.15</v>
      </c>
    </row>
    <row r="7715" spans="1:6">
      <c r="A7715" s="3">
        <v>44239</v>
      </c>
      <c r="B7715" s="3">
        <v>44239</v>
      </c>
      <c r="C7715">
        <v>418.7</v>
      </c>
      <c r="D7715">
        <v>1.212</v>
      </c>
      <c r="E7715">
        <v>62.43</v>
      </c>
      <c r="F7715">
        <v>378.8</v>
      </c>
    </row>
    <row r="7716" spans="1:6">
      <c r="A7716" s="3">
        <v>44240</v>
      </c>
      <c r="B7716" s="3">
        <v>44240</v>
      </c>
      <c r="C7716">
        <v>418.7</v>
      </c>
      <c r="D7716">
        <v>1.212</v>
      </c>
      <c r="E7716">
        <v>62.43</v>
      </c>
      <c r="F7716">
        <v>378.8</v>
      </c>
    </row>
    <row r="7717" spans="1:6">
      <c r="A7717" s="3">
        <v>44241</v>
      </c>
      <c r="B7717" s="3">
        <v>44241</v>
      </c>
      <c r="C7717">
        <v>418.7</v>
      </c>
      <c r="D7717">
        <v>1.212</v>
      </c>
      <c r="E7717">
        <v>62.43</v>
      </c>
      <c r="F7717">
        <v>378.8</v>
      </c>
    </row>
    <row r="7718" spans="1:6">
      <c r="A7718" s="3">
        <v>44242</v>
      </c>
      <c r="B7718" s="3">
        <v>44242</v>
      </c>
      <c r="C7718">
        <v>416.69</v>
      </c>
      <c r="D7718">
        <v>1.2129000000000001</v>
      </c>
      <c r="E7718">
        <v>63.3</v>
      </c>
      <c r="F7718">
        <v>378.8</v>
      </c>
    </row>
    <row r="7719" spans="1:6">
      <c r="A7719" s="3">
        <v>44243</v>
      </c>
      <c r="B7719" s="3">
        <v>44243</v>
      </c>
      <c r="C7719">
        <v>416.55</v>
      </c>
      <c r="D7719">
        <v>1.2105999999999999</v>
      </c>
      <c r="E7719">
        <v>63.35</v>
      </c>
      <c r="F7719">
        <v>383.4</v>
      </c>
    </row>
    <row r="7720" spans="1:6">
      <c r="A7720" s="3">
        <v>44244</v>
      </c>
      <c r="B7720" s="3">
        <v>44244</v>
      </c>
      <c r="C7720">
        <v>416.65</v>
      </c>
      <c r="D7720">
        <v>1.2038</v>
      </c>
      <c r="E7720">
        <v>64.34</v>
      </c>
      <c r="F7720">
        <v>382.05</v>
      </c>
    </row>
    <row r="7721" spans="1:6">
      <c r="A7721" s="3">
        <v>44245</v>
      </c>
      <c r="B7721" s="3">
        <v>44245</v>
      </c>
      <c r="C7721">
        <v>416.35</v>
      </c>
      <c r="D7721">
        <v>1.2092000000000001</v>
      </c>
      <c r="E7721">
        <v>63.93</v>
      </c>
      <c r="F7721">
        <v>390.1</v>
      </c>
    </row>
    <row r="7722" spans="1:6">
      <c r="A7722" s="3">
        <v>44246</v>
      </c>
      <c r="B7722" s="3">
        <v>44246</v>
      </c>
      <c r="C7722">
        <v>417.11</v>
      </c>
      <c r="D7722">
        <v>1.2119</v>
      </c>
      <c r="E7722">
        <v>62.91</v>
      </c>
      <c r="F7722">
        <v>407.4</v>
      </c>
    </row>
    <row r="7723" spans="1:6">
      <c r="A7723" s="3">
        <v>44247</v>
      </c>
      <c r="B7723" s="3">
        <v>44247</v>
      </c>
      <c r="C7723">
        <v>417.11</v>
      </c>
      <c r="D7723">
        <v>1.2119</v>
      </c>
      <c r="E7723">
        <v>62.91</v>
      </c>
      <c r="F7723">
        <v>407.4</v>
      </c>
    </row>
    <row r="7724" spans="1:6">
      <c r="A7724" s="3">
        <v>44248</v>
      </c>
      <c r="B7724" s="3">
        <v>44248</v>
      </c>
      <c r="C7724">
        <v>417.11</v>
      </c>
      <c r="D7724">
        <v>1.2119</v>
      </c>
      <c r="E7724">
        <v>62.91</v>
      </c>
      <c r="F7724">
        <v>407.4</v>
      </c>
    </row>
    <row r="7725" spans="1:6">
      <c r="A7725" s="3">
        <v>44249</v>
      </c>
      <c r="B7725" s="3">
        <v>44249</v>
      </c>
      <c r="C7725">
        <v>416.72</v>
      </c>
      <c r="D7725">
        <v>1.2157</v>
      </c>
      <c r="E7725">
        <v>65.239999999999995</v>
      </c>
      <c r="F7725">
        <v>414.1</v>
      </c>
    </row>
    <row r="7726" spans="1:6">
      <c r="A7726" s="3">
        <v>44250</v>
      </c>
      <c r="B7726" s="3">
        <v>44250</v>
      </c>
      <c r="C7726">
        <v>414.95</v>
      </c>
      <c r="D7726">
        <v>1.2150000000000001</v>
      </c>
      <c r="E7726">
        <v>65.37</v>
      </c>
      <c r="F7726">
        <v>417.85</v>
      </c>
    </row>
    <row r="7727" spans="1:6">
      <c r="A7727" s="3">
        <v>44251</v>
      </c>
      <c r="B7727" s="3">
        <v>44251</v>
      </c>
      <c r="C7727">
        <v>415.4</v>
      </c>
      <c r="D7727">
        <v>1.2165999999999999</v>
      </c>
      <c r="E7727">
        <v>67.040000000000006</v>
      </c>
      <c r="F7727">
        <v>429.45</v>
      </c>
    </row>
    <row r="7728" spans="1:6">
      <c r="A7728" s="3">
        <v>44252</v>
      </c>
      <c r="B7728" s="3">
        <v>44252</v>
      </c>
      <c r="C7728">
        <v>415.18</v>
      </c>
      <c r="D7728">
        <v>1.2175</v>
      </c>
      <c r="E7728">
        <v>66.88</v>
      </c>
      <c r="F7728">
        <v>426.6</v>
      </c>
    </row>
    <row r="7729" spans="1:6">
      <c r="A7729" s="3">
        <v>44253</v>
      </c>
      <c r="B7729" s="3">
        <v>44253</v>
      </c>
      <c r="C7729">
        <v>417.62</v>
      </c>
      <c r="D7729">
        <v>1.2075</v>
      </c>
      <c r="E7729">
        <v>66.13</v>
      </c>
      <c r="F7729">
        <v>409.45</v>
      </c>
    </row>
    <row r="7730" spans="1:6">
      <c r="A7730" s="3">
        <v>44254</v>
      </c>
      <c r="B7730" s="3">
        <v>44254</v>
      </c>
      <c r="C7730">
        <v>417.62</v>
      </c>
      <c r="D7730">
        <v>1.2075</v>
      </c>
      <c r="E7730">
        <v>66.13</v>
      </c>
      <c r="F7730">
        <v>409.45</v>
      </c>
    </row>
    <row r="7731" spans="1:6">
      <c r="A7731" s="3">
        <v>44255</v>
      </c>
      <c r="B7731" s="3">
        <v>44255</v>
      </c>
      <c r="C7731">
        <v>417.62</v>
      </c>
      <c r="D7731">
        <v>1.2075</v>
      </c>
      <c r="E7731">
        <v>66.13</v>
      </c>
      <c r="F7731">
        <v>409.45</v>
      </c>
    </row>
    <row r="7732" spans="1:6">
      <c r="A7732" s="3">
        <v>44256</v>
      </c>
      <c r="B7732" s="3">
        <v>44256</v>
      </c>
      <c r="C7732">
        <v>418.14</v>
      </c>
      <c r="D7732">
        <v>1.2049000000000001</v>
      </c>
      <c r="E7732">
        <v>63.69</v>
      </c>
      <c r="F7732">
        <v>411.95</v>
      </c>
    </row>
    <row r="7733" spans="1:6">
      <c r="A7733" s="3">
        <v>44257</v>
      </c>
      <c r="B7733" s="3">
        <v>44257</v>
      </c>
      <c r="C7733">
        <v>419.74</v>
      </c>
      <c r="D7733">
        <v>1.2091000000000001</v>
      </c>
      <c r="E7733">
        <v>62.7</v>
      </c>
      <c r="F7733">
        <v>423.15</v>
      </c>
    </row>
    <row r="7734" spans="1:6">
      <c r="A7734" s="3">
        <v>44258</v>
      </c>
      <c r="B7734" s="3">
        <v>44258</v>
      </c>
      <c r="C7734">
        <v>419.68</v>
      </c>
      <c r="D7734">
        <v>1.2062999999999999</v>
      </c>
      <c r="E7734">
        <v>64.069999999999993</v>
      </c>
      <c r="F7734">
        <v>415.3</v>
      </c>
    </row>
    <row r="7735" spans="1:6">
      <c r="A7735" s="3">
        <v>44259</v>
      </c>
      <c r="B7735" s="3">
        <v>44259</v>
      </c>
      <c r="C7735">
        <v>420.04</v>
      </c>
      <c r="D7735">
        <v>1.1969000000000001</v>
      </c>
      <c r="E7735">
        <v>66.739999999999995</v>
      </c>
      <c r="F7735">
        <v>399.1</v>
      </c>
    </row>
    <row r="7736" spans="1:6">
      <c r="A7736" s="3">
        <v>44260</v>
      </c>
      <c r="B7736" s="3">
        <v>44260</v>
      </c>
      <c r="C7736">
        <v>419.8</v>
      </c>
      <c r="D7736">
        <v>1.1915</v>
      </c>
      <c r="E7736">
        <v>69.36</v>
      </c>
      <c r="F7736">
        <v>408.7</v>
      </c>
    </row>
    <row r="7737" spans="1:6">
      <c r="A7737" s="3">
        <v>44261</v>
      </c>
      <c r="B7737" s="3">
        <v>44261</v>
      </c>
      <c r="C7737">
        <v>419.8</v>
      </c>
      <c r="D7737">
        <v>1.1915</v>
      </c>
      <c r="E7737">
        <v>69.36</v>
      </c>
      <c r="F7737">
        <v>408.7</v>
      </c>
    </row>
    <row r="7738" spans="1:6">
      <c r="A7738" s="3">
        <v>44262</v>
      </c>
      <c r="B7738" s="3">
        <v>44262</v>
      </c>
      <c r="C7738">
        <v>419.8</v>
      </c>
      <c r="D7738">
        <v>1.1915</v>
      </c>
      <c r="E7738">
        <v>69.36</v>
      </c>
      <c r="F7738">
        <v>408.7</v>
      </c>
    </row>
    <row r="7739" spans="1:6">
      <c r="A7739" s="3">
        <v>44263</v>
      </c>
      <c r="B7739" s="3">
        <v>44263</v>
      </c>
      <c r="C7739">
        <v>419.93</v>
      </c>
      <c r="D7739">
        <v>1.1847000000000001</v>
      </c>
      <c r="E7739">
        <v>68.239999999999995</v>
      </c>
      <c r="F7739">
        <v>410.35</v>
      </c>
    </row>
    <row r="7740" spans="1:6">
      <c r="A7740" s="3">
        <v>44264</v>
      </c>
      <c r="B7740" s="3">
        <v>44264</v>
      </c>
      <c r="C7740">
        <v>419.64</v>
      </c>
      <c r="D7740">
        <v>1.1900999999999999</v>
      </c>
      <c r="E7740">
        <v>67.52</v>
      </c>
      <c r="F7740">
        <v>401.95</v>
      </c>
    </row>
    <row r="7741" spans="1:6">
      <c r="A7741" s="3">
        <v>44265</v>
      </c>
      <c r="B7741" s="3">
        <v>44265</v>
      </c>
      <c r="C7741">
        <v>420.15</v>
      </c>
      <c r="D7741">
        <v>1.1929000000000001</v>
      </c>
      <c r="E7741">
        <v>67.900000000000006</v>
      </c>
      <c r="F7741">
        <v>404.2</v>
      </c>
    </row>
    <row r="7742" spans="1:6">
      <c r="A7742" s="3">
        <v>44266</v>
      </c>
      <c r="B7742" s="3">
        <v>44266</v>
      </c>
      <c r="C7742">
        <v>419.2</v>
      </c>
      <c r="D7742">
        <v>1.1986000000000001</v>
      </c>
      <c r="E7742">
        <v>69.63</v>
      </c>
      <c r="F7742">
        <v>414.3</v>
      </c>
    </row>
    <row r="7743" spans="1:6">
      <c r="A7743" s="3">
        <v>44267</v>
      </c>
      <c r="B7743" s="3">
        <v>44267</v>
      </c>
      <c r="C7743">
        <v>418.93</v>
      </c>
      <c r="D7743">
        <v>1.1953</v>
      </c>
      <c r="E7743">
        <v>69.22</v>
      </c>
      <c r="F7743">
        <v>414.55</v>
      </c>
    </row>
    <row r="7744" spans="1:6">
      <c r="A7744" s="3">
        <v>44268</v>
      </c>
      <c r="B7744" s="3">
        <v>44268</v>
      </c>
      <c r="C7744">
        <v>418.93</v>
      </c>
      <c r="D7744">
        <v>1.1953</v>
      </c>
      <c r="E7744">
        <v>69.22</v>
      </c>
      <c r="F7744">
        <v>414.55</v>
      </c>
    </row>
    <row r="7745" spans="1:6">
      <c r="A7745" s="3">
        <v>44269</v>
      </c>
      <c r="B7745" s="3">
        <v>44269</v>
      </c>
      <c r="C7745">
        <v>418.93</v>
      </c>
      <c r="D7745">
        <v>1.1953</v>
      </c>
      <c r="E7745">
        <v>69.22</v>
      </c>
      <c r="F7745">
        <v>414.55</v>
      </c>
    </row>
    <row r="7746" spans="1:6">
      <c r="A7746" s="3">
        <v>44270</v>
      </c>
      <c r="B7746" s="3">
        <v>44270</v>
      </c>
      <c r="C7746">
        <v>418.66</v>
      </c>
      <c r="D7746">
        <v>1.1929000000000001</v>
      </c>
      <c r="E7746">
        <v>68.88</v>
      </c>
      <c r="F7746">
        <v>414.65</v>
      </c>
    </row>
    <row r="7747" spans="1:6">
      <c r="A7747" s="3">
        <v>44271</v>
      </c>
      <c r="B7747" s="3">
        <v>44271</v>
      </c>
      <c r="C7747">
        <v>418.85</v>
      </c>
      <c r="D7747">
        <v>1.1902999999999999</v>
      </c>
      <c r="E7747">
        <v>68.39</v>
      </c>
      <c r="F7747">
        <v>407.9</v>
      </c>
    </row>
    <row r="7748" spans="1:6">
      <c r="A7748" s="3">
        <v>44272</v>
      </c>
      <c r="B7748" s="3">
        <v>44272</v>
      </c>
      <c r="C7748">
        <v>419.01</v>
      </c>
      <c r="D7748">
        <v>1.1979</v>
      </c>
      <c r="E7748">
        <v>68</v>
      </c>
      <c r="F7748">
        <v>412.8</v>
      </c>
    </row>
    <row r="7749" spans="1:6">
      <c r="A7749" s="3">
        <v>44273</v>
      </c>
      <c r="B7749" s="3">
        <v>44273</v>
      </c>
      <c r="C7749">
        <v>419.12</v>
      </c>
      <c r="D7749">
        <v>1.1915</v>
      </c>
      <c r="E7749">
        <v>63.28</v>
      </c>
      <c r="F7749">
        <v>411.7</v>
      </c>
    </row>
    <row r="7750" spans="1:6">
      <c r="A7750" s="3">
        <v>44274</v>
      </c>
      <c r="B7750" s="3">
        <v>44274</v>
      </c>
      <c r="C7750">
        <v>420.76</v>
      </c>
      <c r="D7750">
        <v>1.1903999999999999</v>
      </c>
      <c r="E7750">
        <v>64.53</v>
      </c>
      <c r="F7750">
        <v>412.35</v>
      </c>
    </row>
    <row r="7751" spans="1:6">
      <c r="A7751" s="3">
        <v>44275</v>
      </c>
      <c r="B7751" s="3">
        <v>44275</v>
      </c>
      <c r="C7751">
        <v>420.76</v>
      </c>
      <c r="D7751">
        <v>1.1903999999999999</v>
      </c>
      <c r="E7751">
        <v>64.53</v>
      </c>
      <c r="F7751">
        <v>412.35</v>
      </c>
    </row>
    <row r="7752" spans="1:6">
      <c r="A7752" s="3">
        <v>44276</v>
      </c>
      <c r="B7752" s="3">
        <v>44276</v>
      </c>
      <c r="C7752">
        <v>420.76</v>
      </c>
      <c r="D7752">
        <v>1.1903999999999999</v>
      </c>
      <c r="E7752">
        <v>64.53</v>
      </c>
      <c r="F7752">
        <v>412.35</v>
      </c>
    </row>
    <row r="7753" spans="1:6">
      <c r="A7753" s="3">
        <v>44277</v>
      </c>
      <c r="B7753" s="3">
        <v>44277</v>
      </c>
      <c r="C7753">
        <v>420.79</v>
      </c>
      <c r="D7753">
        <v>1.1933</v>
      </c>
      <c r="E7753">
        <v>64.62</v>
      </c>
      <c r="F7753">
        <v>414.9</v>
      </c>
    </row>
    <row r="7754" spans="1:6">
      <c r="A7754" s="3">
        <v>44278</v>
      </c>
      <c r="B7754" s="3">
        <v>44278</v>
      </c>
      <c r="C7754">
        <v>420.83</v>
      </c>
      <c r="D7754">
        <v>1.1849000000000001</v>
      </c>
      <c r="E7754">
        <v>60.79</v>
      </c>
      <c r="F7754">
        <v>408.8</v>
      </c>
    </row>
    <row r="7755" spans="1:6">
      <c r="A7755" s="3">
        <v>44279</v>
      </c>
      <c r="B7755" s="3">
        <v>44279</v>
      </c>
      <c r="C7755">
        <v>420.83</v>
      </c>
      <c r="D7755">
        <v>1.1813</v>
      </c>
      <c r="E7755">
        <v>64.41</v>
      </c>
      <c r="F7755">
        <v>407.15</v>
      </c>
    </row>
    <row r="7756" spans="1:6">
      <c r="A7756" s="3">
        <v>44280</v>
      </c>
      <c r="B7756" s="3">
        <v>44280</v>
      </c>
      <c r="C7756">
        <v>424.1</v>
      </c>
      <c r="D7756">
        <v>1.1763999999999999</v>
      </c>
      <c r="E7756">
        <v>61.95</v>
      </c>
      <c r="F7756">
        <v>398.5</v>
      </c>
    </row>
    <row r="7757" spans="1:6">
      <c r="A7757" s="3">
        <v>44281</v>
      </c>
      <c r="B7757" s="3">
        <v>44281</v>
      </c>
      <c r="C7757">
        <v>424.27</v>
      </c>
      <c r="D7757">
        <v>1.1794</v>
      </c>
      <c r="E7757">
        <v>64.569999999999993</v>
      </c>
      <c r="F7757">
        <v>407.85</v>
      </c>
    </row>
    <row r="7758" spans="1:6">
      <c r="A7758" s="3">
        <v>44282</v>
      </c>
      <c r="B7758" s="3">
        <v>44282</v>
      </c>
      <c r="C7758">
        <v>424.27</v>
      </c>
      <c r="D7758">
        <v>1.1794</v>
      </c>
      <c r="E7758">
        <v>64.569999999999993</v>
      </c>
      <c r="F7758">
        <v>407.85</v>
      </c>
    </row>
    <row r="7759" spans="1:6">
      <c r="A7759" s="3">
        <v>44283</v>
      </c>
      <c r="B7759" s="3">
        <v>44283</v>
      </c>
      <c r="C7759">
        <v>424.27</v>
      </c>
      <c r="D7759">
        <v>1.1794</v>
      </c>
      <c r="E7759">
        <v>64.569999999999993</v>
      </c>
      <c r="F7759">
        <v>407.85</v>
      </c>
    </row>
    <row r="7760" spans="1:6">
      <c r="A7760" s="3">
        <v>44284</v>
      </c>
      <c r="B7760" s="3">
        <v>44284</v>
      </c>
      <c r="C7760">
        <v>424.15</v>
      </c>
      <c r="D7760">
        <v>1.1765000000000001</v>
      </c>
      <c r="E7760">
        <v>64.98</v>
      </c>
      <c r="F7760">
        <v>404.3</v>
      </c>
    </row>
    <row r="7761" spans="1:6">
      <c r="A7761" s="3">
        <v>44285</v>
      </c>
      <c r="B7761" s="3">
        <v>44285</v>
      </c>
      <c r="C7761">
        <v>424.93</v>
      </c>
      <c r="D7761">
        <v>1.1717</v>
      </c>
      <c r="E7761">
        <v>64.14</v>
      </c>
      <c r="F7761">
        <v>397.85</v>
      </c>
    </row>
    <row r="7762" spans="1:6">
      <c r="A7762" s="3">
        <v>44286</v>
      </c>
      <c r="B7762" s="3">
        <v>44286</v>
      </c>
      <c r="C7762">
        <v>425.61</v>
      </c>
      <c r="D7762">
        <v>1.173</v>
      </c>
      <c r="E7762">
        <v>63.54</v>
      </c>
      <c r="F7762">
        <v>399.55</v>
      </c>
    </row>
    <row r="7763" spans="1:6">
      <c r="A7763" s="3">
        <v>44287</v>
      </c>
      <c r="B7763" s="3">
        <v>44287</v>
      </c>
      <c r="C7763">
        <v>427.33</v>
      </c>
      <c r="D7763">
        <v>1.1777</v>
      </c>
      <c r="E7763">
        <v>64.86</v>
      </c>
      <c r="F7763">
        <v>399.05</v>
      </c>
    </row>
    <row r="7764" spans="1:6">
      <c r="A7764" s="3">
        <v>44288</v>
      </c>
      <c r="B7764" s="3">
        <v>44288</v>
      </c>
      <c r="C7764">
        <v>427.04</v>
      </c>
      <c r="D7764">
        <v>1.1758999999999999</v>
      </c>
      <c r="E7764">
        <v>64.86</v>
      </c>
      <c r="F7764">
        <v>399.05</v>
      </c>
    </row>
    <row r="7765" spans="1:6">
      <c r="A7765" s="3">
        <v>44289</v>
      </c>
      <c r="B7765" s="3">
        <v>44289</v>
      </c>
      <c r="C7765">
        <v>427.04</v>
      </c>
      <c r="D7765">
        <v>1.1758999999999999</v>
      </c>
      <c r="E7765">
        <v>64.86</v>
      </c>
      <c r="F7765">
        <v>399.05</v>
      </c>
    </row>
    <row r="7766" spans="1:6">
      <c r="A7766" s="3">
        <v>44290</v>
      </c>
      <c r="B7766" s="3">
        <v>44290</v>
      </c>
      <c r="C7766">
        <v>427.04</v>
      </c>
      <c r="D7766">
        <v>1.1758999999999999</v>
      </c>
      <c r="E7766">
        <v>64.86</v>
      </c>
      <c r="F7766">
        <v>399.05</v>
      </c>
    </row>
    <row r="7767" spans="1:6">
      <c r="A7767" s="3">
        <v>44291</v>
      </c>
      <c r="B7767" s="3">
        <v>44291</v>
      </c>
      <c r="C7767">
        <v>427.89</v>
      </c>
      <c r="D7767">
        <v>1.1813</v>
      </c>
      <c r="E7767">
        <v>62.15</v>
      </c>
      <c r="F7767">
        <v>413.75</v>
      </c>
    </row>
    <row r="7768" spans="1:6">
      <c r="A7768" s="3">
        <v>44292</v>
      </c>
      <c r="B7768" s="3">
        <v>44292</v>
      </c>
      <c r="C7768">
        <v>429.59</v>
      </c>
      <c r="D7768">
        <v>1.1876</v>
      </c>
      <c r="E7768">
        <v>62.74</v>
      </c>
      <c r="F7768">
        <v>411.65</v>
      </c>
    </row>
    <row r="7769" spans="1:6">
      <c r="A7769" s="3">
        <v>44293</v>
      </c>
      <c r="B7769" s="3">
        <v>44293</v>
      </c>
      <c r="C7769">
        <v>432.16</v>
      </c>
      <c r="D7769">
        <v>1.1868000000000001</v>
      </c>
      <c r="E7769">
        <v>63.16</v>
      </c>
      <c r="F7769">
        <v>405.45</v>
      </c>
    </row>
    <row r="7770" spans="1:6">
      <c r="A7770" s="3">
        <v>44294</v>
      </c>
      <c r="B7770" s="3">
        <v>44294</v>
      </c>
      <c r="C7770">
        <v>433.49</v>
      </c>
      <c r="D7770">
        <v>1.1914</v>
      </c>
      <c r="E7770">
        <v>63.2</v>
      </c>
      <c r="F7770">
        <v>409.45</v>
      </c>
    </row>
    <row r="7771" spans="1:6">
      <c r="A7771" s="3">
        <v>44295</v>
      </c>
      <c r="B7771" s="3">
        <v>44295</v>
      </c>
      <c r="C7771">
        <v>433.1</v>
      </c>
      <c r="D7771">
        <v>1.1899</v>
      </c>
      <c r="E7771">
        <v>62.95</v>
      </c>
      <c r="F7771">
        <v>404</v>
      </c>
    </row>
    <row r="7772" spans="1:6">
      <c r="A7772" s="3">
        <v>44296</v>
      </c>
      <c r="B7772" s="3">
        <v>44296</v>
      </c>
      <c r="C7772">
        <v>433.1</v>
      </c>
      <c r="D7772">
        <v>1.1899</v>
      </c>
      <c r="E7772">
        <v>62.95</v>
      </c>
      <c r="F7772">
        <v>404</v>
      </c>
    </row>
    <row r="7773" spans="1:6">
      <c r="A7773" s="3">
        <v>44297</v>
      </c>
      <c r="B7773" s="3">
        <v>44297</v>
      </c>
      <c r="C7773">
        <v>433.1</v>
      </c>
      <c r="D7773">
        <v>1.1899</v>
      </c>
      <c r="E7773">
        <v>62.95</v>
      </c>
      <c r="F7773">
        <v>404</v>
      </c>
    </row>
    <row r="7774" spans="1:6">
      <c r="A7774" s="3">
        <v>44298</v>
      </c>
      <c r="B7774" s="3">
        <v>44298</v>
      </c>
      <c r="C7774">
        <v>433.11</v>
      </c>
      <c r="D7774">
        <v>1.1911</v>
      </c>
      <c r="E7774">
        <v>63.28</v>
      </c>
      <c r="F7774">
        <v>401.85</v>
      </c>
    </row>
    <row r="7775" spans="1:6">
      <c r="A7775" s="3">
        <v>44299</v>
      </c>
      <c r="B7775" s="3">
        <v>44299</v>
      </c>
      <c r="C7775">
        <v>433.6</v>
      </c>
      <c r="D7775">
        <v>1.1948000000000001</v>
      </c>
      <c r="E7775">
        <v>63.67</v>
      </c>
      <c r="F7775">
        <v>403.15</v>
      </c>
    </row>
    <row r="7776" spans="1:6">
      <c r="A7776" s="3">
        <v>44300</v>
      </c>
      <c r="B7776" s="3">
        <v>44300</v>
      </c>
      <c r="C7776">
        <v>430.86</v>
      </c>
      <c r="D7776">
        <v>1.198</v>
      </c>
      <c r="E7776">
        <v>66.58</v>
      </c>
      <c r="F7776">
        <v>412.85</v>
      </c>
    </row>
    <row r="7777" spans="1:6">
      <c r="A7777" s="3">
        <v>44301</v>
      </c>
      <c r="B7777" s="3">
        <v>44301</v>
      </c>
      <c r="C7777">
        <v>431.73</v>
      </c>
      <c r="D7777">
        <v>1.1967000000000001</v>
      </c>
      <c r="E7777">
        <v>66.94</v>
      </c>
      <c r="F7777">
        <v>421.85</v>
      </c>
    </row>
    <row r="7778" spans="1:6">
      <c r="A7778" s="3">
        <v>44302</v>
      </c>
      <c r="B7778" s="3">
        <v>44302</v>
      </c>
      <c r="C7778">
        <v>430.12</v>
      </c>
      <c r="D7778">
        <v>1.1982999999999999</v>
      </c>
      <c r="E7778">
        <v>66.77</v>
      </c>
      <c r="F7778">
        <v>416.8</v>
      </c>
    </row>
    <row r="7779" spans="1:6">
      <c r="A7779" s="3">
        <v>44303</v>
      </c>
      <c r="B7779" s="3">
        <v>44303</v>
      </c>
      <c r="C7779">
        <v>430.12</v>
      </c>
      <c r="D7779">
        <v>1.1982999999999999</v>
      </c>
      <c r="E7779">
        <v>66.77</v>
      </c>
      <c r="F7779">
        <v>416.8</v>
      </c>
    </row>
    <row r="7780" spans="1:6">
      <c r="A7780" s="3">
        <v>44304</v>
      </c>
      <c r="B7780" s="3">
        <v>44304</v>
      </c>
      <c r="C7780">
        <v>430.12</v>
      </c>
      <c r="D7780">
        <v>1.1982999999999999</v>
      </c>
      <c r="E7780">
        <v>66.77</v>
      </c>
      <c r="F7780">
        <v>416.8</v>
      </c>
    </row>
    <row r="7781" spans="1:6">
      <c r="A7781" s="3">
        <v>44305</v>
      </c>
      <c r="B7781" s="3">
        <v>44305</v>
      </c>
      <c r="C7781">
        <v>430.61</v>
      </c>
      <c r="D7781">
        <v>1.2037</v>
      </c>
      <c r="E7781">
        <v>67.05</v>
      </c>
      <c r="F7781">
        <v>423.8</v>
      </c>
    </row>
    <row r="7782" spans="1:6">
      <c r="A7782" s="3">
        <v>44306</v>
      </c>
      <c r="B7782" s="3">
        <v>44306</v>
      </c>
      <c r="C7782">
        <v>430.48</v>
      </c>
      <c r="D7782">
        <v>1.2036</v>
      </c>
      <c r="E7782">
        <v>66.569999999999993</v>
      </c>
      <c r="F7782">
        <v>421.3</v>
      </c>
    </row>
    <row r="7783" spans="1:6">
      <c r="A7783" s="3">
        <v>44307</v>
      </c>
      <c r="B7783" s="3">
        <v>44307</v>
      </c>
      <c r="C7783">
        <v>431.83</v>
      </c>
      <c r="D7783">
        <v>1.2035</v>
      </c>
      <c r="E7783">
        <v>65.319999999999993</v>
      </c>
      <c r="F7783">
        <v>427.9</v>
      </c>
    </row>
    <row r="7784" spans="1:6">
      <c r="A7784" s="3">
        <v>44308</v>
      </c>
      <c r="B7784" s="3">
        <v>44308</v>
      </c>
      <c r="C7784">
        <v>431.78</v>
      </c>
      <c r="D7784">
        <v>1.2015</v>
      </c>
      <c r="E7784">
        <v>65.400000000000006</v>
      </c>
      <c r="F7784">
        <v>427.3</v>
      </c>
    </row>
    <row r="7785" spans="1:6">
      <c r="A7785" s="3">
        <v>44309</v>
      </c>
      <c r="B7785" s="3">
        <v>44309</v>
      </c>
      <c r="C7785">
        <v>430.3</v>
      </c>
      <c r="D7785">
        <v>1.2097</v>
      </c>
      <c r="E7785">
        <v>66.11</v>
      </c>
      <c r="F7785">
        <v>433.6</v>
      </c>
    </row>
    <row r="7786" spans="1:6">
      <c r="A7786" s="3">
        <v>44310</v>
      </c>
      <c r="B7786" s="3">
        <v>44310</v>
      </c>
      <c r="C7786">
        <v>430.3</v>
      </c>
      <c r="D7786">
        <v>1.2097</v>
      </c>
      <c r="E7786">
        <v>66.11</v>
      </c>
      <c r="F7786">
        <v>433.6</v>
      </c>
    </row>
    <row r="7787" spans="1:6">
      <c r="A7787" s="3">
        <v>44311</v>
      </c>
      <c r="B7787" s="3">
        <v>44311</v>
      </c>
      <c r="C7787">
        <v>430.3</v>
      </c>
      <c r="D7787">
        <v>1.2097</v>
      </c>
      <c r="E7787">
        <v>66.11</v>
      </c>
      <c r="F7787">
        <v>433.6</v>
      </c>
    </row>
    <row r="7788" spans="1:6">
      <c r="A7788" s="3">
        <v>44312</v>
      </c>
      <c r="B7788" s="3">
        <v>44312</v>
      </c>
      <c r="C7788">
        <v>430.23</v>
      </c>
      <c r="D7788">
        <v>1.2085999999999999</v>
      </c>
      <c r="E7788">
        <v>65.650000000000006</v>
      </c>
      <c r="F7788">
        <v>444.1</v>
      </c>
    </row>
    <row r="7789" spans="1:6">
      <c r="A7789" s="3">
        <v>44313</v>
      </c>
      <c r="B7789" s="3">
        <v>44313</v>
      </c>
      <c r="C7789">
        <v>429.53</v>
      </c>
      <c r="D7789">
        <v>1.2091000000000001</v>
      </c>
      <c r="E7789">
        <v>66.42</v>
      </c>
      <c r="F7789">
        <v>448.8</v>
      </c>
    </row>
    <row r="7790" spans="1:6">
      <c r="A7790" s="3">
        <v>44314</v>
      </c>
      <c r="B7790" s="3">
        <v>44314</v>
      </c>
      <c r="C7790">
        <v>428.88</v>
      </c>
      <c r="D7790">
        <v>1.2125999999999999</v>
      </c>
      <c r="E7790">
        <v>67.27</v>
      </c>
      <c r="F7790">
        <v>449.8</v>
      </c>
    </row>
    <row r="7791" spans="1:6">
      <c r="A7791" s="3">
        <v>44315</v>
      </c>
      <c r="B7791" s="3">
        <v>44315</v>
      </c>
      <c r="C7791">
        <v>428.01</v>
      </c>
      <c r="D7791">
        <v>1.2121</v>
      </c>
      <c r="E7791">
        <v>68.56</v>
      </c>
      <c r="F7791">
        <v>449.3</v>
      </c>
    </row>
    <row r="7792" spans="1:6">
      <c r="A7792" s="3">
        <v>44316</v>
      </c>
      <c r="B7792" s="3">
        <v>44316</v>
      </c>
      <c r="C7792">
        <v>429.79</v>
      </c>
      <c r="D7792">
        <v>1.202</v>
      </c>
      <c r="E7792">
        <v>67.25</v>
      </c>
      <c r="F7792">
        <v>447.9</v>
      </c>
    </row>
    <row r="7793" spans="1:6">
      <c r="A7793" s="3">
        <v>44317</v>
      </c>
      <c r="B7793" s="3">
        <v>44317</v>
      </c>
      <c r="C7793">
        <v>429.79</v>
      </c>
      <c r="D7793">
        <v>1.202</v>
      </c>
      <c r="E7793">
        <v>67.25</v>
      </c>
      <c r="F7793">
        <v>447.9</v>
      </c>
    </row>
    <row r="7794" spans="1:6">
      <c r="A7794" s="3">
        <v>44318</v>
      </c>
      <c r="B7794" s="3">
        <v>44318</v>
      </c>
      <c r="C7794">
        <v>429.79</v>
      </c>
      <c r="D7794">
        <v>1.202</v>
      </c>
      <c r="E7794">
        <v>67.25</v>
      </c>
      <c r="F7794">
        <v>447.9</v>
      </c>
    </row>
    <row r="7795" spans="1:6">
      <c r="A7795" s="3">
        <v>44319</v>
      </c>
      <c r="B7795" s="3">
        <v>44319</v>
      </c>
      <c r="C7795">
        <v>429.74</v>
      </c>
      <c r="D7795">
        <v>1.2063999999999999</v>
      </c>
      <c r="E7795">
        <v>67.56</v>
      </c>
      <c r="F7795">
        <v>454.3</v>
      </c>
    </row>
    <row r="7796" spans="1:6">
      <c r="A7796" s="3">
        <v>44320</v>
      </c>
      <c r="B7796" s="3">
        <v>44320</v>
      </c>
      <c r="C7796">
        <v>428.05</v>
      </c>
      <c r="D7796">
        <v>1.2014</v>
      </c>
      <c r="E7796">
        <v>68.88</v>
      </c>
      <c r="F7796">
        <v>453.6</v>
      </c>
    </row>
    <row r="7797" spans="1:6">
      <c r="A7797" s="3">
        <v>44321</v>
      </c>
      <c r="B7797" s="3">
        <v>44321</v>
      </c>
      <c r="C7797">
        <v>426.34</v>
      </c>
      <c r="D7797">
        <v>1.2004999999999999</v>
      </c>
      <c r="E7797">
        <v>68.959999999999994</v>
      </c>
      <c r="F7797">
        <v>453.9</v>
      </c>
    </row>
    <row r="7798" spans="1:6">
      <c r="A7798" s="3">
        <v>44322</v>
      </c>
      <c r="B7798" s="3">
        <v>44322</v>
      </c>
      <c r="C7798">
        <v>426.56</v>
      </c>
      <c r="D7798">
        <v>1.2064999999999999</v>
      </c>
      <c r="E7798">
        <v>68.09</v>
      </c>
      <c r="F7798">
        <v>461.9</v>
      </c>
    </row>
    <row r="7799" spans="1:6">
      <c r="A7799" s="3">
        <v>44323</v>
      </c>
      <c r="B7799" s="3">
        <v>44323</v>
      </c>
      <c r="C7799">
        <v>426.32</v>
      </c>
      <c r="D7799">
        <v>1.2165999999999999</v>
      </c>
      <c r="E7799">
        <v>68.28</v>
      </c>
      <c r="F7799">
        <v>476.6</v>
      </c>
    </row>
    <row r="7800" spans="1:6">
      <c r="A7800" s="3">
        <v>44324</v>
      </c>
      <c r="B7800" s="3">
        <v>44324</v>
      </c>
      <c r="C7800">
        <v>426.32</v>
      </c>
      <c r="D7800">
        <v>1.2165999999999999</v>
      </c>
      <c r="E7800">
        <v>68.28</v>
      </c>
      <c r="F7800">
        <v>476.6</v>
      </c>
    </row>
    <row r="7801" spans="1:6">
      <c r="A7801" s="3">
        <v>44325</v>
      </c>
      <c r="B7801" s="3">
        <v>44325</v>
      </c>
      <c r="C7801">
        <v>426.32</v>
      </c>
      <c r="D7801">
        <v>1.2165999999999999</v>
      </c>
      <c r="E7801">
        <v>68.28</v>
      </c>
      <c r="F7801">
        <v>476.6</v>
      </c>
    </row>
    <row r="7802" spans="1:6">
      <c r="A7802" s="3">
        <v>44326</v>
      </c>
      <c r="B7802" s="3">
        <v>44326</v>
      </c>
      <c r="C7802">
        <v>426.31</v>
      </c>
      <c r="D7802">
        <v>1.2129000000000001</v>
      </c>
      <c r="E7802">
        <v>68.319999999999993</v>
      </c>
      <c r="F7802">
        <v>473.35</v>
      </c>
    </row>
    <row r="7803" spans="1:6">
      <c r="A7803" s="3">
        <v>44327</v>
      </c>
      <c r="B7803" s="3">
        <v>44327</v>
      </c>
      <c r="C7803">
        <v>426.58</v>
      </c>
      <c r="D7803">
        <v>1.2148000000000001</v>
      </c>
      <c r="E7803">
        <v>68.55</v>
      </c>
      <c r="F7803">
        <v>477.85</v>
      </c>
    </row>
    <row r="7804" spans="1:6">
      <c r="A7804" s="3">
        <v>44328</v>
      </c>
      <c r="B7804" s="3">
        <v>44328</v>
      </c>
      <c r="C7804">
        <v>426.6</v>
      </c>
      <c r="D7804">
        <v>1.2072000000000001</v>
      </c>
      <c r="E7804">
        <v>69.319999999999993</v>
      </c>
      <c r="F7804">
        <v>475.25</v>
      </c>
    </row>
    <row r="7805" spans="1:6">
      <c r="A7805" s="3">
        <v>44329</v>
      </c>
      <c r="B7805" s="3">
        <v>44329</v>
      </c>
      <c r="C7805">
        <v>428.6</v>
      </c>
      <c r="D7805">
        <v>1.2081</v>
      </c>
      <c r="E7805">
        <v>67.05</v>
      </c>
      <c r="F7805">
        <v>470.55</v>
      </c>
    </row>
    <row r="7806" spans="1:6">
      <c r="A7806" s="3">
        <v>44330</v>
      </c>
      <c r="B7806" s="3">
        <v>44330</v>
      </c>
      <c r="C7806">
        <v>428.18</v>
      </c>
      <c r="D7806">
        <v>1.2141</v>
      </c>
      <c r="E7806">
        <v>68.709999999999994</v>
      </c>
      <c r="F7806">
        <v>466.4</v>
      </c>
    </row>
    <row r="7807" spans="1:6">
      <c r="A7807" s="3">
        <v>44331</v>
      </c>
      <c r="B7807" s="3">
        <v>44331</v>
      </c>
      <c r="C7807">
        <v>428.18</v>
      </c>
      <c r="D7807">
        <v>1.2141</v>
      </c>
      <c r="E7807">
        <v>68.709999999999994</v>
      </c>
      <c r="F7807">
        <v>466.4</v>
      </c>
    </row>
    <row r="7808" spans="1:6">
      <c r="A7808" s="3">
        <v>44332</v>
      </c>
      <c r="B7808" s="3">
        <v>44332</v>
      </c>
      <c r="C7808">
        <v>428.18</v>
      </c>
      <c r="D7808">
        <v>1.2141</v>
      </c>
      <c r="E7808">
        <v>68.709999999999994</v>
      </c>
      <c r="F7808">
        <v>466.4</v>
      </c>
    </row>
    <row r="7809" spans="1:6">
      <c r="A7809" s="3">
        <v>44333</v>
      </c>
      <c r="B7809" s="3">
        <v>44333</v>
      </c>
      <c r="C7809">
        <v>427.63</v>
      </c>
      <c r="D7809">
        <v>1.2152000000000001</v>
      </c>
      <c r="E7809">
        <v>69.459999999999994</v>
      </c>
      <c r="F7809">
        <v>472.15</v>
      </c>
    </row>
    <row r="7810" spans="1:6">
      <c r="A7810" s="3">
        <v>44334</v>
      </c>
      <c r="B7810" s="3">
        <v>44334</v>
      </c>
      <c r="C7810">
        <v>426.52</v>
      </c>
      <c r="D7810">
        <v>1.2222</v>
      </c>
      <c r="E7810">
        <v>68.709999999999994</v>
      </c>
      <c r="F7810">
        <v>473.55</v>
      </c>
    </row>
    <row r="7811" spans="1:6">
      <c r="A7811" s="3">
        <v>44335</v>
      </c>
      <c r="B7811" s="3">
        <v>44335</v>
      </c>
      <c r="C7811">
        <v>427.88</v>
      </c>
      <c r="D7811">
        <v>1.2175</v>
      </c>
      <c r="E7811">
        <v>66.66</v>
      </c>
      <c r="F7811">
        <v>458.95</v>
      </c>
    </row>
    <row r="7812" spans="1:6">
      <c r="A7812" s="3">
        <v>44336</v>
      </c>
      <c r="B7812" s="3">
        <v>44336</v>
      </c>
      <c r="C7812">
        <v>428.73</v>
      </c>
      <c r="D7812">
        <v>1.2228000000000001</v>
      </c>
      <c r="E7812">
        <v>65.11</v>
      </c>
      <c r="F7812">
        <v>458.2</v>
      </c>
    </row>
    <row r="7813" spans="1:6">
      <c r="A7813" s="3">
        <v>44337</v>
      </c>
      <c r="B7813" s="3">
        <v>44337</v>
      </c>
      <c r="C7813">
        <v>428.29</v>
      </c>
      <c r="D7813">
        <v>1.2181999999999999</v>
      </c>
      <c r="E7813">
        <v>66.44</v>
      </c>
      <c r="F7813">
        <v>449.6</v>
      </c>
    </row>
    <row r="7814" spans="1:6">
      <c r="A7814" s="3">
        <v>44338</v>
      </c>
      <c r="B7814" s="3">
        <v>44338</v>
      </c>
      <c r="C7814">
        <v>428.29</v>
      </c>
      <c r="D7814">
        <v>1.2181999999999999</v>
      </c>
      <c r="E7814">
        <v>66.44</v>
      </c>
      <c r="F7814">
        <v>449.6</v>
      </c>
    </row>
    <row r="7815" spans="1:6">
      <c r="A7815" s="3">
        <v>44339</v>
      </c>
      <c r="B7815" s="3">
        <v>44339</v>
      </c>
      <c r="C7815">
        <v>428.29</v>
      </c>
      <c r="D7815">
        <v>1.2181999999999999</v>
      </c>
      <c r="E7815">
        <v>66.44</v>
      </c>
      <c r="F7815">
        <v>449.6</v>
      </c>
    </row>
    <row r="7816" spans="1:6">
      <c r="A7816" s="3">
        <v>44340</v>
      </c>
      <c r="B7816" s="3">
        <v>44340</v>
      </c>
      <c r="C7816">
        <v>427.43</v>
      </c>
      <c r="D7816">
        <v>1.2216</v>
      </c>
      <c r="E7816">
        <v>68.459999999999994</v>
      </c>
      <c r="F7816">
        <v>454.15</v>
      </c>
    </row>
    <row r="7817" spans="1:6">
      <c r="A7817" s="3">
        <v>44341</v>
      </c>
      <c r="B7817" s="3">
        <v>44341</v>
      </c>
      <c r="C7817">
        <v>427.28</v>
      </c>
      <c r="D7817">
        <v>1.2250000000000001</v>
      </c>
      <c r="E7817">
        <v>68.650000000000006</v>
      </c>
      <c r="F7817">
        <v>452.2</v>
      </c>
    </row>
    <row r="7818" spans="1:6">
      <c r="A7818" s="3">
        <v>44342</v>
      </c>
      <c r="B7818" s="3">
        <v>44342</v>
      </c>
      <c r="C7818">
        <v>427.65</v>
      </c>
      <c r="D7818">
        <v>1.2192000000000001</v>
      </c>
      <c r="E7818">
        <v>68.87</v>
      </c>
      <c r="F7818">
        <v>453.3</v>
      </c>
    </row>
    <row r="7819" spans="1:6">
      <c r="A7819" s="3">
        <v>44343</v>
      </c>
      <c r="B7819" s="3">
        <v>44343</v>
      </c>
      <c r="C7819">
        <v>428.85</v>
      </c>
      <c r="D7819">
        <v>1.2195</v>
      </c>
      <c r="E7819">
        <v>69.459999999999994</v>
      </c>
      <c r="F7819">
        <v>466.3</v>
      </c>
    </row>
    <row r="7820" spans="1:6">
      <c r="A7820" s="3">
        <v>44344</v>
      </c>
      <c r="B7820" s="3">
        <v>44344</v>
      </c>
      <c r="C7820">
        <v>428.36</v>
      </c>
      <c r="D7820">
        <v>1.2192000000000001</v>
      </c>
      <c r="E7820">
        <v>69.63</v>
      </c>
      <c r="F7820">
        <v>467.75</v>
      </c>
    </row>
    <row r="7821" spans="1:6">
      <c r="A7821" s="3">
        <v>44345</v>
      </c>
      <c r="B7821" s="3">
        <v>44345</v>
      </c>
      <c r="C7821">
        <v>428.36</v>
      </c>
      <c r="D7821">
        <v>1.2192000000000001</v>
      </c>
      <c r="E7821">
        <v>69.63</v>
      </c>
      <c r="F7821">
        <v>467.75</v>
      </c>
    </row>
    <row r="7822" spans="1:6">
      <c r="A7822" s="3">
        <v>44346</v>
      </c>
      <c r="B7822" s="3">
        <v>44346</v>
      </c>
      <c r="C7822">
        <v>428.36</v>
      </c>
      <c r="D7822">
        <v>1.2192000000000001</v>
      </c>
      <c r="E7822">
        <v>69.63</v>
      </c>
      <c r="F7822">
        <v>467.75</v>
      </c>
    </row>
    <row r="7823" spans="1:6">
      <c r="A7823" s="3">
        <v>44347</v>
      </c>
      <c r="B7823" s="3">
        <v>44347</v>
      </c>
      <c r="C7823">
        <v>428.28</v>
      </c>
      <c r="D7823">
        <v>1.2226999999999999</v>
      </c>
      <c r="E7823">
        <v>69.319999999999993</v>
      </c>
      <c r="F7823">
        <v>467.75</v>
      </c>
    </row>
    <row r="7824" spans="1:6">
      <c r="A7824" s="3">
        <v>44348</v>
      </c>
      <c r="B7824" s="3">
        <v>44348</v>
      </c>
      <c r="C7824">
        <v>427.76</v>
      </c>
      <c r="D7824">
        <v>1.2213000000000001</v>
      </c>
      <c r="E7824">
        <v>70.25</v>
      </c>
      <c r="F7824">
        <v>465.35</v>
      </c>
    </row>
    <row r="7825" spans="1:6">
      <c r="A7825" s="3">
        <v>44349</v>
      </c>
      <c r="B7825" s="3">
        <v>44349</v>
      </c>
      <c r="C7825">
        <v>428.6</v>
      </c>
      <c r="D7825">
        <v>1.2211000000000001</v>
      </c>
      <c r="E7825">
        <v>71.349999999999994</v>
      </c>
      <c r="F7825">
        <v>459.15</v>
      </c>
    </row>
    <row r="7826" spans="1:6">
      <c r="A7826" s="3">
        <v>44350</v>
      </c>
      <c r="B7826" s="3">
        <v>44350</v>
      </c>
      <c r="C7826">
        <v>427.76</v>
      </c>
      <c r="D7826">
        <v>1.2126999999999999</v>
      </c>
      <c r="E7826">
        <v>71.31</v>
      </c>
      <c r="F7826">
        <v>446.3</v>
      </c>
    </row>
    <row r="7827" spans="1:6">
      <c r="A7827" s="3">
        <v>44351</v>
      </c>
      <c r="B7827" s="3">
        <v>44351</v>
      </c>
      <c r="C7827">
        <v>427.52</v>
      </c>
      <c r="D7827">
        <v>1.2166999999999999</v>
      </c>
      <c r="E7827">
        <v>71.89</v>
      </c>
      <c r="F7827">
        <v>452.9</v>
      </c>
    </row>
    <row r="7828" spans="1:6">
      <c r="A7828" s="3">
        <v>44352</v>
      </c>
      <c r="B7828" s="3">
        <v>44352</v>
      </c>
      <c r="C7828">
        <v>427.52</v>
      </c>
      <c r="D7828">
        <v>1.2166999999999999</v>
      </c>
      <c r="E7828">
        <v>71.89</v>
      </c>
      <c r="F7828">
        <v>452.9</v>
      </c>
    </row>
    <row r="7829" spans="1:6">
      <c r="A7829" s="3">
        <v>44353</v>
      </c>
      <c r="B7829" s="3">
        <v>44353</v>
      </c>
      <c r="C7829">
        <v>427.52</v>
      </c>
      <c r="D7829">
        <v>1.2166999999999999</v>
      </c>
      <c r="E7829">
        <v>71.89</v>
      </c>
      <c r="F7829">
        <v>452.9</v>
      </c>
    </row>
    <row r="7830" spans="1:6">
      <c r="A7830" s="3">
        <v>44354</v>
      </c>
      <c r="B7830" s="3">
        <v>44354</v>
      </c>
      <c r="C7830">
        <v>427.17</v>
      </c>
      <c r="D7830">
        <v>1.2190000000000001</v>
      </c>
      <c r="E7830">
        <v>71.489999999999995</v>
      </c>
      <c r="F7830">
        <v>452.65</v>
      </c>
    </row>
    <row r="7831" spans="1:6">
      <c r="A7831" s="3">
        <v>44355</v>
      </c>
      <c r="B7831" s="3">
        <v>44355</v>
      </c>
      <c r="C7831">
        <v>427.41</v>
      </c>
      <c r="D7831">
        <v>1.2173</v>
      </c>
      <c r="E7831">
        <v>72.22</v>
      </c>
      <c r="F7831">
        <v>455.6</v>
      </c>
    </row>
    <row r="7832" spans="1:6">
      <c r="A7832" s="3">
        <v>44356</v>
      </c>
      <c r="B7832" s="3">
        <v>44356</v>
      </c>
      <c r="C7832">
        <v>427.14</v>
      </c>
      <c r="D7832">
        <v>1.218</v>
      </c>
      <c r="E7832">
        <v>72.22</v>
      </c>
      <c r="F7832">
        <v>453.1</v>
      </c>
    </row>
    <row r="7833" spans="1:6">
      <c r="A7833" s="3">
        <v>44357</v>
      </c>
      <c r="B7833" s="3">
        <v>44357</v>
      </c>
      <c r="C7833">
        <v>427.46</v>
      </c>
      <c r="D7833">
        <v>1.2170000000000001</v>
      </c>
      <c r="E7833">
        <v>72.52</v>
      </c>
      <c r="F7833">
        <v>448.5</v>
      </c>
    </row>
    <row r="7834" spans="1:6">
      <c r="A7834" s="3">
        <v>44358</v>
      </c>
      <c r="B7834" s="3">
        <v>44358</v>
      </c>
      <c r="C7834">
        <v>426.67</v>
      </c>
      <c r="D7834">
        <v>1.2109000000000001</v>
      </c>
      <c r="E7834">
        <v>72.69</v>
      </c>
      <c r="F7834">
        <v>453.75</v>
      </c>
    </row>
    <row r="7835" spans="1:6">
      <c r="A7835" s="3">
        <v>44359</v>
      </c>
      <c r="B7835" s="3">
        <v>44359</v>
      </c>
      <c r="C7835">
        <v>426.67</v>
      </c>
      <c r="D7835">
        <v>1.2109000000000001</v>
      </c>
      <c r="E7835">
        <v>72.69</v>
      </c>
      <c r="F7835">
        <v>453.75</v>
      </c>
    </row>
    <row r="7836" spans="1:6">
      <c r="A7836" s="3">
        <v>44360</v>
      </c>
      <c r="B7836" s="3">
        <v>44360</v>
      </c>
      <c r="C7836">
        <v>426.67</v>
      </c>
      <c r="D7836">
        <v>1.2109000000000001</v>
      </c>
      <c r="E7836">
        <v>72.69</v>
      </c>
      <c r="F7836">
        <v>453.75</v>
      </c>
    </row>
    <row r="7837" spans="1:6">
      <c r="A7837" s="3">
        <v>44361</v>
      </c>
      <c r="B7837" s="3">
        <v>44361</v>
      </c>
      <c r="C7837">
        <v>427.27</v>
      </c>
      <c r="D7837">
        <v>1.212</v>
      </c>
      <c r="E7837">
        <v>72.86</v>
      </c>
      <c r="F7837">
        <v>452.7</v>
      </c>
    </row>
    <row r="7838" spans="1:6">
      <c r="A7838" s="3">
        <v>44362</v>
      </c>
      <c r="B7838" s="3">
        <v>44362</v>
      </c>
      <c r="C7838">
        <v>426.95</v>
      </c>
      <c r="D7838">
        <v>1.2125999999999999</v>
      </c>
      <c r="E7838">
        <v>73.989999999999995</v>
      </c>
      <c r="F7838">
        <v>433.3</v>
      </c>
    </row>
    <row r="7839" spans="1:6">
      <c r="A7839" s="3">
        <v>44363</v>
      </c>
      <c r="B7839" s="3">
        <v>44363</v>
      </c>
      <c r="C7839">
        <v>426.38</v>
      </c>
      <c r="D7839">
        <v>1.1995</v>
      </c>
      <c r="E7839">
        <v>74.39</v>
      </c>
      <c r="F7839">
        <v>438.5</v>
      </c>
    </row>
    <row r="7840" spans="1:6">
      <c r="A7840" s="3">
        <v>44364</v>
      </c>
      <c r="B7840" s="3">
        <v>44364</v>
      </c>
      <c r="C7840">
        <v>427.76</v>
      </c>
      <c r="D7840">
        <v>1.1907000000000001</v>
      </c>
      <c r="E7840">
        <v>73.08</v>
      </c>
      <c r="F7840">
        <v>417.8</v>
      </c>
    </row>
    <row r="7841" spans="1:6">
      <c r="A7841" s="3">
        <v>44365</v>
      </c>
      <c r="B7841" s="3">
        <v>44365</v>
      </c>
      <c r="C7841">
        <v>427.85</v>
      </c>
      <c r="D7841">
        <v>1.1863999999999999</v>
      </c>
      <c r="E7841">
        <v>73.510000000000005</v>
      </c>
      <c r="F7841">
        <v>415.7</v>
      </c>
    </row>
    <row r="7842" spans="1:6">
      <c r="A7842" s="3">
        <v>44366</v>
      </c>
      <c r="B7842" s="3">
        <v>44366</v>
      </c>
      <c r="C7842">
        <v>427.85</v>
      </c>
      <c r="D7842">
        <v>1.1863999999999999</v>
      </c>
      <c r="E7842">
        <v>73.510000000000005</v>
      </c>
      <c r="F7842">
        <v>415.7</v>
      </c>
    </row>
    <row r="7843" spans="1:6">
      <c r="A7843" s="3">
        <v>44367</v>
      </c>
      <c r="B7843" s="3">
        <v>44367</v>
      </c>
      <c r="C7843">
        <v>427.85</v>
      </c>
      <c r="D7843">
        <v>1.1863999999999999</v>
      </c>
      <c r="E7843">
        <v>73.510000000000005</v>
      </c>
      <c r="F7843">
        <v>415.7</v>
      </c>
    </row>
    <row r="7844" spans="1:6">
      <c r="A7844" s="3">
        <v>44368</v>
      </c>
      <c r="B7844" s="3">
        <v>44368</v>
      </c>
      <c r="C7844">
        <v>427.77</v>
      </c>
      <c r="D7844">
        <v>1.1919</v>
      </c>
      <c r="E7844">
        <v>74.900000000000006</v>
      </c>
      <c r="F7844">
        <v>418.4</v>
      </c>
    </row>
    <row r="7845" spans="1:6">
      <c r="A7845" s="3">
        <v>44369</v>
      </c>
      <c r="B7845" s="3">
        <v>44369</v>
      </c>
      <c r="C7845">
        <v>427.52</v>
      </c>
      <c r="D7845">
        <v>1.194</v>
      </c>
      <c r="E7845">
        <v>74.81</v>
      </c>
      <c r="F7845">
        <v>423</v>
      </c>
    </row>
    <row r="7846" spans="1:6">
      <c r="A7846" s="3">
        <v>44370</v>
      </c>
      <c r="B7846" s="3">
        <v>44370</v>
      </c>
      <c r="C7846">
        <v>427.61</v>
      </c>
      <c r="D7846">
        <v>1.1926000000000001</v>
      </c>
      <c r="E7846">
        <v>75.19</v>
      </c>
      <c r="F7846">
        <v>433.05</v>
      </c>
    </row>
    <row r="7847" spans="1:6">
      <c r="A7847" s="3">
        <v>44371</v>
      </c>
      <c r="B7847" s="3">
        <v>44371</v>
      </c>
      <c r="C7847">
        <v>427.66</v>
      </c>
      <c r="D7847">
        <v>1.1932</v>
      </c>
      <c r="E7847">
        <v>75.56</v>
      </c>
      <c r="F7847">
        <v>431.1</v>
      </c>
    </row>
    <row r="7848" spans="1:6">
      <c r="A7848" s="3">
        <v>44372</v>
      </c>
      <c r="B7848" s="3">
        <v>44372</v>
      </c>
      <c r="C7848">
        <v>426.85</v>
      </c>
      <c r="D7848">
        <v>1.1935</v>
      </c>
      <c r="E7848">
        <v>76.180000000000007</v>
      </c>
      <c r="F7848">
        <v>429.2</v>
      </c>
    </row>
    <row r="7849" spans="1:6">
      <c r="A7849" s="3">
        <v>44373</v>
      </c>
      <c r="B7849" s="3">
        <v>44373</v>
      </c>
      <c r="C7849">
        <v>426.85</v>
      </c>
      <c r="D7849">
        <v>1.1935</v>
      </c>
      <c r="E7849">
        <v>76.180000000000007</v>
      </c>
      <c r="F7849">
        <v>429.2</v>
      </c>
    </row>
    <row r="7850" spans="1:6">
      <c r="A7850" s="3">
        <v>44374</v>
      </c>
      <c r="B7850" s="3">
        <v>44374</v>
      </c>
      <c r="C7850">
        <v>426.85</v>
      </c>
      <c r="D7850">
        <v>1.1935</v>
      </c>
      <c r="E7850">
        <v>76.180000000000007</v>
      </c>
      <c r="F7850">
        <v>429.2</v>
      </c>
    </row>
    <row r="7851" spans="1:6">
      <c r="A7851" s="3">
        <v>44375</v>
      </c>
      <c r="B7851" s="3">
        <v>44375</v>
      </c>
      <c r="C7851">
        <v>426.53</v>
      </c>
      <c r="D7851">
        <v>1.1924999999999999</v>
      </c>
      <c r="E7851">
        <v>74.680000000000007</v>
      </c>
      <c r="F7851">
        <v>427.8</v>
      </c>
    </row>
    <row r="7852" spans="1:6">
      <c r="A7852" s="3">
        <v>44376</v>
      </c>
      <c r="B7852" s="3">
        <v>44376</v>
      </c>
      <c r="C7852">
        <v>428.84</v>
      </c>
      <c r="D7852">
        <v>1.1897</v>
      </c>
      <c r="E7852">
        <v>74.760000000000005</v>
      </c>
      <c r="F7852">
        <v>427.65</v>
      </c>
    </row>
    <row r="7853" spans="1:6">
      <c r="A7853" s="3">
        <v>44377</v>
      </c>
      <c r="B7853" s="3">
        <v>44377</v>
      </c>
      <c r="C7853">
        <v>426.82</v>
      </c>
      <c r="D7853">
        <v>1.1858</v>
      </c>
      <c r="E7853">
        <v>75.13</v>
      </c>
      <c r="F7853">
        <v>429.65</v>
      </c>
    </row>
    <row r="7854" spans="1:6">
      <c r="A7854" s="3">
        <v>44378</v>
      </c>
      <c r="B7854" s="3">
        <v>44378</v>
      </c>
      <c r="C7854">
        <v>426.56</v>
      </c>
      <c r="D7854">
        <v>1.1850000000000001</v>
      </c>
      <c r="E7854">
        <v>75.84</v>
      </c>
      <c r="F7854">
        <v>424.2</v>
      </c>
    </row>
    <row r="7855" spans="1:6">
      <c r="A7855" s="3">
        <v>44379</v>
      </c>
      <c r="B7855" s="3">
        <v>44379</v>
      </c>
      <c r="C7855">
        <v>426.22</v>
      </c>
      <c r="D7855">
        <v>1.1865000000000001</v>
      </c>
      <c r="E7855">
        <v>76.17</v>
      </c>
      <c r="F7855">
        <v>428.2</v>
      </c>
    </row>
    <row r="7856" spans="1:6">
      <c r="A7856" s="3">
        <v>44380</v>
      </c>
      <c r="B7856" s="3">
        <v>44380</v>
      </c>
      <c r="C7856">
        <v>426.22</v>
      </c>
      <c r="D7856">
        <v>1.1865000000000001</v>
      </c>
      <c r="E7856">
        <v>76.17</v>
      </c>
      <c r="F7856">
        <v>428.2</v>
      </c>
    </row>
    <row r="7857" spans="1:6">
      <c r="A7857" s="3">
        <v>44381</v>
      </c>
      <c r="B7857" s="3">
        <v>44381</v>
      </c>
      <c r="C7857">
        <v>426.22</v>
      </c>
      <c r="D7857">
        <v>1.1865000000000001</v>
      </c>
      <c r="E7857">
        <v>76.17</v>
      </c>
      <c r="F7857">
        <v>428.2</v>
      </c>
    </row>
    <row r="7858" spans="1:6">
      <c r="A7858" s="3">
        <v>44382</v>
      </c>
      <c r="B7858" s="3">
        <v>44382</v>
      </c>
      <c r="C7858">
        <v>426.29</v>
      </c>
      <c r="D7858">
        <v>1.1863999999999999</v>
      </c>
      <c r="E7858">
        <v>77.16</v>
      </c>
      <c r="F7858">
        <v>428.2</v>
      </c>
    </row>
    <row r="7859" spans="1:6">
      <c r="A7859" s="3">
        <v>44383</v>
      </c>
      <c r="B7859" s="3">
        <v>44383</v>
      </c>
      <c r="C7859">
        <v>426.4</v>
      </c>
      <c r="D7859">
        <v>1.1823999999999999</v>
      </c>
      <c r="E7859">
        <v>74.53</v>
      </c>
      <c r="F7859">
        <v>425.8</v>
      </c>
    </row>
    <row r="7860" spans="1:6">
      <c r="A7860" s="3">
        <v>44384</v>
      </c>
      <c r="B7860" s="3">
        <v>44384</v>
      </c>
      <c r="C7860">
        <v>428.09</v>
      </c>
      <c r="D7860">
        <v>1.179</v>
      </c>
      <c r="E7860">
        <v>73.430000000000007</v>
      </c>
      <c r="F7860">
        <v>432.9</v>
      </c>
    </row>
    <row r="7861" spans="1:6">
      <c r="A7861" s="3">
        <v>44385</v>
      </c>
      <c r="B7861" s="3">
        <v>44385</v>
      </c>
      <c r="C7861">
        <v>430.42</v>
      </c>
      <c r="D7861">
        <v>1.1845000000000001</v>
      </c>
      <c r="E7861">
        <v>74.12</v>
      </c>
      <c r="F7861">
        <v>427.15</v>
      </c>
    </row>
    <row r="7862" spans="1:6">
      <c r="A7862" s="3">
        <v>44386</v>
      </c>
      <c r="B7862" s="3">
        <v>44386</v>
      </c>
      <c r="C7862">
        <v>428.79</v>
      </c>
      <c r="D7862">
        <v>1.1876</v>
      </c>
      <c r="E7862">
        <v>75.55</v>
      </c>
      <c r="F7862">
        <v>435.25</v>
      </c>
    </row>
    <row r="7863" spans="1:6">
      <c r="A7863" s="3">
        <v>44387</v>
      </c>
      <c r="B7863" s="3">
        <v>44387</v>
      </c>
      <c r="C7863">
        <v>428.79</v>
      </c>
      <c r="D7863">
        <v>1.1876</v>
      </c>
      <c r="E7863">
        <v>75.55</v>
      </c>
      <c r="F7863">
        <v>435.25</v>
      </c>
    </row>
    <row r="7864" spans="1:6">
      <c r="A7864" s="3">
        <v>44388</v>
      </c>
      <c r="B7864" s="3">
        <v>44388</v>
      </c>
      <c r="C7864">
        <v>428.79</v>
      </c>
      <c r="D7864">
        <v>1.1876</v>
      </c>
      <c r="E7864">
        <v>75.55</v>
      </c>
      <c r="F7864">
        <v>435.25</v>
      </c>
    </row>
    <row r="7865" spans="1:6">
      <c r="A7865" s="3">
        <v>44389</v>
      </c>
      <c r="B7865" s="3">
        <v>44389</v>
      </c>
      <c r="C7865">
        <v>428.24</v>
      </c>
      <c r="D7865">
        <v>1.1860999999999999</v>
      </c>
      <c r="E7865">
        <v>75.16</v>
      </c>
      <c r="F7865">
        <v>432.3</v>
      </c>
    </row>
    <row r="7866" spans="1:6">
      <c r="A7866" s="3">
        <v>44390</v>
      </c>
      <c r="B7866" s="3">
        <v>44390</v>
      </c>
      <c r="C7866">
        <v>427.24</v>
      </c>
      <c r="D7866">
        <v>1.1776</v>
      </c>
      <c r="E7866">
        <v>76.489999999999995</v>
      </c>
      <c r="F7866">
        <v>431.45</v>
      </c>
    </row>
    <row r="7867" spans="1:6">
      <c r="A7867" s="3">
        <v>44391</v>
      </c>
      <c r="B7867" s="3">
        <v>44391</v>
      </c>
      <c r="C7867">
        <v>426.35</v>
      </c>
      <c r="D7867">
        <v>1.1837</v>
      </c>
      <c r="E7867">
        <v>74.760000000000005</v>
      </c>
      <c r="F7867">
        <v>427.7</v>
      </c>
    </row>
    <row r="7868" spans="1:6">
      <c r="A7868" s="3">
        <v>44392</v>
      </c>
      <c r="B7868" s="3">
        <v>44392</v>
      </c>
      <c r="C7868">
        <v>426.17</v>
      </c>
      <c r="D7868">
        <v>1.1812</v>
      </c>
      <c r="E7868">
        <v>73.47</v>
      </c>
      <c r="F7868">
        <v>433.3</v>
      </c>
    </row>
    <row r="7869" spans="1:6">
      <c r="A7869" s="3">
        <v>44393</v>
      </c>
      <c r="B7869" s="3">
        <v>44393</v>
      </c>
      <c r="C7869">
        <v>427.09</v>
      </c>
      <c r="D7869">
        <v>1.1806000000000001</v>
      </c>
      <c r="E7869">
        <v>73.59</v>
      </c>
      <c r="F7869">
        <v>433.25</v>
      </c>
    </row>
    <row r="7870" spans="1:6">
      <c r="A7870" s="3">
        <v>44394</v>
      </c>
      <c r="B7870" s="3">
        <v>44394</v>
      </c>
      <c r="C7870">
        <v>427.09</v>
      </c>
      <c r="D7870">
        <v>1.1806000000000001</v>
      </c>
      <c r="E7870">
        <v>73.59</v>
      </c>
      <c r="F7870">
        <v>433.25</v>
      </c>
    </row>
    <row r="7871" spans="1:6">
      <c r="A7871" s="3">
        <v>44395</v>
      </c>
      <c r="B7871" s="3">
        <v>44395</v>
      </c>
      <c r="C7871">
        <v>427.09</v>
      </c>
      <c r="D7871">
        <v>1.1806000000000001</v>
      </c>
      <c r="E7871">
        <v>73.59</v>
      </c>
      <c r="F7871">
        <v>433.25</v>
      </c>
    </row>
    <row r="7872" spans="1:6">
      <c r="A7872" s="3">
        <v>44396</v>
      </c>
      <c r="B7872" s="3">
        <v>44396</v>
      </c>
      <c r="C7872">
        <v>427.71</v>
      </c>
      <c r="D7872">
        <v>1.18</v>
      </c>
      <c r="E7872">
        <v>68.62</v>
      </c>
      <c r="F7872">
        <v>421.05</v>
      </c>
    </row>
    <row r="7873" spans="1:6">
      <c r="A7873" s="3">
        <v>44397</v>
      </c>
      <c r="B7873" s="3">
        <v>44397</v>
      </c>
      <c r="C7873">
        <v>428.16</v>
      </c>
      <c r="D7873">
        <v>1.1780999999999999</v>
      </c>
      <c r="E7873">
        <v>69.349999999999994</v>
      </c>
      <c r="F7873">
        <v>427.35</v>
      </c>
    </row>
    <row r="7874" spans="1:6">
      <c r="A7874" s="3">
        <v>44398</v>
      </c>
      <c r="B7874" s="3">
        <v>44398</v>
      </c>
      <c r="C7874">
        <v>427.89</v>
      </c>
      <c r="D7874">
        <v>1.1794</v>
      </c>
      <c r="E7874">
        <v>72.23</v>
      </c>
      <c r="F7874">
        <v>428.25</v>
      </c>
    </row>
    <row r="7875" spans="1:6">
      <c r="A7875" s="3">
        <v>44399</v>
      </c>
      <c r="B7875" s="3">
        <v>44399</v>
      </c>
      <c r="C7875">
        <v>425.92</v>
      </c>
      <c r="D7875">
        <v>1.1771</v>
      </c>
      <c r="E7875">
        <v>73.790000000000006</v>
      </c>
      <c r="F7875">
        <v>434.8</v>
      </c>
    </row>
    <row r="7876" spans="1:6">
      <c r="A7876" s="3">
        <v>44400</v>
      </c>
      <c r="B7876" s="3">
        <v>44400</v>
      </c>
      <c r="C7876">
        <v>425.76</v>
      </c>
      <c r="D7876">
        <v>1.1771</v>
      </c>
      <c r="E7876">
        <v>74.099999999999994</v>
      </c>
      <c r="F7876">
        <v>440.65</v>
      </c>
    </row>
    <row r="7877" spans="1:6">
      <c r="A7877" s="3">
        <v>44401</v>
      </c>
      <c r="B7877" s="3">
        <v>44401</v>
      </c>
      <c r="C7877">
        <v>425.76</v>
      </c>
      <c r="D7877">
        <v>1.1771</v>
      </c>
      <c r="E7877">
        <v>74.099999999999994</v>
      </c>
      <c r="F7877">
        <v>440.65</v>
      </c>
    </row>
    <row r="7878" spans="1:6">
      <c r="A7878" s="3">
        <v>44402</v>
      </c>
      <c r="B7878" s="3">
        <v>44402</v>
      </c>
      <c r="C7878">
        <v>425.76</v>
      </c>
      <c r="D7878">
        <v>1.1771</v>
      </c>
      <c r="E7878">
        <v>74.099999999999994</v>
      </c>
      <c r="F7878">
        <v>440.65</v>
      </c>
    </row>
    <row r="7879" spans="1:6">
      <c r="A7879" s="3">
        <v>44403</v>
      </c>
      <c r="B7879" s="3">
        <v>44403</v>
      </c>
      <c r="C7879">
        <v>426</v>
      </c>
      <c r="D7879">
        <v>1.1802999999999999</v>
      </c>
      <c r="E7879">
        <v>74.5</v>
      </c>
      <c r="F7879">
        <v>458.9</v>
      </c>
    </row>
    <row r="7880" spans="1:6">
      <c r="A7880" s="3">
        <v>44404</v>
      </c>
      <c r="B7880" s="3">
        <v>44404</v>
      </c>
      <c r="C7880">
        <v>425.1</v>
      </c>
      <c r="D7880">
        <v>1.1817</v>
      </c>
      <c r="E7880">
        <v>74.48</v>
      </c>
      <c r="F7880">
        <v>454.6</v>
      </c>
    </row>
    <row r="7881" spans="1:6">
      <c r="A7881" s="3">
        <v>44405</v>
      </c>
      <c r="B7881" s="3">
        <v>44405</v>
      </c>
      <c r="C7881">
        <v>424.99</v>
      </c>
      <c r="D7881">
        <v>1.1845000000000001</v>
      </c>
      <c r="E7881">
        <v>74.739999999999995</v>
      </c>
      <c r="F7881">
        <v>447.9</v>
      </c>
    </row>
    <row r="7882" spans="1:6">
      <c r="A7882" s="3">
        <v>44406</v>
      </c>
      <c r="B7882" s="3">
        <v>44406</v>
      </c>
      <c r="C7882">
        <v>425.26</v>
      </c>
      <c r="D7882">
        <v>1.1887000000000001</v>
      </c>
      <c r="E7882">
        <v>76.05</v>
      </c>
      <c r="F7882">
        <v>452.35</v>
      </c>
    </row>
    <row r="7883" spans="1:6">
      <c r="A7883" s="3">
        <v>44407</v>
      </c>
      <c r="B7883" s="3">
        <v>44407</v>
      </c>
      <c r="C7883">
        <v>424.86</v>
      </c>
      <c r="D7883">
        <v>1.1870000000000001</v>
      </c>
      <c r="E7883">
        <v>76.33</v>
      </c>
      <c r="F7883">
        <v>448.25</v>
      </c>
    </row>
    <row r="7884" spans="1:6">
      <c r="A7884" s="3">
        <v>44408</v>
      </c>
      <c r="B7884" s="3">
        <v>44408</v>
      </c>
      <c r="C7884">
        <v>424.86</v>
      </c>
      <c r="D7884">
        <v>1.1870000000000001</v>
      </c>
      <c r="E7884">
        <v>76.33</v>
      </c>
      <c r="F7884">
        <v>448.25</v>
      </c>
    </row>
    <row r="7885" spans="1:6">
      <c r="A7885" s="3">
        <v>44409</v>
      </c>
      <c r="B7885" s="3">
        <v>44409</v>
      </c>
      <c r="C7885">
        <v>424.86</v>
      </c>
      <c r="D7885">
        <v>1.1870000000000001</v>
      </c>
      <c r="E7885">
        <v>76.33</v>
      </c>
      <c r="F7885">
        <v>448.25</v>
      </c>
    </row>
    <row r="7886" spans="1:6">
      <c r="A7886" s="3">
        <v>44410</v>
      </c>
      <c r="B7886" s="3">
        <v>44410</v>
      </c>
      <c r="C7886">
        <v>424.81</v>
      </c>
      <c r="D7886">
        <v>1.1870000000000001</v>
      </c>
      <c r="E7886">
        <v>72.89</v>
      </c>
      <c r="F7886">
        <v>443.3</v>
      </c>
    </row>
    <row r="7887" spans="1:6">
      <c r="A7887" s="3">
        <v>44411</v>
      </c>
      <c r="B7887" s="3">
        <v>44411</v>
      </c>
      <c r="C7887">
        <v>424.01</v>
      </c>
      <c r="D7887">
        <v>1.1863999999999999</v>
      </c>
      <c r="E7887">
        <v>72.41</v>
      </c>
      <c r="F7887">
        <v>438.6</v>
      </c>
    </row>
    <row r="7888" spans="1:6">
      <c r="A7888" s="3">
        <v>44412</v>
      </c>
      <c r="B7888" s="3">
        <v>44412</v>
      </c>
      <c r="C7888">
        <v>424.09</v>
      </c>
      <c r="D7888">
        <v>1.1837</v>
      </c>
      <c r="E7888">
        <v>70.38</v>
      </c>
      <c r="F7888">
        <v>433.25</v>
      </c>
    </row>
    <row r="7889" spans="1:6">
      <c r="A7889" s="3">
        <v>44413</v>
      </c>
      <c r="B7889" s="3">
        <v>44413</v>
      </c>
      <c r="C7889">
        <v>425.54</v>
      </c>
      <c r="D7889">
        <v>1.1834</v>
      </c>
      <c r="E7889">
        <v>71.290000000000006</v>
      </c>
      <c r="F7889">
        <v>434.8</v>
      </c>
    </row>
    <row r="7890" spans="1:6">
      <c r="A7890" s="3">
        <v>44414</v>
      </c>
      <c r="B7890" s="3">
        <v>44414</v>
      </c>
      <c r="C7890">
        <v>424.67</v>
      </c>
      <c r="D7890">
        <v>1.1761999999999999</v>
      </c>
      <c r="E7890">
        <v>70.7</v>
      </c>
      <c r="F7890">
        <v>434.8</v>
      </c>
    </row>
    <row r="7891" spans="1:6">
      <c r="A7891" s="3">
        <v>44415</v>
      </c>
      <c r="B7891" s="3">
        <v>44415</v>
      </c>
      <c r="C7891">
        <v>424.67</v>
      </c>
      <c r="D7891">
        <v>1.1761999999999999</v>
      </c>
      <c r="E7891">
        <v>70.7</v>
      </c>
      <c r="F7891">
        <v>434.8</v>
      </c>
    </row>
    <row r="7892" spans="1:6">
      <c r="A7892" s="3">
        <v>44416</v>
      </c>
      <c r="B7892" s="3">
        <v>44416</v>
      </c>
      <c r="C7892">
        <v>424.67</v>
      </c>
      <c r="D7892">
        <v>1.1761999999999999</v>
      </c>
      <c r="E7892">
        <v>70.7</v>
      </c>
      <c r="F7892">
        <v>434.8</v>
      </c>
    </row>
    <row r="7893" spans="1:6">
      <c r="A7893" s="3">
        <v>44417</v>
      </c>
      <c r="B7893" s="3">
        <v>44417</v>
      </c>
      <c r="C7893">
        <v>426.74</v>
      </c>
      <c r="D7893">
        <v>1.1737</v>
      </c>
      <c r="E7893">
        <v>69.040000000000006</v>
      </c>
      <c r="F7893">
        <v>428.95</v>
      </c>
    </row>
    <row r="7894" spans="1:6">
      <c r="A7894" s="3">
        <v>44418</v>
      </c>
      <c r="B7894" s="3">
        <v>44418</v>
      </c>
      <c r="C7894">
        <v>425.95</v>
      </c>
      <c r="D7894">
        <v>1.1719999999999999</v>
      </c>
      <c r="E7894">
        <v>70.63</v>
      </c>
      <c r="F7894">
        <v>435.4</v>
      </c>
    </row>
    <row r="7895" spans="1:6">
      <c r="A7895" s="3">
        <v>44419</v>
      </c>
      <c r="B7895" s="3">
        <v>44419</v>
      </c>
      <c r="C7895">
        <v>426.01</v>
      </c>
      <c r="D7895">
        <v>1.1738999999999999</v>
      </c>
      <c r="E7895">
        <v>71.44</v>
      </c>
      <c r="F7895">
        <v>436.75</v>
      </c>
    </row>
    <row r="7896" spans="1:6">
      <c r="A7896" s="3">
        <v>44420</v>
      </c>
      <c r="B7896" s="3">
        <v>44420</v>
      </c>
      <c r="C7896">
        <v>424.73</v>
      </c>
      <c r="D7896">
        <v>1.173</v>
      </c>
      <c r="E7896">
        <v>71.31</v>
      </c>
      <c r="F7896">
        <v>436</v>
      </c>
    </row>
    <row r="7897" spans="1:6">
      <c r="A7897" s="3">
        <v>44421</v>
      </c>
      <c r="B7897" s="3">
        <v>44421</v>
      </c>
      <c r="C7897">
        <v>424.91</v>
      </c>
      <c r="D7897">
        <v>1.1797</v>
      </c>
      <c r="E7897">
        <v>70.59</v>
      </c>
      <c r="F7897">
        <v>439.15</v>
      </c>
    </row>
    <row r="7898" spans="1:6">
      <c r="A7898" s="3">
        <v>44422</v>
      </c>
      <c r="B7898" s="3">
        <v>44422</v>
      </c>
      <c r="C7898">
        <v>424.91</v>
      </c>
      <c r="D7898">
        <v>1.1797</v>
      </c>
      <c r="E7898">
        <v>70.59</v>
      </c>
      <c r="F7898">
        <v>439.15</v>
      </c>
    </row>
    <row r="7899" spans="1:6">
      <c r="A7899" s="3">
        <v>44423</v>
      </c>
      <c r="B7899" s="3">
        <v>44423</v>
      </c>
      <c r="C7899">
        <v>424.91</v>
      </c>
      <c r="D7899">
        <v>1.1797</v>
      </c>
      <c r="E7899">
        <v>70.59</v>
      </c>
      <c r="F7899">
        <v>439.15</v>
      </c>
    </row>
    <row r="7900" spans="1:6">
      <c r="A7900" s="3">
        <v>44424</v>
      </c>
      <c r="B7900" s="3">
        <v>44424</v>
      </c>
      <c r="C7900">
        <v>425.27</v>
      </c>
      <c r="D7900">
        <v>1.1778</v>
      </c>
      <c r="E7900">
        <v>69.510000000000005</v>
      </c>
      <c r="F7900">
        <v>432.7</v>
      </c>
    </row>
    <row r="7901" spans="1:6">
      <c r="A7901" s="3">
        <v>44425</v>
      </c>
      <c r="B7901" s="3">
        <v>44425</v>
      </c>
      <c r="C7901">
        <v>425.05</v>
      </c>
      <c r="D7901">
        <v>1.171</v>
      </c>
      <c r="E7901">
        <v>69.03</v>
      </c>
      <c r="F7901">
        <v>420.6</v>
      </c>
    </row>
    <row r="7902" spans="1:6">
      <c r="A7902" s="3">
        <v>44426</v>
      </c>
      <c r="B7902" s="3">
        <v>44426</v>
      </c>
      <c r="C7902">
        <v>425.8</v>
      </c>
      <c r="D7902">
        <v>1.1711</v>
      </c>
      <c r="E7902">
        <v>68.23</v>
      </c>
      <c r="F7902">
        <v>412</v>
      </c>
    </row>
    <row r="7903" spans="1:6">
      <c r="A7903" s="3">
        <v>44427</v>
      </c>
      <c r="B7903" s="3">
        <v>44427</v>
      </c>
      <c r="C7903">
        <v>426.76</v>
      </c>
      <c r="D7903">
        <v>1.1675</v>
      </c>
      <c r="E7903">
        <v>66.45</v>
      </c>
      <c r="F7903">
        <v>404.1</v>
      </c>
    </row>
    <row r="7904" spans="1:6">
      <c r="A7904" s="3">
        <v>44428</v>
      </c>
      <c r="B7904" s="3">
        <v>44428</v>
      </c>
      <c r="C7904">
        <v>427.33</v>
      </c>
      <c r="D7904">
        <v>1.1698</v>
      </c>
      <c r="E7904">
        <v>65.180000000000007</v>
      </c>
      <c r="F7904">
        <v>413.7</v>
      </c>
    </row>
    <row r="7905" spans="1:6">
      <c r="A7905" s="3">
        <v>44429</v>
      </c>
      <c r="B7905" s="3">
        <v>44429</v>
      </c>
      <c r="C7905">
        <v>427.33</v>
      </c>
      <c r="D7905">
        <v>1.1698</v>
      </c>
      <c r="E7905">
        <v>65.180000000000007</v>
      </c>
      <c r="F7905">
        <v>413.7</v>
      </c>
    </row>
    <row r="7906" spans="1:6">
      <c r="A7906" s="3">
        <v>44430</v>
      </c>
      <c r="B7906" s="3">
        <v>44430</v>
      </c>
      <c r="C7906">
        <v>427.33</v>
      </c>
      <c r="D7906">
        <v>1.1698</v>
      </c>
      <c r="E7906">
        <v>65.180000000000007</v>
      </c>
      <c r="F7906">
        <v>413.7</v>
      </c>
    </row>
    <row r="7907" spans="1:6">
      <c r="A7907" s="3">
        <v>44431</v>
      </c>
      <c r="B7907" s="3">
        <v>44431</v>
      </c>
      <c r="C7907">
        <v>425.62</v>
      </c>
      <c r="D7907">
        <v>1.1745000000000001</v>
      </c>
      <c r="E7907">
        <v>68.75</v>
      </c>
      <c r="F7907">
        <v>423.7</v>
      </c>
    </row>
    <row r="7908" spans="1:6">
      <c r="A7908" s="3">
        <v>44432</v>
      </c>
      <c r="B7908" s="3">
        <v>44432</v>
      </c>
      <c r="C7908">
        <v>424.56</v>
      </c>
      <c r="D7908">
        <v>1.1756</v>
      </c>
      <c r="E7908">
        <v>71.05</v>
      </c>
      <c r="F7908">
        <v>425.8</v>
      </c>
    </row>
    <row r="7909" spans="1:6">
      <c r="A7909" s="3">
        <v>44433</v>
      </c>
      <c r="B7909" s="3">
        <v>44433</v>
      </c>
      <c r="C7909">
        <v>425.92</v>
      </c>
      <c r="D7909">
        <v>1.1772</v>
      </c>
      <c r="E7909">
        <v>72.25</v>
      </c>
      <c r="F7909">
        <v>426.75</v>
      </c>
    </row>
    <row r="7910" spans="1:6">
      <c r="A7910" s="3">
        <v>44434</v>
      </c>
      <c r="B7910" s="3">
        <v>44434</v>
      </c>
      <c r="C7910">
        <v>426.57</v>
      </c>
      <c r="D7910">
        <v>1.1752</v>
      </c>
      <c r="E7910">
        <v>71.069999999999993</v>
      </c>
      <c r="F7910">
        <v>424.75</v>
      </c>
    </row>
    <row r="7911" spans="1:6">
      <c r="A7911" s="3">
        <v>44435</v>
      </c>
      <c r="B7911" s="3">
        <v>44435</v>
      </c>
      <c r="C7911">
        <v>427.08</v>
      </c>
      <c r="D7911">
        <v>1.1795</v>
      </c>
      <c r="E7911">
        <v>72.7</v>
      </c>
      <c r="F7911">
        <v>431.85</v>
      </c>
    </row>
    <row r="7912" spans="1:6">
      <c r="A7912" s="3">
        <v>44436</v>
      </c>
      <c r="B7912" s="3">
        <v>44436</v>
      </c>
      <c r="C7912">
        <v>427.08</v>
      </c>
      <c r="D7912">
        <v>1.1795</v>
      </c>
      <c r="E7912">
        <v>72.7</v>
      </c>
      <c r="F7912">
        <v>431.85</v>
      </c>
    </row>
    <row r="7913" spans="1:6">
      <c r="A7913" s="3">
        <v>44437</v>
      </c>
      <c r="B7913" s="3">
        <v>44437</v>
      </c>
      <c r="C7913">
        <v>427.08</v>
      </c>
      <c r="D7913">
        <v>1.1795</v>
      </c>
      <c r="E7913">
        <v>72.7</v>
      </c>
      <c r="F7913">
        <v>431.85</v>
      </c>
    </row>
    <row r="7914" spans="1:6">
      <c r="A7914" s="3">
        <v>44438</v>
      </c>
      <c r="B7914" s="3">
        <v>44438</v>
      </c>
      <c r="C7914">
        <v>427.06</v>
      </c>
      <c r="D7914">
        <v>1.1797</v>
      </c>
      <c r="E7914">
        <v>73.41</v>
      </c>
      <c r="F7914">
        <v>436.1</v>
      </c>
    </row>
    <row r="7915" spans="1:6">
      <c r="A7915" s="3">
        <v>44439</v>
      </c>
      <c r="B7915" s="3">
        <v>44439</v>
      </c>
      <c r="C7915">
        <v>426.19</v>
      </c>
      <c r="D7915">
        <v>1.1809000000000001</v>
      </c>
      <c r="E7915">
        <v>72.989999999999995</v>
      </c>
      <c r="F7915">
        <v>436</v>
      </c>
    </row>
    <row r="7916" spans="1:6">
      <c r="A7916" s="3">
        <v>44440</v>
      </c>
      <c r="B7916" s="3">
        <v>44440</v>
      </c>
      <c r="C7916">
        <v>426.14</v>
      </c>
      <c r="D7916">
        <v>1.1839</v>
      </c>
      <c r="E7916">
        <v>71.59</v>
      </c>
      <c r="F7916">
        <v>426.3</v>
      </c>
    </row>
    <row r="7917" spans="1:6">
      <c r="A7917" s="3">
        <v>44441</v>
      </c>
      <c r="B7917" s="3">
        <v>44441</v>
      </c>
      <c r="C7917">
        <v>425.24</v>
      </c>
      <c r="D7917">
        <v>1.1875</v>
      </c>
      <c r="E7917">
        <v>73.03</v>
      </c>
      <c r="F7917">
        <v>429</v>
      </c>
    </row>
    <row r="7918" spans="1:6">
      <c r="A7918" s="3">
        <v>44442</v>
      </c>
      <c r="B7918" s="3">
        <v>44442</v>
      </c>
      <c r="C7918">
        <v>425.43</v>
      </c>
      <c r="D7918">
        <v>1.1879999999999999</v>
      </c>
      <c r="E7918">
        <v>72.61</v>
      </c>
      <c r="F7918">
        <v>432.55</v>
      </c>
    </row>
    <row r="7919" spans="1:6">
      <c r="A7919" s="3">
        <v>44443</v>
      </c>
      <c r="B7919" s="3">
        <v>44443</v>
      </c>
      <c r="C7919">
        <v>425.43</v>
      </c>
      <c r="D7919">
        <v>1.1879999999999999</v>
      </c>
      <c r="E7919">
        <v>72.61</v>
      </c>
      <c r="F7919">
        <v>432.55</v>
      </c>
    </row>
    <row r="7920" spans="1:6">
      <c r="A7920" s="3">
        <v>44444</v>
      </c>
      <c r="B7920" s="3">
        <v>44444</v>
      </c>
      <c r="C7920">
        <v>425.43</v>
      </c>
      <c r="D7920">
        <v>1.1879999999999999</v>
      </c>
      <c r="E7920">
        <v>72.61</v>
      </c>
      <c r="F7920">
        <v>432.55</v>
      </c>
    </row>
    <row r="7921" spans="1:6">
      <c r="A7921" s="3">
        <v>44445</v>
      </c>
      <c r="B7921" s="3">
        <v>44445</v>
      </c>
      <c r="C7921">
        <v>425.37</v>
      </c>
      <c r="D7921">
        <v>1.1870000000000001</v>
      </c>
      <c r="E7921">
        <v>72.22</v>
      </c>
      <c r="F7921">
        <v>432.55</v>
      </c>
    </row>
    <row r="7922" spans="1:6">
      <c r="A7922" s="3">
        <v>44446</v>
      </c>
      <c r="B7922" s="3">
        <v>44446</v>
      </c>
      <c r="C7922">
        <v>426.02</v>
      </c>
      <c r="D7922">
        <v>1.1839999999999999</v>
      </c>
      <c r="E7922">
        <v>71.69</v>
      </c>
      <c r="F7922">
        <v>427.75</v>
      </c>
    </row>
    <row r="7923" spans="1:6">
      <c r="A7923" s="3">
        <v>44447</v>
      </c>
      <c r="B7923" s="3">
        <v>44447</v>
      </c>
      <c r="C7923">
        <v>426.1</v>
      </c>
      <c r="D7923">
        <v>1.1816</v>
      </c>
      <c r="E7923">
        <v>72.599999999999994</v>
      </c>
      <c r="F7923">
        <v>423.2</v>
      </c>
    </row>
    <row r="7924" spans="1:6">
      <c r="A7924" s="3">
        <v>44448</v>
      </c>
      <c r="B7924" s="3">
        <v>44448</v>
      </c>
      <c r="C7924">
        <v>426.1</v>
      </c>
      <c r="D7924">
        <v>1.1825000000000001</v>
      </c>
      <c r="E7924">
        <v>71.45</v>
      </c>
      <c r="F7924">
        <v>428.35</v>
      </c>
    </row>
    <row r="7925" spans="1:6">
      <c r="A7925" s="3">
        <v>44449</v>
      </c>
      <c r="B7925" s="3">
        <v>44449</v>
      </c>
      <c r="C7925">
        <v>426.14</v>
      </c>
      <c r="D7925">
        <v>1.1814</v>
      </c>
      <c r="E7925">
        <v>72.92</v>
      </c>
      <c r="F7925">
        <v>444.8</v>
      </c>
    </row>
    <row r="7926" spans="1:6">
      <c r="A7926" s="3">
        <v>44450</v>
      </c>
      <c r="B7926" s="3">
        <v>44450</v>
      </c>
      <c r="C7926">
        <v>426.14</v>
      </c>
      <c r="D7926">
        <v>1.1814</v>
      </c>
      <c r="E7926">
        <v>72.92</v>
      </c>
      <c r="F7926">
        <v>444.8</v>
      </c>
    </row>
    <row r="7927" spans="1:6">
      <c r="A7927" s="3">
        <v>44451</v>
      </c>
      <c r="B7927" s="3">
        <v>44451</v>
      </c>
      <c r="C7927">
        <v>426.14</v>
      </c>
      <c r="D7927">
        <v>1.1814</v>
      </c>
      <c r="E7927">
        <v>72.92</v>
      </c>
      <c r="F7927">
        <v>444.8</v>
      </c>
    </row>
    <row r="7928" spans="1:6">
      <c r="A7928" s="3">
        <v>44452</v>
      </c>
      <c r="B7928" s="3">
        <v>44452</v>
      </c>
      <c r="C7928">
        <v>426.18</v>
      </c>
      <c r="D7928">
        <v>1.1811</v>
      </c>
      <c r="E7928">
        <v>73.510000000000005</v>
      </c>
      <c r="F7928">
        <v>436.35</v>
      </c>
    </row>
    <row r="7929" spans="1:6">
      <c r="A7929" s="3">
        <v>44453</v>
      </c>
      <c r="B7929" s="3">
        <v>44453</v>
      </c>
      <c r="C7929">
        <v>426.15</v>
      </c>
      <c r="D7929">
        <v>1.1802999999999999</v>
      </c>
      <c r="E7929">
        <v>73.599999999999994</v>
      </c>
      <c r="F7929">
        <v>431.8</v>
      </c>
    </row>
    <row r="7930" spans="1:6">
      <c r="A7930" s="3">
        <v>44454</v>
      </c>
      <c r="B7930" s="3">
        <v>44454</v>
      </c>
      <c r="C7930">
        <v>425.93</v>
      </c>
      <c r="D7930">
        <v>1.1817</v>
      </c>
      <c r="E7930">
        <v>75.459999999999994</v>
      </c>
      <c r="F7930">
        <v>440.35</v>
      </c>
    </row>
    <row r="7931" spans="1:6">
      <c r="A7931" s="3">
        <v>44455</v>
      </c>
      <c r="B7931" s="3">
        <v>44455</v>
      </c>
      <c r="C7931">
        <v>425.37</v>
      </c>
      <c r="D7931">
        <v>1.1767000000000001</v>
      </c>
      <c r="E7931">
        <v>75.67</v>
      </c>
      <c r="F7931">
        <v>427.85</v>
      </c>
    </row>
    <row r="7932" spans="1:6">
      <c r="A7932" s="3">
        <v>44456</v>
      </c>
      <c r="B7932" s="3">
        <v>44456</v>
      </c>
      <c r="C7932">
        <v>425.29</v>
      </c>
      <c r="D7932">
        <v>1.1725000000000001</v>
      </c>
      <c r="E7932">
        <v>75.34</v>
      </c>
      <c r="F7932">
        <v>424.55</v>
      </c>
    </row>
    <row r="7933" spans="1:6">
      <c r="A7933" s="3">
        <v>44457</v>
      </c>
      <c r="B7933" s="3">
        <v>44457</v>
      </c>
      <c r="C7933">
        <v>425.29</v>
      </c>
      <c r="D7933">
        <v>1.1725000000000001</v>
      </c>
      <c r="E7933">
        <v>75.34</v>
      </c>
      <c r="F7933">
        <v>424.55</v>
      </c>
    </row>
    <row r="7934" spans="1:6">
      <c r="A7934" s="3">
        <v>44458</v>
      </c>
      <c r="B7934" s="3">
        <v>44458</v>
      </c>
      <c r="C7934">
        <v>425.29</v>
      </c>
      <c r="D7934">
        <v>1.1725000000000001</v>
      </c>
      <c r="E7934">
        <v>75.34</v>
      </c>
      <c r="F7934">
        <v>424.55</v>
      </c>
    </row>
    <row r="7935" spans="1:6">
      <c r="A7935" s="3">
        <v>44459</v>
      </c>
      <c r="B7935" s="3">
        <v>44459</v>
      </c>
      <c r="C7935">
        <v>426.83</v>
      </c>
      <c r="D7935">
        <v>1.1726000000000001</v>
      </c>
      <c r="E7935">
        <v>73.92</v>
      </c>
      <c r="F7935">
        <v>411.7</v>
      </c>
    </row>
    <row r="7936" spans="1:6">
      <c r="A7936" s="3">
        <v>44460</v>
      </c>
      <c r="B7936" s="3">
        <v>44460</v>
      </c>
      <c r="C7936">
        <v>426.38</v>
      </c>
      <c r="D7936">
        <v>1.1726000000000001</v>
      </c>
      <c r="E7936">
        <v>74.36</v>
      </c>
      <c r="F7936">
        <v>412.8</v>
      </c>
    </row>
    <row r="7937" spans="1:6">
      <c r="A7937" s="3">
        <v>44461</v>
      </c>
      <c r="B7937" s="3">
        <v>44461</v>
      </c>
      <c r="C7937">
        <v>425.76</v>
      </c>
      <c r="D7937">
        <v>1.1687000000000001</v>
      </c>
      <c r="E7937">
        <v>76.19</v>
      </c>
      <c r="F7937">
        <v>425.25</v>
      </c>
    </row>
    <row r="7938" spans="1:6">
      <c r="A7938" s="3">
        <v>44462</v>
      </c>
      <c r="B7938" s="3">
        <v>44462</v>
      </c>
      <c r="C7938">
        <v>425.37</v>
      </c>
      <c r="D7938">
        <v>1.1738999999999999</v>
      </c>
      <c r="E7938">
        <v>77.25</v>
      </c>
      <c r="F7938">
        <v>423.1</v>
      </c>
    </row>
    <row r="7939" spans="1:6">
      <c r="A7939" s="3">
        <v>44463</v>
      </c>
      <c r="B7939" s="3">
        <v>44463</v>
      </c>
      <c r="C7939">
        <v>425.46</v>
      </c>
      <c r="D7939">
        <v>1.1719999999999999</v>
      </c>
      <c r="E7939">
        <v>78.09</v>
      </c>
      <c r="F7939">
        <v>428.75</v>
      </c>
    </row>
    <row r="7940" spans="1:6">
      <c r="A7940" s="3">
        <v>44464</v>
      </c>
      <c r="B7940" s="3">
        <v>44464</v>
      </c>
      <c r="C7940">
        <v>425.46</v>
      </c>
      <c r="D7940">
        <v>1.1719999999999999</v>
      </c>
      <c r="E7940">
        <v>78.09</v>
      </c>
      <c r="F7940">
        <v>428.75</v>
      </c>
    </row>
    <row r="7941" spans="1:6">
      <c r="A7941" s="3">
        <v>44465</v>
      </c>
      <c r="B7941" s="3">
        <v>44465</v>
      </c>
      <c r="C7941">
        <v>425.46</v>
      </c>
      <c r="D7941">
        <v>1.1719999999999999</v>
      </c>
      <c r="E7941">
        <v>78.09</v>
      </c>
      <c r="F7941">
        <v>428.75</v>
      </c>
    </row>
    <row r="7942" spans="1:6">
      <c r="A7942" s="3">
        <v>44466</v>
      </c>
      <c r="B7942" s="3">
        <v>44466</v>
      </c>
      <c r="C7942">
        <v>424.54</v>
      </c>
      <c r="D7942">
        <v>1.1695</v>
      </c>
      <c r="E7942">
        <v>79.53</v>
      </c>
      <c r="F7942">
        <v>429.35</v>
      </c>
    </row>
    <row r="7943" spans="1:6">
      <c r="A7943" s="3">
        <v>44467</v>
      </c>
      <c r="B7943" s="3">
        <v>44467</v>
      </c>
      <c r="C7943">
        <v>424.49</v>
      </c>
      <c r="D7943">
        <v>1.1682999999999999</v>
      </c>
      <c r="E7943">
        <v>79.09</v>
      </c>
      <c r="F7943">
        <v>424.5</v>
      </c>
    </row>
    <row r="7944" spans="1:6">
      <c r="A7944" s="3">
        <v>44468</v>
      </c>
      <c r="B7944" s="3">
        <v>44468</v>
      </c>
      <c r="C7944">
        <v>425.52</v>
      </c>
      <c r="D7944">
        <v>1.1597999999999999</v>
      </c>
      <c r="E7944">
        <v>78.64</v>
      </c>
      <c r="F7944">
        <v>419.9</v>
      </c>
    </row>
    <row r="7945" spans="1:6">
      <c r="A7945" s="3">
        <v>44469</v>
      </c>
      <c r="B7945" s="3">
        <v>44469</v>
      </c>
      <c r="C7945">
        <v>426.1</v>
      </c>
      <c r="D7945">
        <v>1.1579999999999999</v>
      </c>
      <c r="E7945">
        <v>78.52</v>
      </c>
      <c r="F7945">
        <v>408.9</v>
      </c>
    </row>
    <row r="7946" spans="1:6">
      <c r="A7946" s="3">
        <v>44470</v>
      </c>
      <c r="B7946" s="3">
        <v>44470</v>
      </c>
      <c r="C7946">
        <v>426.54</v>
      </c>
      <c r="D7946">
        <v>1.1596</v>
      </c>
      <c r="E7946">
        <v>79.28</v>
      </c>
      <c r="F7946">
        <v>418.85</v>
      </c>
    </row>
    <row r="7947" spans="1:6">
      <c r="A7947" s="3">
        <v>44471</v>
      </c>
      <c r="B7947" s="3">
        <v>44471</v>
      </c>
      <c r="C7947">
        <v>426.54</v>
      </c>
      <c r="D7947">
        <v>1.1596</v>
      </c>
      <c r="E7947">
        <v>79.28</v>
      </c>
      <c r="F7947">
        <v>418.85</v>
      </c>
    </row>
    <row r="7948" spans="1:6">
      <c r="A7948" s="3">
        <v>44472</v>
      </c>
      <c r="B7948" s="3">
        <v>44472</v>
      </c>
      <c r="C7948">
        <v>426.54</v>
      </c>
      <c r="D7948">
        <v>1.1596</v>
      </c>
      <c r="E7948">
        <v>79.28</v>
      </c>
      <c r="F7948">
        <v>418.85</v>
      </c>
    </row>
    <row r="7949" spans="1:6">
      <c r="A7949" s="3">
        <v>44473</v>
      </c>
      <c r="B7949" s="3">
        <v>44473</v>
      </c>
      <c r="C7949">
        <v>425.5</v>
      </c>
      <c r="D7949">
        <v>1.1620999999999999</v>
      </c>
      <c r="E7949">
        <v>81.260000000000005</v>
      </c>
      <c r="F7949">
        <v>423.85</v>
      </c>
    </row>
    <row r="7950" spans="1:6">
      <c r="A7950" s="3">
        <v>44474</v>
      </c>
      <c r="B7950" s="3">
        <v>44474</v>
      </c>
      <c r="C7950">
        <v>425.26</v>
      </c>
      <c r="D7950">
        <v>1.1597999999999999</v>
      </c>
      <c r="E7950">
        <v>82.56</v>
      </c>
      <c r="F7950">
        <v>419.25</v>
      </c>
    </row>
    <row r="7951" spans="1:6">
      <c r="A7951" s="3">
        <v>44475</v>
      </c>
      <c r="B7951" s="3">
        <v>44475</v>
      </c>
      <c r="C7951">
        <v>425.2</v>
      </c>
      <c r="D7951">
        <v>1.1556</v>
      </c>
      <c r="E7951">
        <v>81.08</v>
      </c>
      <c r="F7951">
        <v>414.75</v>
      </c>
    </row>
    <row r="7952" spans="1:6">
      <c r="A7952" s="3">
        <v>44476</v>
      </c>
      <c r="B7952" s="3">
        <v>44476</v>
      </c>
      <c r="C7952">
        <v>425.8</v>
      </c>
      <c r="D7952">
        <v>1.1552</v>
      </c>
      <c r="E7952">
        <v>81.95</v>
      </c>
      <c r="F7952">
        <v>424.35</v>
      </c>
    </row>
    <row r="7953" spans="1:6">
      <c r="A7953" s="3">
        <v>44477</v>
      </c>
      <c r="B7953" s="3">
        <v>44477</v>
      </c>
      <c r="C7953">
        <v>425.96</v>
      </c>
      <c r="D7953">
        <v>1.1569</v>
      </c>
      <c r="E7953">
        <v>82.39</v>
      </c>
      <c r="F7953">
        <v>427.55</v>
      </c>
    </row>
    <row r="7954" spans="1:6">
      <c r="A7954" s="3">
        <v>44478</v>
      </c>
      <c r="B7954" s="3">
        <v>44478</v>
      </c>
      <c r="C7954">
        <v>425.96</v>
      </c>
      <c r="D7954">
        <v>1.1569</v>
      </c>
      <c r="E7954">
        <v>82.39</v>
      </c>
      <c r="F7954">
        <v>427.55</v>
      </c>
    </row>
    <row r="7955" spans="1:6">
      <c r="A7955" s="3">
        <v>44479</v>
      </c>
      <c r="B7955" s="3">
        <v>44479</v>
      </c>
      <c r="C7955">
        <v>425.96</v>
      </c>
      <c r="D7955">
        <v>1.1569</v>
      </c>
      <c r="E7955">
        <v>82.39</v>
      </c>
      <c r="F7955">
        <v>427.55</v>
      </c>
    </row>
    <row r="7956" spans="1:6">
      <c r="A7956" s="3">
        <v>44480</v>
      </c>
      <c r="B7956" s="3">
        <v>44480</v>
      </c>
      <c r="C7956">
        <v>424.87</v>
      </c>
      <c r="D7956">
        <v>1.1552</v>
      </c>
      <c r="E7956">
        <v>83.65</v>
      </c>
      <c r="F7956">
        <v>436.65</v>
      </c>
    </row>
    <row r="7957" spans="1:6">
      <c r="A7957" s="3">
        <v>44481</v>
      </c>
      <c r="B7957" s="3">
        <v>44481</v>
      </c>
      <c r="C7957">
        <v>425.39</v>
      </c>
      <c r="D7957">
        <v>1.153</v>
      </c>
      <c r="E7957">
        <v>83.42</v>
      </c>
      <c r="F7957">
        <v>432.55</v>
      </c>
    </row>
    <row r="7958" spans="1:6">
      <c r="A7958" s="3">
        <v>44482</v>
      </c>
      <c r="B7958" s="3">
        <v>44482</v>
      </c>
      <c r="C7958">
        <v>425.97</v>
      </c>
      <c r="D7958">
        <v>1.1594</v>
      </c>
      <c r="E7958">
        <v>83.18</v>
      </c>
      <c r="F7958">
        <v>451.6</v>
      </c>
    </row>
    <row r="7959" spans="1:6">
      <c r="A7959" s="3">
        <v>44483</v>
      </c>
      <c r="B7959" s="3">
        <v>44483</v>
      </c>
      <c r="C7959">
        <v>425.86</v>
      </c>
      <c r="D7959">
        <v>1.1597</v>
      </c>
      <c r="E7959">
        <v>84</v>
      </c>
      <c r="F7959">
        <v>463.15</v>
      </c>
    </row>
    <row r="7960" spans="1:6">
      <c r="A7960" s="3">
        <v>44484</v>
      </c>
      <c r="B7960" s="3">
        <v>44484</v>
      </c>
      <c r="C7960">
        <v>425.95</v>
      </c>
      <c r="D7960">
        <v>1.1600999999999999</v>
      </c>
      <c r="E7960">
        <v>84.86</v>
      </c>
      <c r="F7960">
        <v>472.95</v>
      </c>
    </row>
    <row r="7961" spans="1:6">
      <c r="A7961" s="3">
        <v>44485</v>
      </c>
      <c r="B7961" s="3">
        <v>44485</v>
      </c>
      <c r="C7961">
        <v>425.95</v>
      </c>
      <c r="D7961">
        <v>1.1600999999999999</v>
      </c>
      <c r="E7961">
        <v>84.86</v>
      </c>
      <c r="F7961">
        <v>472.95</v>
      </c>
    </row>
    <row r="7962" spans="1:6">
      <c r="A7962" s="3">
        <v>44486</v>
      </c>
      <c r="B7962" s="3">
        <v>44486</v>
      </c>
      <c r="C7962">
        <v>425.95</v>
      </c>
      <c r="D7962">
        <v>1.1600999999999999</v>
      </c>
      <c r="E7962">
        <v>84.86</v>
      </c>
      <c r="F7962">
        <v>472.95</v>
      </c>
    </row>
    <row r="7963" spans="1:6">
      <c r="A7963" s="3">
        <v>44487</v>
      </c>
      <c r="B7963" s="3">
        <v>44487</v>
      </c>
      <c r="C7963">
        <v>425.67</v>
      </c>
      <c r="D7963">
        <v>1.161</v>
      </c>
      <c r="E7963">
        <v>84.33</v>
      </c>
      <c r="F7963">
        <v>472.55</v>
      </c>
    </row>
    <row r="7964" spans="1:6">
      <c r="A7964" s="3">
        <v>44488</v>
      </c>
      <c r="B7964" s="3">
        <v>44488</v>
      </c>
      <c r="C7964">
        <v>425.74</v>
      </c>
      <c r="D7964">
        <v>1.1633</v>
      </c>
      <c r="E7964">
        <v>85.08</v>
      </c>
      <c r="F7964">
        <v>470.3</v>
      </c>
    </row>
    <row r="7965" spans="1:6">
      <c r="A7965" s="3">
        <v>44489</v>
      </c>
      <c r="B7965" s="3">
        <v>44489</v>
      </c>
      <c r="C7965">
        <v>426.55</v>
      </c>
      <c r="D7965">
        <v>1.1651</v>
      </c>
      <c r="E7965">
        <v>85.82</v>
      </c>
      <c r="F7965">
        <v>473.45</v>
      </c>
    </row>
    <row r="7966" spans="1:6">
      <c r="A7966" s="3">
        <v>44490</v>
      </c>
      <c r="B7966" s="3">
        <v>44490</v>
      </c>
      <c r="C7966">
        <v>426.1</v>
      </c>
      <c r="D7966">
        <v>1.1623000000000001</v>
      </c>
      <c r="E7966">
        <v>84.61</v>
      </c>
      <c r="F7966">
        <v>455.85</v>
      </c>
    </row>
    <row r="7967" spans="1:6">
      <c r="A7967" s="3">
        <v>44491</v>
      </c>
      <c r="B7967" s="3">
        <v>44491</v>
      </c>
      <c r="C7967">
        <v>425.23</v>
      </c>
      <c r="D7967">
        <v>1.1642999999999999</v>
      </c>
      <c r="E7967">
        <v>85.53</v>
      </c>
      <c r="F7967">
        <v>449.8</v>
      </c>
    </row>
    <row r="7968" spans="1:6">
      <c r="A7968" s="3">
        <v>44492</v>
      </c>
      <c r="B7968" s="3">
        <v>44492</v>
      </c>
      <c r="C7968">
        <v>425.23</v>
      </c>
      <c r="D7968">
        <v>1.1642999999999999</v>
      </c>
      <c r="E7968">
        <v>85.53</v>
      </c>
      <c r="F7968">
        <v>449.8</v>
      </c>
    </row>
    <row r="7969" spans="1:6">
      <c r="A7969" s="3">
        <v>44493</v>
      </c>
      <c r="B7969" s="3">
        <v>44493</v>
      </c>
      <c r="C7969">
        <v>425.23</v>
      </c>
      <c r="D7969">
        <v>1.1642999999999999</v>
      </c>
      <c r="E7969">
        <v>85.53</v>
      </c>
      <c r="F7969">
        <v>449.8</v>
      </c>
    </row>
    <row r="7970" spans="1:6">
      <c r="A7970" s="3">
        <v>44494</v>
      </c>
      <c r="B7970" s="3">
        <v>44494</v>
      </c>
      <c r="C7970">
        <v>425.4</v>
      </c>
      <c r="D7970">
        <v>1.1608000000000001</v>
      </c>
      <c r="E7970">
        <v>85.99</v>
      </c>
      <c r="F7970">
        <v>452.8</v>
      </c>
    </row>
    <row r="7971" spans="1:6">
      <c r="A7971" s="3">
        <v>44495</v>
      </c>
      <c r="B7971" s="3">
        <v>44495</v>
      </c>
      <c r="C7971">
        <v>425.65</v>
      </c>
      <c r="D7971">
        <v>1.1596</v>
      </c>
      <c r="E7971">
        <v>86.4</v>
      </c>
      <c r="F7971">
        <v>448.6</v>
      </c>
    </row>
    <row r="7972" spans="1:6">
      <c r="A7972" s="3">
        <v>44496</v>
      </c>
      <c r="B7972" s="3">
        <v>44496</v>
      </c>
      <c r="C7972">
        <v>426.82</v>
      </c>
      <c r="D7972">
        <v>1.1603000000000001</v>
      </c>
      <c r="E7972">
        <v>84.58</v>
      </c>
      <c r="F7972">
        <v>438.95</v>
      </c>
    </row>
    <row r="7973" spans="1:6">
      <c r="A7973" s="3">
        <v>44497</v>
      </c>
      <c r="B7973" s="3">
        <v>44497</v>
      </c>
      <c r="C7973">
        <v>427.8</v>
      </c>
      <c r="D7973">
        <v>1.1680999999999999</v>
      </c>
      <c r="E7973">
        <v>84.32</v>
      </c>
      <c r="F7973">
        <v>443.85</v>
      </c>
    </row>
    <row r="7974" spans="1:6">
      <c r="A7974" s="3">
        <v>44498</v>
      </c>
      <c r="B7974" s="3">
        <v>44498</v>
      </c>
      <c r="C7974">
        <v>427.52</v>
      </c>
      <c r="D7974">
        <v>1.1557999999999999</v>
      </c>
      <c r="E7974">
        <v>84.38</v>
      </c>
      <c r="F7974">
        <v>436.8</v>
      </c>
    </row>
    <row r="7975" spans="1:6">
      <c r="A7975" s="3">
        <v>44499</v>
      </c>
      <c r="B7975" s="3">
        <v>44499</v>
      </c>
      <c r="C7975">
        <v>427.52</v>
      </c>
      <c r="D7975">
        <v>1.1557999999999999</v>
      </c>
      <c r="E7975">
        <v>84.38</v>
      </c>
      <c r="F7975">
        <v>436.8</v>
      </c>
    </row>
    <row r="7976" spans="1:6">
      <c r="A7976" s="3">
        <v>44500</v>
      </c>
      <c r="B7976" s="3">
        <v>44500</v>
      </c>
      <c r="C7976">
        <v>427.52</v>
      </c>
      <c r="D7976">
        <v>1.1557999999999999</v>
      </c>
      <c r="E7976">
        <v>84.38</v>
      </c>
      <c r="F7976">
        <v>436.8</v>
      </c>
    </row>
    <row r="7977" spans="1:6">
      <c r="A7977" s="3">
        <v>44501</v>
      </c>
      <c r="B7977" s="3">
        <v>44501</v>
      </c>
      <c r="C7977">
        <v>427.39</v>
      </c>
      <c r="D7977">
        <v>1.1606000000000001</v>
      </c>
      <c r="E7977">
        <v>84.71</v>
      </c>
      <c r="F7977">
        <v>439.35</v>
      </c>
    </row>
    <row r="7978" spans="1:6">
      <c r="A7978" s="3">
        <v>44502</v>
      </c>
      <c r="B7978" s="3">
        <v>44502</v>
      </c>
      <c r="C7978">
        <v>428.13</v>
      </c>
      <c r="D7978">
        <v>1.1578999999999999</v>
      </c>
      <c r="E7978">
        <v>84.72</v>
      </c>
      <c r="F7978">
        <v>436.6</v>
      </c>
    </row>
    <row r="7979" spans="1:6">
      <c r="A7979" s="3">
        <v>44503</v>
      </c>
      <c r="B7979" s="3">
        <v>44503</v>
      </c>
      <c r="C7979">
        <v>429.1</v>
      </c>
      <c r="D7979">
        <v>1.1612</v>
      </c>
      <c r="E7979">
        <v>81.99</v>
      </c>
      <c r="F7979">
        <v>432.1</v>
      </c>
    </row>
    <row r="7980" spans="1:6">
      <c r="A7980" s="3">
        <v>44504</v>
      </c>
      <c r="B7980" s="3">
        <v>44504</v>
      </c>
      <c r="C7980">
        <v>429.36</v>
      </c>
      <c r="D7980">
        <v>1.1554</v>
      </c>
      <c r="E7980">
        <v>80.540000000000006</v>
      </c>
      <c r="F7980">
        <v>432.05</v>
      </c>
    </row>
    <row r="7981" spans="1:6">
      <c r="A7981" s="3">
        <v>44505</v>
      </c>
      <c r="B7981" s="3">
        <v>44505</v>
      </c>
      <c r="C7981">
        <v>429.46</v>
      </c>
      <c r="D7981">
        <v>1.1567000000000001</v>
      </c>
      <c r="E7981">
        <v>82.74</v>
      </c>
      <c r="F7981">
        <v>434.3</v>
      </c>
    </row>
    <row r="7982" spans="1:6">
      <c r="A7982" s="3">
        <v>44506</v>
      </c>
      <c r="B7982" s="3">
        <v>44506</v>
      </c>
      <c r="C7982">
        <v>429.46</v>
      </c>
      <c r="D7982">
        <v>1.1567000000000001</v>
      </c>
      <c r="E7982">
        <v>82.74</v>
      </c>
      <c r="F7982">
        <v>434.3</v>
      </c>
    </row>
    <row r="7983" spans="1:6">
      <c r="A7983" s="3">
        <v>44507</v>
      </c>
      <c r="B7983" s="3">
        <v>44507</v>
      </c>
      <c r="C7983">
        <v>429.46</v>
      </c>
      <c r="D7983">
        <v>1.1567000000000001</v>
      </c>
      <c r="E7983">
        <v>82.74</v>
      </c>
      <c r="F7983">
        <v>434.3</v>
      </c>
    </row>
    <row r="7984" spans="1:6">
      <c r="A7984" s="3">
        <v>44508</v>
      </c>
      <c r="B7984" s="3">
        <v>44508</v>
      </c>
      <c r="C7984">
        <v>429.32</v>
      </c>
      <c r="D7984">
        <v>1.1587000000000001</v>
      </c>
      <c r="E7984">
        <v>83.43</v>
      </c>
      <c r="F7984">
        <v>439.9</v>
      </c>
    </row>
    <row r="7985" spans="1:6">
      <c r="A7985" s="3">
        <v>44509</v>
      </c>
      <c r="B7985" s="3">
        <v>44509</v>
      </c>
      <c r="C7985">
        <v>429.32</v>
      </c>
      <c r="D7985">
        <v>1.1593</v>
      </c>
      <c r="E7985">
        <v>84.78</v>
      </c>
      <c r="F7985">
        <v>437.3</v>
      </c>
    </row>
    <row r="7986" spans="1:6">
      <c r="A7986" s="3">
        <v>44510</v>
      </c>
      <c r="B7986" s="3">
        <v>44510</v>
      </c>
      <c r="C7986">
        <v>428.96</v>
      </c>
      <c r="D7986">
        <v>1.1478999999999999</v>
      </c>
      <c r="E7986">
        <v>82.64</v>
      </c>
      <c r="F7986">
        <v>432.3</v>
      </c>
    </row>
    <row r="7987" spans="1:6">
      <c r="A7987" s="3">
        <v>44511</v>
      </c>
      <c r="B7987" s="3">
        <v>44511</v>
      </c>
      <c r="C7987">
        <v>429.41</v>
      </c>
      <c r="D7987">
        <v>1.1451</v>
      </c>
      <c r="E7987">
        <v>82.87</v>
      </c>
      <c r="F7987">
        <v>439.95</v>
      </c>
    </row>
    <row r="7988" spans="1:6">
      <c r="A7988" s="3">
        <v>44512</v>
      </c>
      <c r="B7988" s="3">
        <v>44512</v>
      </c>
      <c r="C7988">
        <v>431.01</v>
      </c>
      <c r="D7988">
        <v>1.1445000000000001</v>
      </c>
      <c r="E7988">
        <v>82.17</v>
      </c>
      <c r="F7988">
        <v>444.95</v>
      </c>
    </row>
    <row r="7989" spans="1:6">
      <c r="A7989" s="3">
        <v>44513</v>
      </c>
      <c r="B7989" s="3">
        <v>44513</v>
      </c>
      <c r="C7989">
        <v>431.01</v>
      </c>
      <c r="D7989">
        <v>1.1445000000000001</v>
      </c>
      <c r="E7989">
        <v>82.17</v>
      </c>
      <c r="F7989">
        <v>444.95</v>
      </c>
    </row>
    <row r="7990" spans="1:6">
      <c r="A7990" s="3">
        <v>44514</v>
      </c>
      <c r="B7990" s="3">
        <v>44514</v>
      </c>
      <c r="C7990">
        <v>431.01</v>
      </c>
      <c r="D7990">
        <v>1.1445000000000001</v>
      </c>
      <c r="E7990">
        <v>82.17</v>
      </c>
      <c r="F7990">
        <v>444.95</v>
      </c>
    </row>
    <row r="7991" spans="1:6">
      <c r="A7991" s="3">
        <v>44515</v>
      </c>
      <c r="B7991" s="3">
        <v>44515</v>
      </c>
      <c r="C7991">
        <v>430.88</v>
      </c>
      <c r="D7991">
        <v>1.1368</v>
      </c>
      <c r="E7991">
        <v>82.05</v>
      </c>
      <c r="F7991">
        <v>440</v>
      </c>
    </row>
    <row r="7992" spans="1:6">
      <c r="A7992" s="3">
        <v>44516</v>
      </c>
      <c r="B7992" s="3">
        <v>44516</v>
      </c>
      <c r="C7992">
        <v>431.84</v>
      </c>
      <c r="D7992">
        <v>1.1319999999999999</v>
      </c>
      <c r="E7992">
        <v>82.43</v>
      </c>
      <c r="F7992">
        <v>435.15</v>
      </c>
    </row>
    <row r="7993" spans="1:6">
      <c r="A7993" s="3">
        <v>44517</v>
      </c>
      <c r="B7993" s="3">
        <v>44517</v>
      </c>
      <c r="C7993">
        <v>432.28</v>
      </c>
      <c r="D7993">
        <v>1.1318999999999999</v>
      </c>
      <c r="E7993">
        <v>80.28</v>
      </c>
      <c r="F7993">
        <v>426.6</v>
      </c>
    </row>
    <row r="7994" spans="1:6">
      <c r="A7994" s="3">
        <v>44518</v>
      </c>
      <c r="B7994" s="3">
        <v>44518</v>
      </c>
      <c r="C7994">
        <v>433.12</v>
      </c>
      <c r="D7994">
        <v>1.1371</v>
      </c>
      <c r="E7994">
        <v>81.239999999999995</v>
      </c>
      <c r="F7994">
        <v>430.45</v>
      </c>
    </row>
    <row r="7995" spans="1:6">
      <c r="A7995" s="3">
        <v>44519</v>
      </c>
      <c r="B7995" s="3">
        <v>44519</v>
      </c>
      <c r="C7995">
        <v>431.96</v>
      </c>
      <c r="D7995">
        <v>1.129</v>
      </c>
      <c r="E7995">
        <v>78.89</v>
      </c>
      <c r="F7995">
        <v>440.75</v>
      </c>
    </row>
    <row r="7996" spans="1:6">
      <c r="A7996" s="3">
        <v>44520</v>
      </c>
      <c r="B7996" s="3">
        <v>44520</v>
      </c>
      <c r="C7996">
        <v>431.96</v>
      </c>
      <c r="D7996">
        <v>1.129</v>
      </c>
      <c r="E7996">
        <v>78.89</v>
      </c>
      <c r="F7996">
        <v>440.75</v>
      </c>
    </row>
    <row r="7997" spans="1:6">
      <c r="A7997" s="3">
        <v>44521</v>
      </c>
      <c r="B7997" s="3">
        <v>44521</v>
      </c>
      <c r="C7997">
        <v>431.96</v>
      </c>
      <c r="D7997">
        <v>1.129</v>
      </c>
      <c r="E7997">
        <v>78.89</v>
      </c>
      <c r="F7997">
        <v>440.75</v>
      </c>
    </row>
    <row r="7998" spans="1:6">
      <c r="A7998" s="3">
        <v>44522</v>
      </c>
      <c r="B7998" s="3">
        <v>44522</v>
      </c>
      <c r="C7998">
        <v>433.67</v>
      </c>
      <c r="D7998">
        <v>1.1236999999999999</v>
      </c>
      <c r="E7998">
        <v>79.7</v>
      </c>
      <c r="F7998">
        <v>439.65</v>
      </c>
    </row>
    <row r="7999" spans="1:6">
      <c r="A7999" s="3">
        <v>44523</v>
      </c>
      <c r="B7999" s="3">
        <v>44523</v>
      </c>
      <c r="C7999">
        <v>433.92</v>
      </c>
      <c r="D7999">
        <v>1.1248</v>
      </c>
      <c r="E7999">
        <v>82.31</v>
      </c>
      <c r="F7999">
        <v>442.35</v>
      </c>
    </row>
    <row r="8000" spans="1:6">
      <c r="A8000" s="3">
        <v>44524</v>
      </c>
      <c r="B8000" s="3">
        <v>44524</v>
      </c>
      <c r="C8000">
        <v>432.96</v>
      </c>
      <c r="D8000">
        <v>1.1198999999999999</v>
      </c>
      <c r="E8000">
        <v>82.25</v>
      </c>
      <c r="F8000">
        <v>445.9</v>
      </c>
    </row>
    <row r="8001" spans="1:6">
      <c r="A8001" s="3">
        <v>44525</v>
      </c>
      <c r="B8001" s="3">
        <v>44525</v>
      </c>
      <c r="C8001">
        <v>431.21</v>
      </c>
      <c r="D8001">
        <v>1.1209</v>
      </c>
      <c r="E8001">
        <v>82.22</v>
      </c>
      <c r="F8001">
        <v>445.9</v>
      </c>
    </row>
    <row r="8002" spans="1:6">
      <c r="A8002" s="3">
        <v>44526</v>
      </c>
      <c r="B8002" s="3">
        <v>44526</v>
      </c>
      <c r="C8002">
        <v>436.11</v>
      </c>
      <c r="D8002">
        <v>1.1316999999999999</v>
      </c>
      <c r="E8002">
        <v>72.72</v>
      </c>
      <c r="F8002">
        <v>428.35</v>
      </c>
    </row>
    <row r="8003" spans="1:6">
      <c r="A8003" s="3">
        <v>44527</v>
      </c>
      <c r="B8003" s="3">
        <v>44527</v>
      </c>
      <c r="C8003">
        <v>436.11</v>
      </c>
      <c r="D8003">
        <v>1.1316999999999999</v>
      </c>
      <c r="E8003">
        <v>72.72</v>
      </c>
      <c r="F8003">
        <v>428.35</v>
      </c>
    </row>
    <row r="8004" spans="1:6">
      <c r="A8004" s="3">
        <v>44528</v>
      </c>
      <c r="B8004" s="3">
        <v>44528</v>
      </c>
      <c r="C8004">
        <v>436.11</v>
      </c>
      <c r="D8004">
        <v>1.1316999999999999</v>
      </c>
      <c r="E8004">
        <v>72.72</v>
      </c>
      <c r="F8004">
        <v>428.35</v>
      </c>
    </row>
    <row r="8005" spans="1:6">
      <c r="A8005" s="3">
        <v>44529</v>
      </c>
      <c r="B8005" s="3">
        <v>44529</v>
      </c>
      <c r="C8005">
        <v>437.5</v>
      </c>
      <c r="D8005">
        <v>1.1291</v>
      </c>
      <c r="E8005">
        <v>73.44</v>
      </c>
      <c r="F8005">
        <v>433.7</v>
      </c>
    </row>
    <row r="8006" spans="1:6">
      <c r="A8006" s="3">
        <v>44530</v>
      </c>
      <c r="B8006" s="3">
        <v>44530</v>
      </c>
      <c r="C8006">
        <v>437.39</v>
      </c>
      <c r="D8006">
        <v>1.1337999999999999</v>
      </c>
      <c r="E8006">
        <v>70.569999999999993</v>
      </c>
      <c r="F8006">
        <v>427.8</v>
      </c>
    </row>
    <row r="8007" spans="1:6">
      <c r="A8007" s="3">
        <v>44531</v>
      </c>
      <c r="B8007" s="3">
        <v>44531</v>
      </c>
      <c r="C8007">
        <v>436.2</v>
      </c>
      <c r="D8007">
        <v>1.1319999999999999</v>
      </c>
      <c r="E8007">
        <v>68.87</v>
      </c>
      <c r="F8007">
        <v>424.75</v>
      </c>
    </row>
    <row r="8008" spans="1:6">
      <c r="A8008" s="3">
        <v>44532</v>
      </c>
      <c r="B8008" s="3">
        <v>44532</v>
      </c>
      <c r="C8008">
        <v>438.05</v>
      </c>
      <c r="D8008">
        <v>1.1301000000000001</v>
      </c>
      <c r="E8008">
        <v>69.67</v>
      </c>
      <c r="F8008">
        <v>429.9</v>
      </c>
    </row>
    <row r="8009" spans="1:6">
      <c r="A8009" s="3">
        <v>44533</v>
      </c>
      <c r="B8009" s="3">
        <v>44533</v>
      </c>
      <c r="C8009">
        <v>438.5</v>
      </c>
      <c r="D8009">
        <v>1.1315</v>
      </c>
      <c r="E8009">
        <v>69.88</v>
      </c>
      <c r="F8009">
        <v>426.65</v>
      </c>
    </row>
    <row r="8010" spans="1:6">
      <c r="A8010" s="3">
        <v>44534</v>
      </c>
      <c r="B8010" s="3">
        <v>44534</v>
      </c>
      <c r="C8010">
        <v>438.5</v>
      </c>
      <c r="D8010">
        <v>1.1315</v>
      </c>
      <c r="E8010">
        <v>69.88</v>
      </c>
      <c r="F8010">
        <v>426.65</v>
      </c>
    </row>
    <row r="8011" spans="1:6">
      <c r="A8011" s="3">
        <v>44535</v>
      </c>
      <c r="B8011" s="3">
        <v>44535</v>
      </c>
      <c r="C8011">
        <v>438.5</v>
      </c>
      <c r="D8011">
        <v>1.1315</v>
      </c>
      <c r="E8011">
        <v>69.88</v>
      </c>
      <c r="F8011">
        <v>426.65</v>
      </c>
    </row>
    <row r="8012" spans="1:6">
      <c r="A8012" s="3">
        <v>44536</v>
      </c>
      <c r="B8012" s="3">
        <v>44536</v>
      </c>
      <c r="C8012">
        <v>438.39</v>
      </c>
      <c r="D8012">
        <v>1.1285000000000001</v>
      </c>
      <c r="E8012">
        <v>73.08</v>
      </c>
      <c r="F8012">
        <v>433.7</v>
      </c>
    </row>
    <row r="8013" spans="1:6">
      <c r="A8013" s="3">
        <v>44537</v>
      </c>
      <c r="B8013" s="3">
        <v>44537</v>
      </c>
      <c r="C8013">
        <v>437.21</v>
      </c>
      <c r="D8013">
        <v>1.1267</v>
      </c>
      <c r="E8013">
        <v>75.44</v>
      </c>
      <c r="F8013">
        <v>433.8</v>
      </c>
    </row>
    <row r="8014" spans="1:6">
      <c r="A8014" s="3">
        <v>44538</v>
      </c>
      <c r="B8014" s="3">
        <v>44538</v>
      </c>
      <c r="C8014">
        <v>436.89</v>
      </c>
      <c r="D8014">
        <v>1.1343000000000001</v>
      </c>
      <c r="E8014">
        <v>75.819999999999993</v>
      </c>
      <c r="F8014">
        <v>439.1</v>
      </c>
    </row>
    <row r="8015" spans="1:6">
      <c r="A8015" s="3">
        <v>44539</v>
      </c>
      <c r="B8015" s="3">
        <v>44539</v>
      </c>
      <c r="C8015">
        <v>436.06</v>
      </c>
      <c r="D8015">
        <v>1.1293</v>
      </c>
      <c r="E8015">
        <v>74.42</v>
      </c>
      <c r="F8015">
        <v>433</v>
      </c>
    </row>
    <row r="8016" spans="1:6">
      <c r="A8016" s="3">
        <v>44540</v>
      </c>
      <c r="B8016" s="3">
        <v>44540</v>
      </c>
      <c r="C8016">
        <v>436.02</v>
      </c>
      <c r="D8016">
        <v>1.1313</v>
      </c>
      <c r="E8016">
        <v>75.150000000000006</v>
      </c>
      <c r="F8016">
        <v>428.3</v>
      </c>
    </row>
    <row r="8017" spans="1:6">
      <c r="A8017" s="3">
        <v>44541</v>
      </c>
      <c r="B8017" s="3">
        <v>44541</v>
      </c>
      <c r="C8017">
        <v>436.02</v>
      </c>
      <c r="D8017">
        <v>1.1313</v>
      </c>
      <c r="E8017">
        <v>75.150000000000006</v>
      </c>
      <c r="F8017">
        <v>428.3</v>
      </c>
    </row>
    <row r="8018" spans="1:6">
      <c r="A8018" s="3">
        <v>44542</v>
      </c>
      <c r="B8018" s="3">
        <v>44542</v>
      </c>
      <c r="C8018">
        <v>436.02</v>
      </c>
      <c r="D8018">
        <v>1.1313</v>
      </c>
      <c r="E8018">
        <v>75.150000000000006</v>
      </c>
      <c r="F8018">
        <v>428.3</v>
      </c>
    </row>
    <row r="8019" spans="1:6">
      <c r="A8019" s="3">
        <v>44543</v>
      </c>
      <c r="B8019" s="3">
        <v>44543</v>
      </c>
      <c r="C8019">
        <v>435</v>
      </c>
      <c r="D8019">
        <v>1.1284000000000001</v>
      </c>
      <c r="E8019">
        <v>74.39</v>
      </c>
      <c r="F8019">
        <v>428</v>
      </c>
    </row>
    <row r="8020" spans="1:6">
      <c r="A8020" s="3">
        <v>44544</v>
      </c>
      <c r="B8020" s="3">
        <v>44544</v>
      </c>
      <c r="C8020">
        <v>436.15</v>
      </c>
      <c r="D8020">
        <v>1.1258999999999999</v>
      </c>
      <c r="E8020">
        <v>73.7</v>
      </c>
      <c r="F8020">
        <v>425.4</v>
      </c>
    </row>
    <row r="8021" spans="1:6">
      <c r="A8021" s="3">
        <v>44545</v>
      </c>
      <c r="B8021" s="3">
        <v>44545</v>
      </c>
      <c r="C8021">
        <v>436.82</v>
      </c>
      <c r="D8021">
        <v>1.1289</v>
      </c>
      <c r="E8021">
        <v>73.88</v>
      </c>
      <c r="F8021">
        <v>417.95</v>
      </c>
    </row>
    <row r="8022" spans="1:6">
      <c r="A8022" s="3">
        <v>44546</v>
      </c>
      <c r="B8022" s="3">
        <v>44546</v>
      </c>
      <c r="C8022">
        <v>437.61</v>
      </c>
      <c r="D8022">
        <v>1.133</v>
      </c>
      <c r="E8022">
        <v>75.02</v>
      </c>
      <c r="F8022">
        <v>430.05</v>
      </c>
    </row>
    <row r="8023" spans="1:6">
      <c r="A8023" s="3">
        <v>44547</v>
      </c>
      <c r="B8023" s="3">
        <v>44547</v>
      </c>
      <c r="C8023">
        <v>437.61</v>
      </c>
      <c r="D8023">
        <v>1.1240000000000001</v>
      </c>
      <c r="E8023">
        <v>73.52</v>
      </c>
      <c r="F8023">
        <v>429.1</v>
      </c>
    </row>
    <row r="8024" spans="1:6">
      <c r="A8024" s="3">
        <v>44548</v>
      </c>
      <c r="B8024" s="3">
        <v>44548</v>
      </c>
      <c r="C8024">
        <v>437.61</v>
      </c>
      <c r="D8024">
        <v>1.1240000000000001</v>
      </c>
      <c r="E8024">
        <v>73.52</v>
      </c>
      <c r="F8024">
        <v>429.1</v>
      </c>
    </row>
    <row r="8025" spans="1:6">
      <c r="A8025" s="3">
        <v>44549</v>
      </c>
      <c r="B8025" s="3">
        <v>44549</v>
      </c>
      <c r="C8025">
        <v>437.61</v>
      </c>
      <c r="D8025">
        <v>1.1240000000000001</v>
      </c>
      <c r="E8025">
        <v>73.52</v>
      </c>
      <c r="F8025">
        <v>429.1</v>
      </c>
    </row>
    <row r="8026" spans="1:6">
      <c r="A8026" s="3">
        <v>44550</v>
      </c>
      <c r="B8026" s="3">
        <v>44550</v>
      </c>
      <c r="C8026">
        <v>437.73</v>
      </c>
      <c r="D8026">
        <v>1.1278999999999999</v>
      </c>
      <c r="E8026">
        <v>71.52</v>
      </c>
      <c r="F8026">
        <v>428.8</v>
      </c>
    </row>
    <row r="8027" spans="1:6">
      <c r="A8027" s="3">
        <v>44551</v>
      </c>
      <c r="B8027" s="3">
        <v>44551</v>
      </c>
      <c r="C8027">
        <v>436.66</v>
      </c>
      <c r="D8027">
        <v>1.1285000000000001</v>
      </c>
      <c r="E8027">
        <v>73.98</v>
      </c>
      <c r="F8027">
        <v>433.8</v>
      </c>
    </row>
    <row r="8028" spans="1:6">
      <c r="A8028" s="3">
        <v>44552</v>
      </c>
      <c r="B8028" s="3">
        <v>44552</v>
      </c>
      <c r="C8028">
        <v>437.09</v>
      </c>
      <c r="D8028">
        <v>1.1326000000000001</v>
      </c>
      <c r="E8028">
        <v>75.290000000000006</v>
      </c>
      <c r="F8028">
        <v>438.95</v>
      </c>
    </row>
    <row r="8029" spans="1:6">
      <c r="A8029" s="3">
        <v>44553</v>
      </c>
      <c r="B8029" s="3">
        <v>44553</v>
      </c>
      <c r="C8029">
        <v>435.39</v>
      </c>
      <c r="D8029">
        <v>1.1327</v>
      </c>
      <c r="E8029">
        <v>76.849999999999994</v>
      </c>
      <c r="F8029">
        <v>438.7</v>
      </c>
    </row>
    <row r="8030" spans="1:6">
      <c r="A8030" s="3">
        <v>44554</v>
      </c>
      <c r="B8030" s="3">
        <v>44554</v>
      </c>
      <c r="C8030">
        <v>432.78</v>
      </c>
      <c r="D8030">
        <v>1.1318999999999999</v>
      </c>
      <c r="E8030">
        <v>76.14</v>
      </c>
      <c r="F8030">
        <v>438.7</v>
      </c>
    </row>
    <row r="8031" spans="1:6">
      <c r="A8031" s="3">
        <v>44555</v>
      </c>
      <c r="B8031" s="3">
        <v>44555</v>
      </c>
      <c r="C8031">
        <v>432.78</v>
      </c>
      <c r="D8031">
        <v>1.1318999999999999</v>
      </c>
      <c r="E8031">
        <v>76.14</v>
      </c>
      <c r="F8031">
        <v>438.7</v>
      </c>
    </row>
    <row r="8032" spans="1:6">
      <c r="A8032" s="3">
        <v>44556</v>
      </c>
      <c r="B8032" s="3">
        <v>44556</v>
      </c>
      <c r="C8032">
        <v>432.78</v>
      </c>
      <c r="D8032">
        <v>1.1318999999999999</v>
      </c>
      <c r="E8032">
        <v>76.14</v>
      </c>
      <c r="F8032">
        <v>438.7</v>
      </c>
    </row>
    <row r="8033" spans="1:6">
      <c r="A8033" s="3">
        <v>44557</v>
      </c>
      <c r="B8033" s="3">
        <v>44557</v>
      </c>
      <c r="C8033">
        <v>433.05</v>
      </c>
      <c r="D8033">
        <v>1.1328</v>
      </c>
      <c r="E8033">
        <v>78.599999999999994</v>
      </c>
      <c r="F8033">
        <v>446.5</v>
      </c>
    </row>
    <row r="8034" spans="1:6">
      <c r="A8034" s="3">
        <v>44558</v>
      </c>
      <c r="B8034" s="3">
        <v>44558</v>
      </c>
      <c r="C8034">
        <v>434.4</v>
      </c>
      <c r="D8034">
        <v>1.131</v>
      </c>
      <c r="E8034">
        <v>78.94</v>
      </c>
      <c r="F8034">
        <v>442</v>
      </c>
    </row>
    <row r="8035" spans="1:6">
      <c r="A8035" s="3">
        <v>44559</v>
      </c>
      <c r="B8035" s="3">
        <v>44559</v>
      </c>
      <c r="C8035">
        <v>433.88</v>
      </c>
      <c r="D8035">
        <v>1.1349</v>
      </c>
      <c r="E8035">
        <v>79.23</v>
      </c>
      <c r="F8035">
        <v>440.2</v>
      </c>
    </row>
    <row r="8036" spans="1:6">
      <c r="A8036" s="3">
        <v>44560</v>
      </c>
      <c r="B8036" s="3">
        <v>44560</v>
      </c>
      <c r="C8036">
        <v>434.43</v>
      </c>
      <c r="D8036">
        <v>1.1325000000000001</v>
      </c>
      <c r="E8036">
        <v>79.319999999999993</v>
      </c>
      <c r="F8036">
        <v>439.25</v>
      </c>
    </row>
    <row r="8037" spans="1:6">
      <c r="A8037" s="3">
        <v>44561</v>
      </c>
      <c r="B8037" s="3">
        <v>44561</v>
      </c>
      <c r="C8037">
        <v>434.8</v>
      </c>
      <c r="D8037">
        <v>1.137</v>
      </c>
      <c r="E8037">
        <v>77.78</v>
      </c>
      <c r="F8037">
        <v>446.35</v>
      </c>
    </row>
    <row r="8038" spans="1:6">
      <c r="A8038" s="3">
        <v>44562</v>
      </c>
      <c r="B8038" s="3">
        <v>44562</v>
      </c>
      <c r="C8038">
        <v>434.8</v>
      </c>
      <c r="D8038">
        <v>1.137</v>
      </c>
      <c r="E8038">
        <v>77.78</v>
      </c>
      <c r="F8038">
        <v>446.35</v>
      </c>
    </row>
    <row r="8039" spans="1:6">
      <c r="A8039" s="3">
        <v>44563</v>
      </c>
      <c r="B8039" s="3">
        <v>44563</v>
      </c>
      <c r="C8039">
        <v>434.8</v>
      </c>
      <c r="D8039">
        <v>1.137</v>
      </c>
      <c r="E8039">
        <v>77.78</v>
      </c>
      <c r="F8039">
        <v>446.35</v>
      </c>
    </row>
    <row r="8040" spans="1:6">
      <c r="A8040" s="3">
        <v>44564</v>
      </c>
      <c r="B8040" s="3">
        <v>44564</v>
      </c>
      <c r="C8040">
        <v>434.95</v>
      </c>
      <c r="D8040">
        <v>1.1296999999999999</v>
      </c>
      <c r="E8040">
        <v>78.98</v>
      </c>
      <c r="F8040">
        <v>442.15</v>
      </c>
    </row>
    <row r="8041" spans="1:6">
      <c r="A8041" s="3">
        <v>44565</v>
      </c>
      <c r="B8041" s="3">
        <v>44565</v>
      </c>
      <c r="C8041">
        <v>434.96</v>
      </c>
      <c r="D8041">
        <v>1.1287</v>
      </c>
      <c r="E8041">
        <v>80</v>
      </c>
      <c r="F8041">
        <v>447.5</v>
      </c>
    </row>
    <row r="8042" spans="1:6">
      <c r="A8042" s="3">
        <v>44566</v>
      </c>
      <c r="B8042" s="3">
        <v>44566</v>
      </c>
      <c r="C8042">
        <v>436.43</v>
      </c>
      <c r="D8042">
        <v>1.1314</v>
      </c>
      <c r="E8042">
        <v>80.8</v>
      </c>
      <c r="F8042">
        <v>441.35</v>
      </c>
    </row>
    <row r="8043" spans="1:6">
      <c r="A8043" s="3">
        <v>44567</v>
      </c>
      <c r="B8043" s="3">
        <v>44567</v>
      </c>
      <c r="C8043">
        <v>436.08</v>
      </c>
      <c r="D8043">
        <v>1.1296999999999999</v>
      </c>
      <c r="E8043">
        <v>81.99</v>
      </c>
      <c r="F8043">
        <v>435.45</v>
      </c>
    </row>
    <row r="8044" spans="1:6">
      <c r="A8044" s="3">
        <v>44568</v>
      </c>
      <c r="B8044" s="3">
        <v>44568</v>
      </c>
      <c r="C8044">
        <v>435.98</v>
      </c>
      <c r="D8044">
        <v>1.1359999999999999</v>
      </c>
      <c r="E8044">
        <v>81.75</v>
      </c>
      <c r="F8044">
        <v>441</v>
      </c>
    </row>
    <row r="8045" spans="1:6">
      <c r="A8045" s="3">
        <v>44569</v>
      </c>
      <c r="B8045" s="3">
        <v>44569</v>
      </c>
      <c r="C8045">
        <v>435.98</v>
      </c>
      <c r="D8045">
        <v>1.1359999999999999</v>
      </c>
      <c r="E8045">
        <v>81.75</v>
      </c>
      <c r="F8045">
        <v>441</v>
      </c>
    </row>
    <row r="8046" spans="1:6">
      <c r="A8046" s="3">
        <v>44570</v>
      </c>
      <c r="B8046" s="3">
        <v>44570</v>
      </c>
      <c r="C8046">
        <v>435.98</v>
      </c>
      <c r="D8046">
        <v>1.1359999999999999</v>
      </c>
      <c r="E8046">
        <v>81.75</v>
      </c>
      <c r="F8046">
        <v>441</v>
      </c>
    </row>
    <row r="8047" spans="1:6">
      <c r="A8047" s="3">
        <v>44571</v>
      </c>
      <c r="B8047" s="3">
        <v>44571</v>
      </c>
      <c r="C8047">
        <v>436.01</v>
      </c>
      <c r="D8047">
        <v>1.1326000000000001</v>
      </c>
      <c r="E8047">
        <v>80.87</v>
      </c>
      <c r="F8047">
        <v>435.2</v>
      </c>
    </row>
    <row r="8048" spans="1:6">
      <c r="A8048" s="3">
        <v>44572</v>
      </c>
      <c r="B8048" s="3">
        <v>44572</v>
      </c>
      <c r="C8048">
        <v>435.38</v>
      </c>
      <c r="D8048">
        <v>1.1367</v>
      </c>
      <c r="E8048">
        <v>83.72</v>
      </c>
      <c r="F8048">
        <v>442.9</v>
      </c>
    </row>
    <row r="8049" spans="1:6">
      <c r="A8049" s="3">
        <v>44573</v>
      </c>
      <c r="B8049" s="3">
        <v>44573</v>
      </c>
      <c r="C8049">
        <v>434.74</v>
      </c>
      <c r="D8049">
        <v>1.1442000000000001</v>
      </c>
      <c r="E8049">
        <v>84.67</v>
      </c>
      <c r="F8049">
        <v>457.65</v>
      </c>
    </row>
    <row r="8050" spans="1:6">
      <c r="A8050" s="3">
        <v>44574</v>
      </c>
      <c r="B8050" s="3">
        <v>44574</v>
      </c>
      <c r="C8050">
        <v>434.85</v>
      </c>
      <c r="D8050">
        <v>1.1455</v>
      </c>
      <c r="E8050">
        <v>84.47</v>
      </c>
      <c r="F8050">
        <v>454.6</v>
      </c>
    </row>
    <row r="8051" spans="1:6">
      <c r="A8051" s="3">
        <v>44575</v>
      </c>
      <c r="B8051" s="3">
        <v>44575</v>
      </c>
      <c r="C8051">
        <v>435.24</v>
      </c>
      <c r="D8051">
        <v>1.1411</v>
      </c>
      <c r="E8051">
        <v>86.06</v>
      </c>
      <c r="F8051">
        <v>442.05</v>
      </c>
    </row>
    <row r="8052" spans="1:6">
      <c r="A8052" s="3">
        <v>44576</v>
      </c>
      <c r="B8052" s="3">
        <v>44576</v>
      </c>
      <c r="C8052">
        <v>435.24</v>
      </c>
      <c r="D8052">
        <v>1.1411</v>
      </c>
      <c r="E8052">
        <v>86.06</v>
      </c>
      <c r="F8052">
        <v>442.05</v>
      </c>
    </row>
    <row r="8053" spans="1:6">
      <c r="A8053" s="3">
        <v>44577</v>
      </c>
      <c r="B8053" s="3">
        <v>44577</v>
      </c>
      <c r="C8053">
        <v>435.24</v>
      </c>
      <c r="D8053">
        <v>1.1411</v>
      </c>
      <c r="E8053">
        <v>86.06</v>
      </c>
      <c r="F8053">
        <v>442.05</v>
      </c>
    </row>
    <row r="8054" spans="1:6">
      <c r="A8054" s="3">
        <v>44578</v>
      </c>
      <c r="B8054" s="3">
        <v>44578</v>
      </c>
      <c r="C8054">
        <v>435.55</v>
      </c>
      <c r="D8054">
        <v>1.1408</v>
      </c>
      <c r="E8054">
        <v>86.48</v>
      </c>
      <c r="F8054">
        <v>442.05</v>
      </c>
    </row>
    <row r="8055" spans="1:6">
      <c r="A8055" s="3">
        <v>44579</v>
      </c>
      <c r="B8055" s="3">
        <v>44579</v>
      </c>
      <c r="C8055">
        <v>435.94</v>
      </c>
      <c r="D8055">
        <v>1.1325000000000001</v>
      </c>
      <c r="E8055">
        <v>87.51</v>
      </c>
      <c r="F8055">
        <v>438.25</v>
      </c>
    </row>
    <row r="8056" spans="1:6">
      <c r="A8056" s="3">
        <v>44580</v>
      </c>
      <c r="B8056" s="3">
        <v>44580</v>
      </c>
      <c r="C8056">
        <v>436.54</v>
      </c>
      <c r="D8056">
        <v>1.1343000000000001</v>
      </c>
      <c r="E8056">
        <v>88.44</v>
      </c>
      <c r="F8056">
        <v>447</v>
      </c>
    </row>
    <row r="8057" spans="1:6">
      <c r="A8057" s="3">
        <v>44581</v>
      </c>
      <c r="B8057" s="3">
        <v>44581</v>
      </c>
      <c r="C8057">
        <v>435.91</v>
      </c>
      <c r="D8057">
        <v>1.1312</v>
      </c>
      <c r="E8057">
        <v>88.38</v>
      </c>
      <c r="F8057">
        <v>458.25</v>
      </c>
    </row>
    <row r="8058" spans="1:6">
      <c r="A8058" s="3">
        <v>44582</v>
      </c>
      <c r="B8058" s="3">
        <v>44582</v>
      </c>
      <c r="C8058">
        <v>436.09</v>
      </c>
      <c r="D8058">
        <v>1.1344000000000001</v>
      </c>
      <c r="E8058">
        <v>87.89</v>
      </c>
      <c r="F8058">
        <v>452.4</v>
      </c>
    </row>
    <row r="8059" spans="1:6">
      <c r="A8059" s="3">
        <v>44583</v>
      </c>
      <c r="B8059" s="3">
        <v>44583</v>
      </c>
      <c r="C8059">
        <v>436.09</v>
      </c>
      <c r="D8059">
        <v>1.1344000000000001</v>
      </c>
      <c r="E8059">
        <v>87.89</v>
      </c>
      <c r="F8059">
        <v>452.4</v>
      </c>
    </row>
    <row r="8060" spans="1:6">
      <c r="A8060" s="3">
        <v>44584</v>
      </c>
      <c r="B8060" s="3">
        <v>44584</v>
      </c>
      <c r="C8060">
        <v>436.09</v>
      </c>
      <c r="D8060">
        <v>1.1344000000000001</v>
      </c>
      <c r="E8060">
        <v>87.89</v>
      </c>
      <c r="F8060">
        <v>452.4</v>
      </c>
    </row>
    <row r="8061" spans="1:6">
      <c r="A8061" s="3">
        <v>44585</v>
      </c>
      <c r="B8061" s="3">
        <v>44585</v>
      </c>
      <c r="C8061">
        <v>435.6</v>
      </c>
      <c r="D8061">
        <v>1.1326000000000001</v>
      </c>
      <c r="E8061">
        <v>86.27</v>
      </c>
      <c r="F8061">
        <v>441.25</v>
      </c>
    </row>
    <row r="8062" spans="1:6">
      <c r="A8062" s="3">
        <v>44586</v>
      </c>
      <c r="B8062" s="3">
        <v>44586</v>
      </c>
      <c r="C8062">
        <v>435.15</v>
      </c>
      <c r="D8062">
        <v>1.1284000000000001</v>
      </c>
      <c r="E8062">
        <v>87.74</v>
      </c>
      <c r="F8062">
        <v>444.5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0" tint="-0.499984740745262"/>
  </sheetPr>
  <dimension ref="A2:A18"/>
  <sheetViews>
    <sheetView workbookViewId="0">
      <selection activeCell="L51" sqref="L51"/>
    </sheetView>
  </sheetViews>
  <sheetFormatPr baseColWidth="10" defaultColWidth="8.83203125" defaultRowHeight="15"/>
  <cols>
    <col min="1" max="1" width="14" customWidth="1" collapsed="1"/>
  </cols>
  <sheetData>
    <row r="2" spans="1:1">
      <c r="A2" s="3"/>
    </row>
    <row r="3" spans="1:1">
      <c r="A3" s="3"/>
    </row>
    <row r="4" spans="1:1">
      <c r="A4" s="3"/>
    </row>
    <row r="5" spans="1:1">
      <c r="A5" s="3"/>
    </row>
    <row r="6" spans="1:1">
      <c r="A6" s="3"/>
    </row>
    <row r="7" spans="1:1">
      <c r="A7" s="3"/>
    </row>
    <row r="8" spans="1:1">
      <c r="A8" s="3"/>
    </row>
    <row r="9" spans="1:1">
      <c r="A9" s="3"/>
    </row>
    <row r="10" spans="1:1">
      <c r="A10" s="3"/>
    </row>
    <row r="11" spans="1:1">
      <c r="A11" s="3"/>
    </row>
    <row r="12" spans="1:1">
      <c r="A12" s="3"/>
    </row>
    <row r="13" spans="1:1">
      <c r="A13" s="3"/>
    </row>
    <row r="14" spans="1:1">
      <c r="A14" s="3"/>
    </row>
    <row r="15" spans="1:1">
      <c r="A15" s="3"/>
    </row>
    <row r="16" spans="1:1">
      <c r="A16" s="3"/>
    </row>
    <row r="17" spans="1:1">
      <c r="A17" s="3"/>
    </row>
    <row r="18" spans="1:1">
      <c r="A1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</vt:i4>
      </vt:variant>
    </vt:vector>
  </HeadingPairs>
  <TitlesOfParts>
    <vt:vector size="15" baseType="lpstr">
      <vt:lpstr>Sheet1</vt:lpstr>
      <vt:lpstr>settings</vt:lpstr>
      <vt:lpstr>input</vt:lpstr>
      <vt:lpstr>monthly</vt:lpstr>
      <vt:lpstr>monthly_sa</vt:lpstr>
      <vt:lpstr>quarterly</vt:lpstr>
      <vt:lpstr>quarterly_sa</vt:lpstr>
      <vt:lpstr>daily</vt:lpstr>
      <vt:lpstr>annual</vt:lpstr>
      <vt:lpstr>cur_name</vt:lpstr>
      <vt:lpstr>cur_ticker</vt:lpstr>
      <vt:lpstr>cur_val</vt:lpstr>
      <vt:lpstr>File_forecast</vt:lpstr>
      <vt:lpstr>File_Name</vt:lpstr>
      <vt:lpstr>File_Name_Sectors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cp:lastPrinted>2015-04-30T07:31:04Z</cp:lastPrinted>
  <dcterms:created xsi:type="dcterms:W3CDTF">2013-10-29T05:43:33Z</dcterms:created>
  <dcterms:modified xsi:type="dcterms:W3CDTF">2023-07-20T14:03:30Z</dcterms:modified>
</cp:coreProperties>
</file>